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phenolfci-my.sharepoint.com/personal/prakash_rednam_amphenol-fci_com/Documents/"/>
    </mc:Choice>
  </mc:AlternateContent>
  <xr:revisionPtr revIDLastSave="0" documentId="8_{EB2B842D-61A3-45D8-9DE7-0FED60E276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-HC" sheetId="8" r:id="rId1"/>
    <sheet name="Sheet8" sheetId="54" state="hidden" r:id="rId2"/>
    <sheet name="Sheet1" sheetId="2" state="hidden" r:id="rId3"/>
    <sheet name="Data (2)" sheetId="1" state="hidden" r:id="rId4"/>
    <sheet name="PN-workout file" sheetId="14" r:id="rId5"/>
    <sheet name="Sheet7" sheetId="53" state="hidden" r:id="rId6"/>
    <sheet name="Machine crew-Cable" sheetId="24" r:id="rId7"/>
    <sheet name="Supporting HC details" sheetId="47" r:id="rId8"/>
    <sheet name="Capacity" sheetId="34" state="hidden" r:id="rId9"/>
    <sheet name="Sheet4" sheetId="31" state="hidden" r:id="rId10"/>
    <sheet name="Sheet2" sheetId="32" state="hidden" r:id="rId11"/>
    <sheet name="PB" sheetId="38" r:id="rId12"/>
    <sheet name="PN-workout file (2)" sheetId="50" state="hidden" r:id="rId13"/>
    <sheet name="NPD crew details" sheetId="51" r:id="rId14"/>
    <sheet name="Sheet6" sheetId="52" state="hidden" r:id="rId15"/>
    <sheet name="Plan-Jan" sheetId="45" state="hidden" r:id="rId16"/>
    <sheet name="To IE" sheetId="46" state="hidden" r:id="rId17"/>
    <sheet name="Forecast Vs Earned Hrs" sheetId="48" state="hidden" r:id="rId18"/>
    <sheet name="Nov Plan" sheetId="44" state="hidden" r:id="rId19"/>
    <sheet name="Sheet5" sheetId="42" state="hidden" r:id="rId20"/>
    <sheet name="Sheet3" sheetId="39" state="hidden" r:id="rId21"/>
    <sheet name="Line efficiency" sheetId="20" state="hidden" r:id="rId22"/>
    <sheet name="PB Billing" sheetId="1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#REF!</definedName>
    <definedName name="__">#REF!</definedName>
    <definedName name="___">#REF!</definedName>
    <definedName name="____">#REF!</definedName>
    <definedName name="_____">#REF!</definedName>
    <definedName name="______">#REF!</definedName>
    <definedName name="_______">#REF!</definedName>
    <definedName name="________">#REF!</definedName>
    <definedName name="_________">#REF!</definedName>
    <definedName name="__________">#REF!</definedName>
    <definedName name="___________">#REF!</definedName>
    <definedName name="____________">#REF!</definedName>
    <definedName name="_____________">#REF!</definedName>
    <definedName name="______________">#REF!</definedName>
    <definedName name="_______________">#REF!</definedName>
    <definedName name="________________">#REF!</definedName>
    <definedName name="_________________">#REF!</definedName>
    <definedName name="__________________">#REF!</definedName>
    <definedName name="___________________">#REF!</definedName>
    <definedName name="____________________">#REF!</definedName>
    <definedName name="_____________________">#REF!</definedName>
    <definedName name="__________x2" hidden="1">{#N/A,#N/A,FALSE,"3";#N/A,#N/A,FALSE,"5";#N/A,#N/A,FALSE,"6";#N/A,#N/A,FALSE,"8";#N/A,#N/A,FALSE,"10";#N/A,#N/A,FALSE,"13";#N/A,#N/A,FALSE,"14";#N/A,#N/A,FALSE,"15";#N/A,#N/A,FALSE,"16"}</definedName>
    <definedName name="________x2" hidden="1">{#N/A,#N/A,FALSE,"3";#N/A,#N/A,FALSE,"5";#N/A,#N/A,FALSE,"6";#N/A,#N/A,FALSE,"8";#N/A,#N/A,FALSE,"10";#N/A,#N/A,FALSE,"13";#N/A,#N/A,FALSE,"14";#N/A,#N/A,FALSE,"15";#N/A,#N/A,FALSE,"16"}</definedName>
    <definedName name="_______x2" hidden="1">{#N/A,#N/A,FALSE,"3";#N/A,#N/A,FALSE,"5";#N/A,#N/A,FALSE,"6";#N/A,#N/A,FALSE,"8";#N/A,#N/A,FALSE,"10";#N/A,#N/A,FALSE,"13";#N/A,#N/A,FALSE,"14";#N/A,#N/A,FALSE,"15";#N/A,#N/A,FALSE,"16"}</definedName>
    <definedName name="______x2" hidden="1">{#N/A,#N/A,FALSE,"3";#N/A,#N/A,FALSE,"5";#N/A,#N/A,FALSE,"6";#N/A,#N/A,FALSE,"8";#N/A,#N/A,FALSE,"10";#N/A,#N/A,FALSE,"13";#N/A,#N/A,FALSE,"14";#N/A,#N/A,FALSE,"15";#N/A,#N/A,FALSE,"16"}</definedName>
    <definedName name="_____x2" hidden="1">{#N/A,#N/A,FALSE,"3";#N/A,#N/A,FALSE,"5";#N/A,#N/A,FALSE,"6";#N/A,#N/A,FALSE,"8";#N/A,#N/A,FALSE,"10";#N/A,#N/A,FALSE,"13";#N/A,#N/A,FALSE,"14";#N/A,#N/A,FALSE,"15";#N/A,#N/A,FALSE,"16"}</definedName>
    <definedName name="____x2" hidden="1">{#N/A,#N/A,FALSE,"3";#N/A,#N/A,FALSE,"5";#N/A,#N/A,FALSE,"6";#N/A,#N/A,FALSE,"8";#N/A,#N/A,FALSE,"10";#N/A,#N/A,FALSE,"13";#N/A,#N/A,FALSE,"14";#N/A,#N/A,FALSE,"15";#N/A,#N/A,FALSE,"16"}</definedName>
    <definedName name="___x2" hidden="1">{#N/A,#N/A,FALSE,"3";#N/A,#N/A,FALSE,"5";#N/A,#N/A,FALSE,"6";#N/A,#N/A,FALSE,"8";#N/A,#N/A,FALSE,"10";#N/A,#N/A,FALSE,"13";#N/A,#N/A,FALSE,"14";#N/A,#N/A,FALSE,"15";#N/A,#N/A,FALSE,"16"}</definedName>
    <definedName name="__FDS_UNIQUE_RANGE_ID_GENERATOR_COUNTER" hidden="1">2</definedName>
    <definedName name="__FDS_USED_FOR_REUSING_RANGE_IDS_RECYCLE" hidden="1">{3808}</definedName>
    <definedName name="__IntlFixup" hidden="1">TRUE</definedName>
    <definedName name="__x2" hidden="1">{#N/A,#N/A,FALSE,"3";#N/A,#N/A,FALSE,"5";#N/A,#N/A,FALSE,"6";#N/A,#N/A,FALSE,"8";#N/A,#N/A,FALSE,"10";#N/A,#N/A,FALSE,"13";#N/A,#N/A,FALSE,"14";#N/A,#N/A,FALSE,"15";#N/A,#N/A,FALSE,"16"}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633481907C249E58E7B95159C3E558C.edm" hidden="1">#REF!</definedName>
    <definedName name="_bdm.93475E69206A4A71892E4C3FCA2D5D20.edm" hidden="1">#REF!</definedName>
    <definedName name="_bdm.CAF676A2885E4D7F828214173307C888.edm" hidden="1">#REF!</definedName>
    <definedName name="_bdm.D943C822FB584D06891BAE17B2AC4204.edm" hidden="1">#REF!</definedName>
    <definedName name="_bdm.E9ECFCD50849415181B38A11E4A91DA5.edm" hidden="1">#REF!</definedName>
    <definedName name="_bdm.EA31AAC4224A49E08E71DB4B4EB2944E.edm" hidden="1">#REF!</definedName>
    <definedName name="_bdm.FD064865F2C947EB9DE0109ABA7109FF.edm" hidden="1">#REF!</definedName>
    <definedName name="_Fill" hidden="1">#REF!</definedName>
    <definedName name="_xlnm._FilterDatabase" localSheetId="3" hidden="1">'Data (2)'!$A$1:$AJ$29</definedName>
    <definedName name="_xlnm._FilterDatabase" localSheetId="18" hidden="1">'Nov Plan'!$A$2:$G$126</definedName>
    <definedName name="_xlnm._FilterDatabase" localSheetId="22" hidden="1">'PB Billing'!$A$1:$Q$83</definedName>
    <definedName name="_xlnm._FilterDatabase" localSheetId="15" hidden="1">'Plan-Jan'!$A$2:$F$167</definedName>
    <definedName name="_xlnm._FilterDatabase" localSheetId="4" hidden="1">'PN-workout file'!$B$1:$V$58</definedName>
    <definedName name="_xlnm._FilterDatabase" localSheetId="12" hidden="1">'PN-workout file (2)'!$A$1:$T$53</definedName>
    <definedName name="_xlnm._FilterDatabase" localSheetId="16" hidden="1">'To IE'!$A$2:$J$185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1" hidden="1">{#N/A,#N/A,TRUE,"MAIN FT TERM";#N/A,#N/A,TRUE,"MCI  FT TERM ";#N/A,#N/A,TRUE,"OC12 EQV"}</definedName>
    <definedName name="_Sort" hidden="1">#REF!</definedName>
    <definedName name="_ss2" hidden="1">{#N/A,#N/A,TRUE,"MAIN FT TERM";#N/A,#N/A,TRUE,"MCI  FT TERM ";#N/A,#N/A,TRUE,"OC12 EQV"}</definedName>
    <definedName name="_ss3" hidden="1">{#N/A,#N/A,TRUE,"MAIN FT TERM";#N/A,#N/A,TRUE,"MCI  FT TERM ";#N/A,#N/A,TRUE,"OC12 EQV"}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A">[1]Data!$A$1</definedName>
    <definedName name="aa" hidden="1">#REF!</definedName>
    <definedName name="aaa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aaaaa">#REF!</definedName>
    <definedName name="AB">#REF!</definedName>
    <definedName name="ABC">#REF!</definedName>
    <definedName name="AccessDatabase" hidden="1">"C:\My Documents\DATAHG\GPT\AP\House View.mdb"</definedName>
    <definedName name="AD">#REF!</definedName>
    <definedName name="anscount" hidden="1">7</definedName>
    <definedName name="AS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z" hidden="1">{#N/A,#N/A,TRUE,"MAIN FT TERM";#N/A,#N/A,TRUE,"MCI  FT TERM ";#N/A,#N/A,TRUE,"OC12 EQV"}</definedName>
    <definedName name="B">[2]Data!$A$1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b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bbb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BC">#REF!</definedName>
    <definedName name="BG_Del" hidden="1">15</definedName>
    <definedName name="BG_Ins" hidden="1">4</definedName>
    <definedName name="BG_Mod" hidden="1">6</definedName>
    <definedName name="cc" hidden="1">{#N/A,#N/A,TRUE,"MAIN FT TERM";#N/A,#N/A,TRUE,"MCI  FT TERM ";#N/A,#N/A,TRUE,"OC12 EQV"}</definedName>
    <definedName name="ccc" hidden="1">#REF!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IQWBGuid" hidden="1">"ed23a507-878f-4097-9e30-909e039f1f20"</definedName>
    <definedName name="Combined" hidden="1">{#N/A,#N/A,TRUE,"MAIN FT TERM";#N/A,#N/A,TRUE,"MCI  FT TERM ";#N/A,#N/A,TRUE,"OC12 EQV"}</definedName>
    <definedName name="compactées">#REF!</definedName>
    <definedName name="Currency">[3]StdInput!$A$5:$A$23</definedName>
    <definedName name="cvb" hidden="1">{#N/A,#N/A,TRUE,"MAIN FT TERM";#N/A,#N/A,TRUE,"MCI  FT TERM ";#N/A,#N/A,TRUE,"OC12 EQV"}</definedName>
    <definedName name="d" hidden="1">{#N/A,#N/A,FALSE,"model"}</definedName>
    <definedName name="Dat">#REF!</definedName>
    <definedName name="Data" hidden="1">{#N/A,#N/A,TRUE,"MAIN FT TERM";#N/A,#N/A,TRUE,"MCI  FT TERM ";#N/A,#N/A,TRUE,"OC12 EQV"}</definedName>
    <definedName name="dd" hidden="1">{#N/A,#N/A,TRUE,"MAIN FT TERM";#N/A,#N/A,TRUE,"MCI  FT TERM ";#N/A,#N/A,TRUE,"OC12 EQV"}</definedName>
    <definedName name="de" hidden="1">{#N/A,#N/A,FALSE,"model"}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ivisions">[3]StdInput!$E$21:$H$21</definedName>
    <definedName name="DJHGK">#REF!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dfwdf" hidden="1">#REF!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s" hidden="1">{#N/A,#N/A,FALSE,"3";#N/A,#N/A,FALSE,"5";#N/A,#N/A,FALSE,"6";#N/A,#N/A,FALSE,"8";#N/A,#N/A,FALSE,"10";#N/A,#N/A,FALSE,"13";#N/A,#N/A,FALSE,"14";#N/A,#N/A,FALSE,"15";#N/A,#N/A,FALSE,"16"}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e" hidden="1">{#N/A,#N/A,TRUE,"MAIN FT TERM";#N/A,#N/A,TRUE,"MCI  FT TERM ";#N/A,#N/A,TRUE,"OC12 EQV"}</definedName>
    <definedName name="ee" hidden="1">{#N/A,#N/A,TRUE,"MAIN FT TERM";#N/A,#N/A,TRUE,"MCI  FT TERM ";#N/A,#N/A,TRUE,"OC12 EQV"}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_1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1_1_1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_1_1_1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"9F3OxBOtzB60hFONCeryveGHd9WJr+7iO45h/1l2AQAA"</definedName>
    <definedName name="EPMWorkbookOptions_2_1" hidden="1">"jqr64u7ezs3v39/7i|evpPF9k28WyabPlNP/IvjW7|a2PqNc0ffwqP6/zZv7l8stVvjw6z8omf3w3/JDbnZR5Vj/N2uzL5evsMjctux9zWzOWl3XV5tM2n5nW/S/C9lez9K58dNb8ZFYX2aTMv8jrCweh9zmRzoJV2h39P45h/1l2AQAA"</definedName>
    <definedName name="EPMWorkbookOptions_2_1_1" hidden="1">"q3vjqr64u7ezs3v39/7i+evpPF9k28WyabPlNP/IvjW7+a2PqNc0ffwqP6/zZv7l8stVvjw6z8omf3w3/JDbnZR5Vj/N2uzL5evsMjctux9zWzOWl3XV5tM2n5nW/S/C9lez9K58dNb8ZFYX2aTMv8jrCweh9zmRzoJV2h39P45h/1l2AQAA"</definedName>
    <definedName name="EPMWorkbookOptions_2_1_1_1" hidden="1">"jqr64u7ezs3v39/7i|evpPF9k28WyabPlNP/IvjW7|a2PqNc0ffwqP6/zZv7l8stVvjw6z8omf3w3/JDbnZR5Vj/N2uzL5evsMjctux9zWzOWl3XV5tM2n5nW/S/C9lez9K58dNb8ZFYX2aTMv8jrCweh9zmRzoJV2h39P45h/1l2AQAA"</definedName>
    <definedName name="EPMWorkbookOptions_2_1_1_1_1" hidden="1">"q3vjqr64u7ezs3v39/7i+evpPF9k28WyabPlNP/IvjW7+a2PqNc0ffwqP6/zZv7l8stVvjw6z8omf3w3/JDbnZR5Vj/N2uzL5evsMjctux9zWzOWl3XV5tM2n5nW/S/C9lez9K58dNb8ZFYX2aTMv8jrCweh9zmRzoJV2h39P45h/1l2AQAA"</definedName>
    <definedName name="erer" hidden="1">#REF!</definedName>
    <definedName name="EV__EXPOPTIONS__" hidden="1">0</definedName>
    <definedName name="EV__LASTREFTIME__" hidden="1">39205.3667708333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fdffd" hidden="1">#REF!</definedName>
    <definedName name="FFFF">#REF!</definedName>
    <definedName name="gb" hidden="1">{#N/A,#N/A,TRUE,"MAIN FT TERM";#N/A,#N/A,TRUE,"MCI  FT TERM ";#N/A,#N/A,TRUE,"OC12 EQV"}</definedName>
    <definedName name="General" hidden="1">{#N/A,#N/A,TRUE,"MAIN FT TERM";#N/A,#N/A,TRUE,"MCI  FT TERM ";#N/A,#N/A,TRUE,"OC12 EQV"}</definedName>
    <definedName name="gg" hidden="1">{#N/A,#N/A,TRUE,"MAIN FT TERM";#N/A,#N/A,TRUE,"MCI  FT TERM ";#N/A,#N/A,TRUE,"OC12 EQV"}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H" hidden="1">{#N/A,#N/A,FALSE,"3";#N/A,#N/A,FALSE,"5";#N/A,#N/A,FALSE,"6";#N/A,#N/A,FALSE,"8";#N/A,#N/A,FALSE,"10";#N/A,#N/A,FALSE,"13";#N/A,#N/A,FALSE,"14";#N/A,#N/A,FALSE,"15";#N/A,#N/A,FALSE,"16"}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TML_CodePage" hidden="1">1252</definedName>
    <definedName name="HTML_Control" hidden="1">{"'Proforma'!$A$1:$J$189"}</definedName>
    <definedName name="HTML_Description" hidden="1">""</definedName>
    <definedName name="HTML_Email" hidden="1">""</definedName>
    <definedName name="HTML_Header" hidden="1">"Proforma"</definedName>
    <definedName name="HTML_LastUpdate" hidden="1">"4/19/99"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"D:\analysis\MyHTML.htm"</definedName>
    <definedName name="HTML_PathFileMac" hidden="1">"Macintosh HD:HomePageStuff:New_Home_Page:datafile:ctryprem.html"</definedName>
    <definedName name="HTML_Title" hidden="1">"proforma3"</definedName>
    <definedName name="InvestType">[3]StdInput!$D$22:$D$32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NAME_AP" hidden="1">"c8918"</definedName>
    <definedName name="IQ_EPS_NAME_AP_ABS" hidden="1">"c8937"</definedName>
    <definedName name="IQ_EPS_NORM" hidden="1">"c1902"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FAIR_VALUE_MORT_SERVICING_ASSETS_FFIEC" hidden="1">"c12956"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41629.523900463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OPERATING_INC_AVG_ASSETS_FFIEC" hidden="1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BEFORE_LL_FFIEC" hidden="1">"c13018"</definedName>
    <definedName name="IQ_REVISION_DATE_" hidden="1">39978.6046064815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JU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July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k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" hidden="1">#REF!</definedName>
    <definedName name="limcount" hidden="1">1</definedName>
    <definedName name="mm" hidden="1">{#N/A,#N/A,TRUE,"MAIN FT TERM";#N/A,#N/A,TRUE,"MCI  FT TERM ";#N/A,#N/A,TRUE,"OC12 EQV"}</definedName>
    <definedName name="O" hidden="1">{#N/A,#N/A,TRUE,"MAIN FT TERM";#N/A,#N/A,TRUE,"MCI  FT TERM ";#N/A,#N/A,TRUE,"OC12 EQV"}</definedName>
    <definedName name="oo" hidden="1">{#N/A,#N/A,TRUE,"MAIN FT TERM";#N/A,#N/A,TRUE,"MCI  FT TERM ";#N/A,#N/A,TRUE,"OC12 EQV"}</definedName>
    <definedName name="pk" hidden="1">{#N/A,#N/A,TRUE,"MAIN FT TERM";#N/A,#N/A,TRUE,"MCI  FT TERM ";#N/A,#N/A,TRUE,"OC12 EQV"}</definedName>
    <definedName name="pl" hidden="1">{#N/A,#N/A,TRUE,"MAIN FT TERM";#N/A,#N/A,TRUE,"MCI  FT TERM ";#N/A,#N/A,TRUE,"OC12 EQV"}</definedName>
    <definedName name="pp" hidden="1">{#N/A,#N/A,TRUE,"MAIN FT TERM";#N/A,#N/A,TRUE,"MCI  FT TERM ";#N/A,#N/A,TRUE,"OC12 EQV"}</definedName>
    <definedName name="Print_Area_0">#REF!</definedName>
    <definedName name="Print_Area_1">#REF!</definedName>
    <definedName name="Print_Area_10">#REF!</definedName>
    <definedName name="Print_Area_11">#REF!</definedName>
    <definedName name="Print_Area_12">#REF!</definedName>
    <definedName name="Print_Area_13">#REF!</definedName>
    <definedName name="Print_Area_14">#REF!</definedName>
    <definedName name="Print_Area_15">#REF!</definedName>
    <definedName name="Print_Area_16">#REF!</definedName>
    <definedName name="Print_Area_17">#REF!</definedName>
    <definedName name="Print_Area_18">#REF!</definedName>
    <definedName name="Print_Area_19">#REF!</definedName>
    <definedName name="Print_Area_2">#REF!</definedName>
    <definedName name="Print_Area_20">#REF!</definedName>
    <definedName name="Print_Area_21">#REF!</definedName>
    <definedName name="Print_Area_3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9">#REF!</definedName>
    <definedName name="q" hidden="1">{#N/A,#N/A,TRUE,"MAIN FT TERM";#N/A,#N/A,TRUE,"MCI  FT TERM ";#N/A,#N/A,TRUE,"OC12 EQV"}</definedName>
    <definedName name="QQ">#REF!</definedName>
    <definedName name="qqq" hidden="1">{#N/A,#N/A,TRUE,"MAIN FT TERM";#N/A,#N/A,TRUE,"MCI  FT TERM ";#N/A,#N/A,TRUE,"OC12 EQV"}</definedName>
    <definedName name="qqqq">#REF!</definedName>
    <definedName name="Query2">#REF!</definedName>
    <definedName name="qwq">#REF!</definedName>
    <definedName name="qzd" hidden="1">{#N/A,#N/A,FALSE,"3";#N/A,#N/A,FALSE,"5";#N/A,#N/A,FALSE,"6";#N/A,#N/A,FALSE,"8";#N/A,#N/A,FALSE,"10";#N/A,#N/A,FALSE,"13";#N/A,#N/A,FALSE,"14";#N/A,#N/A,FALSE,"15";#N/A,#N/A,FALSE,"16"}</definedName>
    <definedName name="références_achetées_en_2006_Métalis">#REF!</definedName>
    <definedName name="rr" hidden="1">{#N/A,#N/A,TRUE,"MAIN FT TERM";#N/A,#N/A,TRUE,"MCI  FT TERM ";#N/A,#N/A,TRUE,"OC12 EQV"}</definedName>
    <definedName name="sencount" hidden="1">1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q" hidden="1">{#N/A,#N/A,TRUE,"MAIN FT TERM";#N/A,#N/A,TRUE,"MCI  FT TERM ";#N/A,#N/A,TRUE,"OC12 EQV"}</definedName>
    <definedName name="ss" hidden="1">{#N/A,#N/A,TRUE,"MAIN FT TERM";#N/A,#N/A,TRUE,"MCI  FT TERM ";#N/A,#N/A,TRUE,"OC12 EQV"}</definedName>
    <definedName name="test1" hidden="1">{#N/A,#N/A,TRUE,"MAIN FT TERM";#N/A,#N/A,TRUE,"MCI  FT TERM ";#N/A,#N/A,TRUE,"OC12 EQV"}</definedName>
    <definedName name="TextRefCopyRangeCount" hidden="1">19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rans." hidden="1">{#N/A,#N/A,TRUE,"MAIN FT TERM";#N/A,#N/A,TRUE,"MCI  FT TERM ";#N/A,#N/A,TRUE,"OC12 EQV"}</definedName>
    <definedName name="tt" hidden="1">{#N/A,#N/A,TRUE,"MAIN FT TERM";#N/A,#N/A,TRUE,"MCI  FT TERM ";#N/A,#N/A,TRUE,"OC12 EQV"}</definedName>
    <definedName name="tx" hidden="1">{#N/A,#N/A,TRUE,"MAIN FT TERM";#N/A,#N/A,TRUE,"MCI  FT TERM ";#N/A,#N/A,TRUE,"OC12 EQV"}</definedName>
    <definedName name="uojlhbn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vv" hidden="1">{#N/A,#N/A,TRUE,"MAIN FT TERM";#N/A,#N/A,TRUE,"MCI  FT TERM ";#N/A,#N/A,TRUE,"OC12 EQV"}</definedName>
    <definedName name="VVVVV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w" hidden="1">{#N/A,#N/A,TRUE,"MAIN FT TERM";#N/A,#N/A,TRUE,"MCI  FT TERM ";#N/A,#N/A,TRUE,"OC12 EQV"}</definedName>
    <definedName name="we" hidden="1">#REF!</definedName>
    <definedName name="WRN.1998._.BUDGET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wrn.1998._.budget.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wrn.1998._.budget1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{#N/A,#N/A,TRUE,"MAIN FT TERM";#N/A,#N/A,TRUE,"MCI  FT TERM ";#N/A,#N/A,TRUE,"OC12 EQV"}</definedName>
    <definedName name="wrn.C1000BAS." hidden="1">{#N/A,"BRÅNEMARK",FALSE,"C1000BAS";#N/A,"PROCERA",FALSE,"C1000BAS"}</definedName>
    <definedName name="wrn.C1000BAS._1" hidden="1">{#N/A,"BRÅNEMARK",FALSE,"C1000BAS";#N/A,"PROCERA",FALSE,"C1000BAS"}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hi._.tiÆt." hidden="1">{#N/A,#N/A,FALSE,"Chi tiÆt"}</definedName>
    <definedName name="wrn.chi._.tiÆt._1" hidden="1">{#N/A,#N/A,FALSE,"Chi tiÆt"}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FC_Orders." hidden="1">{#N/A,#N/A,FALSE,"Tabelle1"}</definedName>
    <definedName name="wrn.forecast." hidden="1">{#N/A,#N/A,FALSE,"model"}</definedName>
    <definedName name="wrn.forecast2" hidden="1">{#N/A,#N/A,FALSE,"model"}</definedName>
    <definedName name="wrn.forecast2.assumptions.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ecastROIC2." hidden="1">{#N/A,#N/A,FALSE,"model"}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history." hidden="1">{#N/A,#N/A,FALSE,"model"}</definedName>
    <definedName name="wrn.history2" hidden="1">{#N/A,#N/A,FALSE,"model"}</definedName>
    <definedName name="wrn.history2." hidden="1">{#N/A,#N/A,FALSE,"model"}</definedName>
    <definedName name="wrn.histROIC." hidden="1">{#N/A,#N/A,FALSE,"model"}</definedName>
    <definedName name="wrn.histROIC2" hidden="1">{#N/A,#N/A,FALSE,"model"}</definedName>
    <definedName name="wrn.histROIC3." hidden="1">{#N/A,#N/A,FALSE,"model"}</definedName>
    <definedName name="wrn.LOADED._.LABOUR._.RATE." hidden="1">{#N/A,#N/A,TRUE,"RATE";#N/A,#N/A,TRUE,"OH";#N/A,#N/A,TRUE,"LLR";#N/A,#N/A,TRUE,"DEP1";#N/A,#N/A,TRUE,"DEP2";#N/A,#N/A,TRUE,"DEP3";#N/A,#N/A,TRUE,"DEP4";#N/A,#N/A,TRUE,"DEP5";#N/A,#N/A,TRUE,"DEP6";#N/A,#N/A,TRUE,"DEP7";#N/A,#N/A,TRUE,"DEP8";#N/A,#N/A,TRUE,"DEP9";#N/A,#N/A,TRUE,"DEP10";#N/A,#N/A,TRUE,"DEP11";#N/A,#N/A,TRUE,"DEP12";#N/A,#N/A,TRUE,"DEP13";#N/A,#N/A,TRUE,"DEP14";#N/A,#N/A,TRUE,"DEP15";#N/A,#N/A,TRUE,"DEP16";#N/A,#N/A,TRUE,"DEP17";#N/A,#N/A,TRUE,"DEP18";#N/A,#N/A,TRUE,"DEP19";#N/A,#N/A,TRUE,"DEP20";#N/A,#N/A,TRUE,"DEP21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pport._.complet." hidden="1">{#N/A,#N/A,TRUE,"Page1";#N/A,#N/A,TRUE,"Légendes";#N/A,#N/A,TRUE,"Compte de résultat";#N/A,#N/A,TRUE,"Distrib";#N/A,#N/A,TRUE,"Cigarettes";#N/A,#N/A,TRUE,"Cigare avec $ a 0,92";#N/A,#N/A,TRUE,"Cigares";#N/A,#N/A,TRUE,"Autres activités";#N/A,#N/A,TRUE,"Interdivisions";#N/A,#N/A,TRUE,"Bilan";#N/A,#N/A,TRUE,"Retraitements BFR &amp; Dette";#N/A,#N/A,TRUE,"Synthèse";#N/A,#N/A,TRUE,"Synth post retrait";#N/A,#N/A,TRUE,"PMT";#N/A,#N/A,TRUE,"FCF";#N/A,#N/A,TRUE,"Actions"}</definedName>
    <definedName name="wrn1.history" hidden="1">{#N/A,#N/A,FALSE,"model"}</definedName>
    <definedName name="wrn2.forecast." hidden="1">{#N/A,#N/A,FALSE,"model"}</definedName>
    <definedName name="wrn3.histroic" hidden="1">{#N/A,#N/A,FALSE,"model"}</definedName>
    <definedName name="wsgag">#REF!</definedName>
    <definedName name="ww" hidden="1">{#N/A,#N/A,TRUE,"MAIN FT TERM";#N/A,#N/A,TRUE,"MCI  FT TERM ";#N/A,#N/A,TRUE,"OC12 EQV"}</definedName>
    <definedName name="www" hidden="1">{#N/A,#N/A,FALSE,"MATERIAL CONTROL";#N/A,#N/A,FALSE,"QUALITY CONTROL";#N/A,#N/A,FALSE,"PURCHASING";#N/A,#N/A,FALSE,"PLANT MANAGEMENT";#N/A,#N/A,FALSE,"PLANT MAINTENANCE";#N/A,#N/A,FALSE,"TOOL ENGINEERING";#N/A,#N/A,FALSE,"TOOLROOM";#N/A,#N/A,FALSE,"MFG ENGINEERING";#N/A,#N/A,FALSE,"LAB";#N/A,#N/A,FALSE,"WAREHOUSE";#N/A,#N/A,FALSE,"ADMINISTRATION";#N/A,#N/A,FALSE,"CUSTOMER SERVICE";#N/A,#N/A,FALSE,"PLANT SUPPORT"}</definedName>
    <definedName name="wwx" hidden="1">{#N/A,#N/A,TRUE,"MAIN FT TERM";#N/A,#N/A,TRUE,"MCI  FT TERM ";#N/A,#N/A,TRUE,"OC12 EQV"}</definedName>
    <definedName name="xc">#REF!</definedName>
    <definedName name="xcv" hidden="1">{#N/A,#N/A,TRUE,"MAIN FT TERM";#N/A,#N/A,TRUE,"MCI  FT TERM ";#N/A,#N/A,TRUE,"OC12 EQV"}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RangeCount" hidden="1">1</definedName>
    <definedName name="xx" hidden="1">{#N/A,#N/A,TRUE,"MAIN FT TERM";#N/A,#N/A,TRUE,"MCI  FT TERM ";#N/A,#N/A,TRUE,"OC12 EQV"}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Z_38B0596C_7871_4C39_9892_068147C945CF_.wvu.Cols" hidden="1">#REF!,#REF!</definedName>
    <definedName name="Z_38B0596C_7871_4C39_9892_068147C945CF_.wvu.Rows" hidden="1">#REF!,#REF!,#REF!</definedName>
    <definedName name="Z_5E51D609_5BE2_454B_8C8C_942BA4B1F286_.wvu.Cols" hidden="1">#REF!,#REF!</definedName>
    <definedName name="Z_5E51D609_5BE2_454B_8C8C_942BA4B1F286_.wvu.Rows" hidden="1">#REF!,#REF!,#REF!</definedName>
    <definedName name="Z_9E3BB3E1_364A_44B9_A8E0_37A59428D3A8_.wvu.Cols" hidden="1">#REF!,#REF!</definedName>
    <definedName name="Z_9E3BB3E1_364A_44B9_A8E0_37A59428D3A8_.wvu.Rows" hidden="1">#REF!,#REF!,#REF!</definedName>
    <definedName name="Z_A7B76E40_F672_4215_849B_D8088B7D2B87_.wvu.Cols" hidden="1">#REF!,#REF!</definedName>
    <definedName name="Z_A7B76E40_F672_4215_849B_D8088B7D2B87_.wvu.Rows" hidden="1">#REF!,#REF!,#REF!</definedName>
    <definedName name="Z_F6269A33_33C2_4F76_896B_B77BDCB7D67E_.wvu.Cols" hidden="1">#REF!,#REF!</definedName>
    <definedName name="Z_F6269A33_33C2_4F76_896B_B77BDCB7D67E_.wvu.Rows" hidden="1">#REF!,#REF!,#REF!</definedName>
    <definedName name="zc" hidden="1">{#N/A,#N/A,TRUE,"MAIN FT TERM";#N/A,#N/A,TRUE,"MCI  FT TERM ";#N/A,#N/A,TRUE,"OC12 EQV"}</definedName>
    <definedName name="zv" hidden="1">{#N/A,#N/A,TRUE,"MAIN FT TERM";#N/A,#N/A,TRUE,"MCI  FT TERM ";#N/A,#N/A,TRUE,"OC12 EQV"}</definedName>
    <definedName name="zx" hidden="1">{#N/A,#N/A,TRUE,"MAIN FT TERM";#N/A,#N/A,TRUE,"MCI  FT TERM ";#N/A,#N/A,TRUE,"OC12 EQV"}</definedName>
    <definedName name="ヴぇえっれ" hidden="1">{#N/A,#N/A,TRUE,"MAIN FT TERM";#N/A,#N/A,TRUE,"MCI  FT TERM ";#N/A,#N/A,TRUE,"OC12 EQV"}</definedName>
    <definedName name="変更後" hidden="1">{#N/A,#N/A,TRUE,"MAIN FT TERM";#N/A,#N/A,TRUE,"MCI  FT TERM ";#N/A,#N/A,TRUE,"OC12 EQV"}</definedName>
  </definedNames>
  <calcPr calcId="191029"/>
  <pivotCaches>
    <pivotCache cacheId="0" r:id="rId30"/>
    <pivotCache cacheId="1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7" l="1"/>
  <c r="I6" i="8"/>
  <c r="I4" i="8"/>
  <c r="E39" i="14" l="1"/>
  <c r="F18" i="8" l="1"/>
  <c r="E53" i="14"/>
  <c r="D18" i="14"/>
  <c r="K12" i="47"/>
  <c r="H12" i="47"/>
  <c r="G66" i="14" l="1"/>
  <c r="G52" i="14"/>
  <c r="G49" i="14"/>
  <c r="H49" i="14" s="1"/>
  <c r="N49" i="14" s="1"/>
  <c r="G48" i="14"/>
  <c r="G47" i="14"/>
  <c r="G46" i="14"/>
  <c r="H51" i="14"/>
  <c r="N51" i="14" s="1"/>
  <c r="J51" i="14"/>
  <c r="I51" i="14"/>
  <c r="K51" i="14" s="1"/>
  <c r="H50" i="14"/>
  <c r="N50" i="14"/>
  <c r="Q50" i="14" s="1"/>
  <c r="P50" i="14"/>
  <c r="J50" i="14"/>
  <c r="I50" i="14"/>
  <c r="K50" i="14" s="1"/>
  <c r="M51" i="14"/>
  <c r="M50" i="14"/>
  <c r="I49" i="14"/>
  <c r="J49" i="14"/>
  <c r="M49" i="14"/>
  <c r="P51" i="14" l="1"/>
  <c r="Q51" i="14" s="1"/>
  <c r="K49" i="14"/>
  <c r="P49" i="14"/>
  <c r="Q49" i="14"/>
  <c r="M52" i="14" l="1"/>
  <c r="I52" i="14"/>
  <c r="H52" i="14"/>
  <c r="N52" i="14" s="1"/>
  <c r="P52" i="14" s="1"/>
  <c r="Q52" i="14" s="1"/>
  <c r="J52" i="14"/>
  <c r="K52" i="14" l="1"/>
  <c r="E31" i="14"/>
  <c r="E30" i="14"/>
  <c r="E27" i="14"/>
  <c r="E26" i="14"/>
  <c r="F7" i="54"/>
  <c r="F8" i="54" s="1"/>
  <c r="M53" i="14"/>
  <c r="M47" i="14"/>
  <c r="J47" i="14"/>
  <c r="I47" i="14"/>
  <c r="H47" i="14"/>
  <c r="N47" i="14" s="1"/>
  <c r="P47" i="14" s="1"/>
  <c r="K47" i="14" l="1"/>
  <c r="Q47" i="14"/>
  <c r="G17" i="14"/>
  <c r="E20" i="14" l="1"/>
  <c r="E13" i="14"/>
  <c r="E12" i="14"/>
  <c r="G7" i="14"/>
  <c r="J13" i="38"/>
  <c r="M11" i="38"/>
  <c r="M12" i="38"/>
  <c r="M9" i="38"/>
  <c r="K10" i="38"/>
  <c r="K11" i="38"/>
  <c r="K12" i="38"/>
  <c r="K9" i="38"/>
  <c r="J12" i="38"/>
  <c r="J11" i="38"/>
  <c r="J10" i="38"/>
  <c r="M10" i="38" s="1"/>
  <c r="J9" i="38"/>
  <c r="L9" i="38" s="1"/>
  <c r="I48" i="14"/>
  <c r="I53" i="14"/>
  <c r="I46" i="14"/>
  <c r="M46" i="14"/>
  <c r="J46" i="14"/>
  <c r="H46" i="14"/>
  <c r="N46" i="14" s="1"/>
  <c r="M48" i="14"/>
  <c r="J48" i="14"/>
  <c r="H48" i="14"/>
  <c r="N48" i="14" s="1"/>
  <c r="J53" i="14"/>
  <c r="H53" i="14"/>
  <c r="E14" i="14"/>
  <c r="P53" i="14" l="1"/>
  <c r="Q53" i="14" s="1"/>
  <c r="K53" i="14"/>
  <c r="K48" i="14"/>
  <c r="K13" i="38"/>
  <c r="M13" i="38" s="1"/>
  <c r="M15" i="38" s="1"/>
  <c r="L11" i="38"/>
  <c r="K46" i="14"/>
  <c r="P46" i="14"/>
  <c r="Q46" i="14" s="1"/>
  <c r="P48" i="14"/>
  <c r="Q48" i="14" s="1"/>
  <c r="E22" i="14"/>
  <c r="E25" i="14" l="1"/>
  <c r="U40" i="14" l="1"/>
  <c r="U35" i="14"/>
  <c r="S3" i="14"/>
  <c r="T7" i="14"/>
  <c r="S7" i="14"/>
  <c r="U7" i="14"/>
  <c r="S8" i="14"/>
  <c r="F7" i="14"/>
  <c r="D6" i="8" l="1"/>
  <c r="H16" i="8"/>
  <c r="E17" i="14"/>
  <c r="H10" i="14"/>
  <c r="N10" i="14" s="1"/>
  <c r="P10" i="14" s="1"/>
  <c r="I10" i="14"/>
  <c r="J10" i="14"/>
  <c r="M10" i="14"/>
  <c r="K10" i="14" l="1"/>
  <c r="Q10" i="14"/>
  <c r="H18" i="14" l="1"/>
  <c r="H19" i="14"/>
  <c r="H20" i="14"/>
  <c r="H21" i="14"/>
  <c r="H22" i="14"/>
  <c r="H23" i="14"/>
  <c r="H25" i="14"/>
  <c r="H27" i="14"/>
  <c r="H29" i="14"/>
  <c r="H32" i="14"/>
  <c r="H33" i="14"/>
  <c r="H34" i="14"/>
  <c r="H14" i="14"/>
  <c r="H15" i="14"/>
  <c r="H36" i="14"/>
  <c r="H16" i="14"/>
  <c r="H37" i="14"/>
  <c r="H12" i="14"/>
  <c r="H13" i="14"/>
  <c r="H39" i="14"/>
  <c r="H44" i="14"/>
  <c r="N44" i="14" s="1"/>
  <c r="P44" i="14" s="1"/>
  <c r="Q44" i="14" s="1"/>
  <c r="M44" i="14"/>
  <c r="J44" i="14"/>
  <c r="F44" i="14"/>
  <c r="I44" i="14" s="1"/>
  <c r="K44" i="14" l="1"/>
  <c r="D7" i="8"/>
  <c r="I33" i="14"/>
  <c r="J33" i="14"/>
  <c r="M33" i="14"/>
  <c r="N33" i="14"/>
  <c r="P33" i="14" s="1"/>
  <c r="N34" i="14"/>
  <c r="I34" i="14"/>
  <c r="J34" i="14"/>
  <c r="M34" i="14"/>
  <c r="M43" i="14"/>
  <c r="G43" i="14"/>
  <c r="F43" i="14"/>
  <c r="I43" i="14" s="1"/>
  <c r="E6" i="52"/>
  <c r="E5" i="52"/>
  <c r="E4" i="52"/>
  <c r="E9" i="52"/>
  <c r="G9" i="52" s="1"/>
  <c r="G15" i="51"/>
  <c r="C18" i="50"/>
  <c r="C6" i="50"/>
  <c r="M64" i="50"/>
  <c r="O53" i="50"/>
  <c r="O52" i="50"/>
  <c r="O51" i="50"/>
  <c r="O49" i="50"/>
  <c r="O42" i="50"/>
  <c r="S41" i="50"/>
  <c r="Q41" i="50"/>
  <c r="T41" i="50" s="1"/>
  <c r="D41" i="50" s="1"/>
  <c r="G41" i="50" s="1"/>
  <c r="L41" i="50" s="1"/>
  <c r="K41" i="50"/>
  <c r="H41" i="50"/>
  <c r="F41" i="50"/>
  <c r="I41" i="50" s="1"/>
  <c r="K40" i="50"/>
  <c r="F40" i="50"/>
  <c r="I40" i="50" s="1"/>
  <c r="D40" i="50"/>
  <c r="H40" i="50" s="1"/>
  <c r="J40" i="50" s="1"/>
  <c r="S39" i="50"/>
  <c r="Q39" i="50"/>
  <c r="T39" i="50" s="1"/>
  <c r="D39" i="50" s="1"/>
  <c r="G39" i="50" s="1"/>
  <c r="L39" i="50" s="1"/>
  <c r="K39" i="50"/>
  <c r="I39" i="50"/>
  <c r="H39" i="50"/>
  <c r="J39" i="50" s="1"/>
  <c r="S38" i="50"/>
  <c r="Q38" i="50"/>
  <c r="T38" i="50" s="1"/>
  <c r="D38" i="50" s="1"/>
  <c r="G38" i="50" s="1"/>
  <c r="L38" i="50" s="1"/>
  <c r="K38" i="50"/>
  <c r="I38" i="50"/>
  <c r="H38" i="50"/>
  <c r="L37" i="50"/>
  <c r="K37" i="50"/>
  <c r="I37" i="50"/>
  <c r="H37" i="50"/>
  <c r="J37" i="50" s="1"/>
  <c r="G37" i="50"/>
  <c r="S36" i="50"/>
  <c r="Q36" i="50"/>
  <c r="T36" i="50" s="1"/>
  <c r="D36" i="50" s="1"/>
  <c r="G36" i="50" s="1"/>
  <c r="L36" i="50" s="1"/>
  <c r="K36" i="50"/>
  <c r="I36" i="50"/>
  <c r="H36" i="50"/>
  <c r="J36" i="50" s="1"/>
  <c r="K35" i="50"/>
  <c r="I35" i="50"/>
  <c r="H35" i="50"/>
  <c r="J35" i="50" s="1"/>
  <c r="G35" i="50"/>
  <c r="L35" i="50" s="1"/>
  <c r="L34" i="50"/>
  <c r="N34" i="50" s="1"/>
  <c r="G34" i="50"/>
  <c r="C34" i="50"/>
  <c r="K34" i="50" s="1"/>
  <c r="L33" i="50"/>
  <c r="K33" i="50"/>
  <c r="I33" i="50"/>
  <c r="J33" i="50" s="1"/>
  <c r="H33" i="50"/>
  <c r="G33" i="50"/>
  <c r="K32" i="50"/>
  <c r="I32" i="50"/>
  <c r="H32" i="50"/>
  <c r="J32" i="50" s="1"/>
  <c r="G32" i="50"/>
  <c r="L32" i="50" s="1"/>
  <c r="K31" i="50"/>
  <c r="I31" i="50"/>
  <c r="H31" i="50"/>
  <c r="J31" i="50" s="1"/>
  <c r="G31" i="50"/>
  <c r="L31" i="50" s="1"/>
  <c r="L30" i="50"/>
  <c r="K30" i="50"/>
  <c r="I30" i="50"/>
  <c r="J30" i="50" s="1"/>
  <c r="H30" i="50"/>
  <c r="G30" i="50"/>
  <c r="S29" i="50"/>
  <c r="R29" i="50"/>
  <c r="Q29" i="50"/>
  <c r="T29" i="50" s="1"/>
  <c r="D29" i="50" s="1"/>
  <c r="G29" i="50" s="1"/>
  <c r="L29" i="50" s="1"/>
  <c r="K29" i="50"/>
  <c r="I29" i="50"/>
  <c r="J29" i="50" s="1"/>
  <c r="H29" i="50"/>
  <c r="K28" i="50"/>
  <c r="I28" i="50"/>
  <c r="H28" i="50"/>
  <c r="J28" i="50" s="1"/>
  <c r="G28" i="50"/>
  <c r="L28" i="50" s="1"/>
  <c r="K27" i="50"/>
  <c r="I27" i="50"/>
  <c r="H27" i="50"/>
  <c r="J27" i="50" s="1"/>
  <c r="G27" i="50"/>
  <c r="L27" i="50" s="1"/>
  <c r="L26" i="50"/>
  <c r="K26" i="50"/>
  <c r="J26" i="50"/>
  <c r="I26" i="50"/>
  <c r="H26" i="50"/>
  <c r="G26" i="50"/>
  <c r="K25" i="50"/>
  <c r="I25" i="50"/>
  <c r="H25" i="50"/>
  <c r="J25" i="50" s="1"/>
  <c r="G25" i="50"/>
  <c r="L25" i="50" s="1"/>
  <c r="K24" i="50"/>
  <c r="F24" i="50"/>
  <c r="I24" i="50" s="1"/>
  <c r="D24" i="50"/>
  <c r="G24" i="50" s="1"/>
  <c r="L24" i="50" s="1"/>
  <c r="K23" i="50"/>
  <c r="F23" i="50"/>
  <c r="I23" i="50" s="1"/>
  <c r="D23" i="50"/>
  <c r="H23" i="50" s="1"/>
  <c r="J23" i="50" s="1"/>
  <c r="L22" i="50"/>
  <c r="K22" i="50"/>
  <c r="I22" i="50"/>
  <c r="H22" i="50"/>
  <c r="J22" i="50" s="1"/>
  <c r="G22" i="50"/>
  <c r="K21" i="50"/>
  <c r="I21" i="50"/>
  <c r="H21" i="50"/>
  <c r="J21" i="50" s="1"/>
  <c r="G21" i="50"/>
  <c r="L21" i="50" s="1"/>
  <c r="F21" i="50"/>
  <c r="K20" i="50"/>
  <c r="I20" i="50"/>
  <c r="H20" i="50"/>
  <c r="J20" i="50" s="1"/>
  <c r="G20" i="50"/>
  <c r="L20" i="50" s="1"/>
  <c r="K19" i="50"/>
  <c r="I19" i="50"/>
  <c r="H19" i="50"/>
  <c r="J19" i="50" s="1"/>
  <c r="G19" i="50"/>
  <c r="L19" i="50" s="1"/>
  <c r="K18" i="50"/>
  <c r="D18" i="50"/>
  <c r="H18" i="50" s="1"/>
  <c r="I18" i="50"/>
  <c r="L17" i="50"/>
  <c r="N17" i="50" s="1"/>
  <c r="K17" i="50"/>
  <c r="I17" i="50"/>
  <c r="H17" i="50"/>
  <c r="J17" i="50" s="1"/>
  <c r="G17" i="50"/>
  <c r="K16" i="50"/>
  <c r="I16" i="50"/>
  <c r="H16" i="50"/>
  <c r="J16" i="50" s="1"/>
  <c r="G16" i="50"/>
  <c r="L16" i="50" s="1"/>
  <c r="L15" i="50"/>
  <c r="N15" i="50" s="1"/>
  <c r="K15" i="50"/>
  <c r="I15" i="50"/>
  <c r="H15" i="50"/>
  <c r="J15" i="50" s="1"/>
  <c r="G15" i="50"/>
  <c r="L14" i="50"/>
  <c r="K14" i="50"/>
  <c r="I14" i="50"/>
  <c r="H14" i="50"/>
  <c r="J14" i="50" s="1"/>
  <c r="G14" i="50"/>
  <c r="C14" i="50"/>
  <c r="K13" i="50"/>
  <c r="I13" i="50"/>
  <c r="H13" i="50"/>
  <c r="J13" i="50" s="1"/>
  <c r="G13" i="50"/>
  <c r="L13" i="50" s="1"/>
  <c r="K12" i="50"/>
  <c r="I12" i="50"/>
  <c r="H12" i="50"/>
  <c r="J12" i="50" s="1"/>
  <c r="G12" i="50"/>
  <c r="L12" i="50" s="1"/>
  <c r="S11" i="50"/>
  <c r="R11" i="50"/>
  <c r="Q11" i="50"/>
  <c r="T11" i="50" s="1"/>
  <c r="D11" i="50" s="1"/>
  <c r="G11" i="50" s="1"/>
  <c r="L11" i="50" s="1"/>
  <c r="K11" i="50"/>
  <c r="I11" i="50"/>
  <c r="H11" i="50"/>
  <c r="J11" i="50" s="1"/>
  <c r="S10" i="50"/>
  <c r="R10" i="50"/>
  <c r="Q10" i="50"/>
  <c r="T10" i="50" s="1"/>
  <c r="D10" i="50" s="1"/>
  <c r="G10" i="50" s="1"/>
  <c r="L10" i="50" s="1"/>
  <c r="K10" i="50"/>
  <c r="I10" i="50"/>
  <c r="H10" i="50"/>
  <c r="J10" i="50" s="1"/>
  <c r="L9" i="50"/>
  <c r="K9" i="50"/>
  <c r="I9" i="50"/>
  <c r="H9" i="50"/>
  <c r="J9" i="50" s="1"/>
  <c r="G9" i="50"/>
  <c r="K8" i="50"/>
  <c r="I8" i="50"/>
  <c r="H8" i="50"/>
  <c r="J8" i="50" s="1"/>
  <c r="G8" i="50"/>
  <c r="L8" i="50" s="1"/>
  <c r="K7" i="50"/>
  <c r="I7" i="50"/>
  <c r="H7" i="50"/>
  <c r="J7" i="50" s="1"/>
  <c r="G7" i="50"/>
  <c r="L7" i="50" s="1"/>
  <c r="K6" i="50"/>
  <c r="F6" i="50"/>
  <c r="D6" i="50"/>
  <c r="G6" i="50" s="1"/>
  <c r="L5" i="50"/>
  <c r="K5" i="50"/>
  <c r="I5" i="50"/>
  <c r="G5" i="50"/>
  <c r="E5" i="50"/>
  <c r="H5" i="50" s="1"/>
  <c r="J5" i="50" s="1"/>
  <c r="S4" i="50"/>
  <c r="R4" i="50"/>
  <c r="Q4" i="50"/>
  <c r="T4" i="50" s="1"/>
  <c r="D4" i="50" s="1"/>
  <c r="G4" i="50" s="1"/>
  <c r="L4" i="50" s="1"/>
  <c r="K4" i="50"/>
  <c r="F4" i="50"/>
  <c r="I4" i="50" s="1"/>
  <c r="E4" i="50"/>
  <c r="H4" i="50" s="1"/>
  <c r="S3" i="50"/>
  <c r="R3" i="50"/>
  <c r="Q3" i="50"/>
  <c r="T3" i="50" s="1"/>
  <c r="D3" i="50" s="1"/>
  <c r="G3" i="50" s="1"/>
  <c r="L3" i="50" s="1"/>
  <c r="K3" i="50"/>
  <c r="I3" i="50"/>
  <c r="E3" i="50"/>
  <c r="H3" i="50" s="1"/>
  <c r="K33" i="14" l="1"/>
  <c r="K34" i="14"/>
  <c r="J43" i="14"/>
  <c r="K43" i="14" s="1"/>
  <c r="H43" i="14"/>
  <c r="N43" i="14" s="1"/>
  <c r="P43" i="14" s="1"/>
  <c r="Q43" i="14" s="1"/>
  <c r="Q33" i="14"/>
  <c r="P34" i="14"/>
  <c r="Q34" i="14" s="1"/>
  <c r="I6" i="50"/>
  <c r="I44" i="50" s="1"/>
  <c r="L6" i="50"/>
  <c r="J38" i="50"/>
  <c r="N38" i="50"/>
  <c r="O38" i="50" s="1"/>
  <c r="N41" i="50"/>
  <c r="O41" i="50" s="1"/>
  <c r="N7" i="50"/>
  <c r="O7" i="50" s="1"/>
  <c r="M20" i="50"/>
  <c r="N20" i="50"/>
  <c r="O20" i="50" s="1"/>
  <c r="N12" i="50"/>
  <c r="O12" i="50" s="1"/>
  <c r="N39" i="50"/>
  <c r="O39" i="50"/>
  <c r="N8" i="50"/>
  <c r="O8" i="50" s="1"/>
  <c r="N13" i="50"/>
  <c r="O13" i="50"/>
  <c r="N24" i="50"/>
  <c r="M24" i="50"/>
  <c r="O24" i="50"/>
  <c r="N35" i="50"/>
  <c r="O35" i="50" s="1"/>
  <c r="J18" i="50"/>
  <c r="O37" i="50"/>
  <c r="N11" i="50"/>
  <c r="O11" i="50"/>
  <c r="N28" i="50"/>
  <c r="O28" i="50"/>
  <c r="N4" i="50"/>
  <c r="O4" i="50" s="1"/>
  <c r="O9" i="50"/>
  <c r="N36" i="50"/>
  <c r="O36" i="50" s="1"/>
  <c r="N31" i="50"/>
  <c r="O31" i="50" s="1"/>
  <c r="J3" i="50"/>
  <c r="N10" i="50"/>
  <c r="O10" i="50"/>
  <c r="N21" i="50"/>
  <c r="O21" i="50" s="1"/>
  <c r="N29" i="50"/>
  <c r="O29" i="50" s="1"/>
  <c r="N32" i="50"/>
  <c r="O32" i="50" s="1"/>
  <c r="N3" i="50"/>
  <c r="O3" i="50"/>
  <c r="N27" i="50"/>
  <c r="O27" i="50"/>
  <c r="N16" i="50"/>
  <c r="O16" i="50" s="1"/>
  <c r="N19" i="50"/>
  <c r="O19" i="50" s="1"/>
  <c r="N25" i="50"/>
  <c r="O25" i="50" s="1"/>
  <c r="J4" i="50"/>
  <c r="N6" i="50"/>
  <c r="O6" i="50"/>
  <c r="J41" i="50"/>
  <c r="N9" i="50"/>
  <c r="O15" i="50"/>
  <c r="N22" i="50"/>
  <c r="O22" i="50" s="1"/>
  <c r="N30" i="50"/>
  <c r="O30" i="50" s="1"/>
  <c r="N14" i="50"/>
  <c r="O14" i="50" s="1"/>
  <c r="H24" i="50"/>
  <c r="J24" i="50" s="1"/>
  <c r="N37" i="50"/>
  <c r="O17" i="50"/>
  <c r="G23" i="50"/>
  <c r="L23" i="50" s="1"/>
  <c r="H6" i="50"/>
  <c r="J6" i="50" s="1"/>
  <c r="G18" i="50"/>
  <c r="L18" i="50" s="1"/>
  <c r="I34" i="50"/>
  <c r="G40" i="50"/>
  <c r="L40" i="50" s="1"/>
  <c r="O34" i="50"/>
  <c r="N5" i="50"/>
  <c r="O5" i="50" s="1"/>
  <c r="H34" i="50"/>
  <c r="J34" i="50" s="1"/>
  <c r="N26" i="50"/>
  <c r="O26" i="50" s="1"/>
  <c r="N33" i="50"/>
  <c r="O33" i="50" s="1"/>
  <c r="N40" i="50" l="1"/>
  <c r="O40" i="50" s="1"/>
  <c r="M18" i="50"/>
  <c r="J44" i="50"/>
  <c r="N23" i="50"/>
  <c r="O23" i="50" s="1"/>
  <c r="H44" i="50"/>
  <c r="N18" i="50" l="1"/>
  <c r="O18" i="50" l="1"/>
  <c r="N39" i="14" l="1"/>
  <c r="I39" i="14"/>
  <c r="J39" i="14"/>
  <c r="M39" i="14"/>
  <c r="K39" i="14" l="1"/>
  <c r="P39" i="14"/>
  <c r="Q39" i="14" s="1"/>
  <c r="J6" i="8"/>
  <c r="H5" i="14"/>
  <c r="U42" i="14"/>
  <c r="I42" i="14"/>
  <c r="I41" i="14"/>
  <c r="I40" i="14"/>
  <c r="I38" i="14"/>
  <c r="I35" i="14"/>
  <c r="I7" i="14"/>
  <c r="I6" i="14"/>
  <c r="F5" i="14"/>
  <c r="I5" i="14" s="1"/>
  <c r="F4" i="14"/>
  <c r="I4" i="14" s="1"/>
  <c r="I3" i="14"/>
  <c r="E24" i="14"/>
  <c r="H24" i="14" s="1"/>
  <c r="U38" i="14"/>
  <c r="S38" i="14"/>
  <c r="U41" i="14"/>
  <c r="S40" i="14"/>
  <c r="S41" i="14"/>
  <c r="G28" i="14"/>
  <c r="H28" i="14" s="1"/>
  <c r="J41" i="14"/>
  <c r="M41" i="14"/>
  <c r="M4" i="14"/>
  <c r="M5" i="14"/>
  <c r="M26" i="14"/>
  <c r="M8" i="14"/>
  <c r="M9" i="14"/>
  <c r="M11" i="14"/>
  <c r="M6" i="14"/>
  <c r="M7" i="14"/>
  <c r="M18" i="14"/>
  <c r="M19" i="14"/>
  <c r="M21" i="14"/>
  <c r="M22" i="14"/>
  <c r="M23" i="14"/>
  <c r="M24" i="14"/>
  <c r="M25" i="14"/>
  <c r="M27" i="14"/>
  <c r="M28" i="14"/>
  <c r="M29" i="14"/>
  <c r="M30" i="14"/>
  <c r="M31" i="14"/>
  <c r="M32" i="14"/>
  <c r="M14" i="14"/>
  <c r="M35" i="14"/>
  <c r="M15" i="14"/>
  <c r="M36" i="14"/>
  <c r="M16" i="14"/>
  <c r="M37" i="14"/>
  <c r="M12" i="14"/>
  <c r="M13" i="14"/>
  <c r="M38" i="14"/>
  <c r="M40" i="14"/>
  <c r="M17" i="14"/>
  <c r="M42" i="14"/>
  <c r="M3" i="14"/>
  <c r="V41" i="14" l="1"/>
  <c r="E41" i="14" s="1"/>
  <c r="H41" i="14" s="1"/>
  <c r="K6" i="8"/>
  <c r="L6" i="8" s="1"/>
  <c r="M6" i="8" s="1"/>
  <c r="V40" i="14"/>
  <c r="E40" i="14" s="1"/>
  <c r="H40" i="14" s="1"/>
  <c r="K41" i="14"/>
  <c r="V38" i="14"/>
  <c r="G26" i="14"/>
  <c r="H26" i="14" s="1"/>
  <c r="N6" i="8" l="1"/>
  <c r="E38" i="14"/>
  <c r="H38" i="14" s="1"/>
  <c r="N40" i="14"/>
  <c r="N41" i="14"/>
  <c r="G31" i="14"/>
  <c r="H31" i="14"/>
  <c r="N38" i="14" l="1"/>
  <c r="P41" i="14"/>
  <c r="Q41" i="14" s="1"/>
  <c r="G30" i="14"/>
  <c r="H30" i="14" s="1"/>
  <c r="H15" i="48" l="1"/>
  <c r="I15" i="48" s="1"/>
  <c r="H13" i="48"/>
  <c r="I13" i="48" s="1"/>
  <c r="H9" i="48"/>
  <c r="I9" i="48" s="1"/>
  <c r="I6" i="48"/>
  <c r="I7" i="48"/>
  <c r="I10" i="48"/>
  <c r="I11" i="48"/>
  <c r="I5" i="48"/>
  <c r="D15" i="48"/>
  <c r="G10" i="48"/>
  <c r="G13" i="48" s="1"/>
  <c r="G11" i="48"/>
  <c r="G7" i="48"/>
  <c r="G6" i="48"/>
  <c r="G5" i="48"/>
  <c r="G9" i="48" s="1"/>
  <c r="G12" i="47"/>
  <c r="J12" i="47"/>
  <c r="I12" i="47"/>
  <c r="G14" i="47" l="1"/>
  <c r="N173" i="46" l="1"/>
  <c r="M173" i="46"/>
  <c r="N172" i="46"/>
  <c r="M172" i="46"/>
  <c r="N171" i="46"/>
  <c r="N170" i="46"/>
  <c r="M170" i="46"/>
  <c r="N169" i="46"/>
  <c r="N168" i="46"/>
  <c r="N167" i="46"/>
  <c r="M167" i="46"/>
  <c r="N166" i="46"/>
  <c r="M166" i="46"/>
  <c r="N165" i="46"/>
  <c r="M165" i="46"/>
  <c r="N164" i="46"/>
  <c r="M164" i="46"/>
  <c r="N163" i="46"/>
  <c r="N162" i="46"/>
  <c r="M162" i="46"/>
  <c r="N161" i="46"/>
  <c r="N160" i="46"/>
  <c r="N159" i="46"/>
  <c r="M159" i="46"/>
  <c r="N158" i="46"/>
  <c r="M158" i="46"/>
  <c r="N157" i="46"/>
  <c r="M157" i="46"/>
  <c r="N156" i="46"/>
  <c r="M156" i="46"/>
  <c r="N155" i="46"/>
  <c r="M155" i="46"/>
  <c r="N154" i="46"/>
  <c r="M154" i="46"/>
  <c r="N153" i="46"/>
  <c r="M153" i="46"/>
  <c r="N152" i="46"/>
  <c r="N151" i="46"/>
  <c r="N150" i="46"/>
  <c r="N149" i="46"/>
  <c r="M149" i="46"/>
  <c r="N148" i="46"/>
  <c r="M148" i="46"/>
  <c r="N147" i="46"/>
  <c r="M147" i="46"/>
  <c r="N146" i="46"/>
  <c r="M146" i="46"/>
  <c r="N145" i="46"/>
  <c r="M145" i="46"/>
  <c r="N144" i="46"/>
  <c r="M144" i="46"/>
  <c r="N143" i="46"/>
  <c r="M143" i="46"/>
  <c r="N142" i="46"/>
  <c r="M142" i="46"/>
  <c r="N141" i="46"/>
  <c r="M141" i="46"/>
  <c r="N140" i="46"/>
  <c r="M140" i="46"/>
  <c r="N139" i="46"/>
  <c r="M139" i="46"/>
  <c r="N138" i="46"/>
  <c r="M138" i="46"/>
  <c r="N137" i="46"/>
  <c r="M137" i="46"/>
  <c r="N136" i="46"/>
  <c r="M136" i="46"/>
  <c r="N135" i="46"/>
  <c r="M135" i="46"/>
  <c r="N134" i="46"/>
  <c r="M134" i="46"/>
  <c r="N133" i="46"/>
  <c r="N132" i="46"/>
  <c r="M132" i="46"/>
  <c r="N131" i="46"/>
  <c r="M131" i="46"/>
  <c r="N130" i="46"/>
  <c r="M130" i="46"/>
  <c r="N129" i="46"/>
  <c r="N128" i="46"/>
  <c r="M128" i="46"/>
  <c r="N60" i="46"/>
  <c r="M60" i="46"/>
  <c r="N47" i="46"/>
  <c r="M47" i="46"/>
  <c r="N46" i="46"/>
  <c r="M46" i="46"/>
  <c r="N45" i="46"/>
  <c r="M45" i="46"/>
  <c r="N44" i="46"/>
  <c r="M44" i="46"/>
  <c r="N43" i="46"/>
  <c r="M43" i="46"/>
  <c r="N42" i="46"/>
  <c r="M42" i="46"/>
  <c r="N41" i="46"/>
  <c r="M41" i="46"/>
  <c r="N40" i="46"/>
  <c r="M40" i="46"/>
  <c r="N38" i="46"/>
  <c r="M38" i="46"/>
  <c r="N37" i="46"/>
  <c r="N36" i="46"/>
  <c r="M36" i="46"/>
  <c r="N35" i="46"/>
  <c r="M35" i="46"/>
  <c r="N34" i="46"/>
  <c r="M34" i="46"/>
  <c r="N33" i="46"/>
  <c r="M33" i="46"/>
  <c r="N32" i="46"/>
  <c r="N31" i="46"/>
  <c r="M31" i="46"/>
  <c r="N30" i="46"/>
  <c r="N29" i="46"/>
  <c r="M29" i="46"/>
  <c r="N28" i="46"/>
  <c r="M28" i="46"/>
  <c r="N24" i="46"/>
  <c r="M24" i="46"/>
  <c r="M23" i="46"/>
  <c r="N22" i="46"/>
  <c r="M22" i="46"/>
  <c r="N21" i="46"/>
  <c r="M21" i="46"/>
  <c r="N17" i="46"/>
  <c r="M17" i="46"/>
  <c r="N14" i="46"/>
  <c r="M14" i="46"/>
  <c r="N11" i="46"/>
  <c r="M11" i="46"/>
  <c r="N10" i="46"/>
  <c r="M10" i="46"/>
  <c r="N6" i="46"/>
  <c r="M6" i="46"/>
  <c r="N4" i="46"/>
  <c r="M4" i="46"/>
  <c r="L48" i="46"/>
  <c r="N48" i="46" s="1"/>
  <c r="L39" i="46"/>
  <c r="N39" i="46" s="1"/>
  <c r="L27" i="46"/>
  <c r="N27" i="46" s="1"/>
  <c r="L26" i="46"/>
  <c r="N26" i="46" s="1"/>
  <c r="L25" i="46"/>
  <c r="N25" i="46" s="1"/>
  <c r="L23" i="46"/>
  <c r="N23" i="46" s="1"/>
  <c r="L20" i="46"/>
  <c r="N20" i="46" s="1"/>
  <c r="L19" i="46"/>
  <c r="N19" i="46" s="1"/>
  <c r="L18" i="46"/>
  <c r="N18" i="46" s="1"/>
  <c r="L16" i="46"/>
  <c r="N16" i="46" s="1"/>
  <c r="L15" i="46"/>
  <c r="N15" i="46" s="1"/>
  <c r="L13" i="46"/>
  <c r="N13" i="46" s="1"/>
  <c r="L12" i="46"/>
  <c r="N12" i="46" s="1"/>
  <c r="L9" i="46"/>
  <c r="N9" i="46" s="1"/>
  <c r="L8" i="46"/>
  <c r="N8" i="46" s="1"/>
  <c r="L7" i="46"/>
  <c r="N7" i="46" s="1"/>
  <c r="L5" i="46"/>
  <c r="N5" i="46" s="1"/>
  <c r="L3" i="46"/>
  <c r="N3" i="46" s="1"/>
  <c r="K171" i="46"/>
  <c r="M171" i="46" s="1"/>
  <c r="K169" i="46"/>
  <c r="M169" i="46" s="1"/>
  <c r="K168" i="46"/>
  <c r="M168" i="46" s="1"/>
  <c r="K163" i="46"/>
  <c r="M163" i="46" s="1"/>
  <c r="K161" i="46"/>
  <c r="M161" i="46" s="1"/>
  <c r="K160" i="46"/>
  <c r="M160" i="46" s="1"/>
  <c r="K152" i="46"/>
  <c r="M152" i="46" s="1"/>
  <c r="K151" i="46"/>
  <c r="M151" i="46" s="1"/>
  <c r="K150" i="46"/>
  <c r="M150" i="46" s="1"/>
  <c r="K133" i="46"/>
  <c r="M133" i="46" s="1"/>
  <c r="K129" i="46"/>
  <c r="M129" i="46" s="1"/>
  <c r="K48" i="46"/>
  <c r="M48" i="46" s="1"/>
  <c r="K39" i="46"/>
  <c r="M39" i="46" s="1"/>
  <c r="K37" i="46"/>
  <c r="M37" i="46" s="1"/>
  <c r="K32" i="46"/>
  <c r="M32" i="46" s="1"/>
  <c r="K30" i="46"/>
  <c r="M30" i="46" s="1"/>
  <c r="K27" i="46"/>
  <c r="M27" i="46" s="1"/>
  <c r="K26" i="46"/>
  <c r="M26" i="46" s="1"/>
  <c r="K25" i="46"/>
  <c r="M25" i="46" s="1"/>
  <c r="K20" i="46"/>
  <c r="M20" i="46" s="1"/>
  <c r="K19" i="46"/>
  <c r="M19" i="46" s="1"/>
  <c r="K18" i="46"/>
  <c r="M18" i="46" s="1"/>
  <c r="K16" i="46"/>
  <c r="M16" i="46" s="1"/>
  <c r="K15" i="46"/>
  <c r="M15" i="46" s="1"/>
  <c r="K13" i="46"/>
  <c r="M13" i="46" s="1"/>
  <c r="K12" i="46"/>
  <c r="M12" i="46" s="1"/>
  <c r="K9" i="46"/>
  <c r="M9" i="46" s="1"/>
  <c r="K8" i="46"/>
  <c r="M8" i="46" s="1"/>
  <c r="K7" i="46"/>
  <c r="M7" i="46" s="1"/>
  <c r="K5" i="46"/>
  <c r="M5" i="46" s="1"/>
  <c r="K3" i="46"/>
  <c r="M3" i="46" s="1"/>
  <c r="N186" i="46" l="1"/>
  <c r="M186" i="46"/>
  <c r="M20" i="14" l="1"/>
  <c r="I17" i="14" l="1"/>
  <c r="H17" i="14"/>
  <c r="N17" i="14" s="1"/>
  <c r="J17" i="14"/>
  <c r="K17" i="14" l="1"/>
  <c r="P17" i="14"/>
  <c r="Q17" i="14" s="1"/>
  <c r="I14" i="14"/>
  <c r="J14" i="14"/>
  <c r="P38" i="14"/>
  <c r="Q38" i="14" s="1"/>
  <c r="J40" i="14"/>
  <c r="J38" i="14"/>
  <c r="K14" i="14" l="1"/>
  <c r="K38" i="14"/>
  <c r="P40" i="14"/>
  <c r="Q40" i="14" s="1"/>
  <c r="K40" i="14"/>
  <c r="K29" i="44"/>
  <c r="K28" i="44"/>
  <c r="K15" i="44"/>
  <c r="K14" i="44"/>
  <c r="K4" i="44"/>
  <c r="J29" i="44"/>
  <c r="J15" i="44"/>
  <c r="J14" i="44"/>
  <c r="J4" i="44"/>
  <c r="I78" i="44"/>
  <c r="K78" i="44" s="1"/>
  <c r="I77" i="44"/>
  <c r="K77" i="44" s="1"/>
  <c r="I76" i="44"/>
  <c r="K76" i="44" s="1"/>
  <c r="I75" i="44"/>
  <c r="K75" i="44" s="1"/>
  <c r="I74" i="44"/>
  <c r="K74" i="44" s="1"/>
  <c r="I73" i="44"/>
  <c r="K73" i="44" s="1"/>
  <c r="I72" i="44"/>
  <c r="K72" i="44" s="1"/>
  <c r="I71" i="44"/>
  <c r="K71" i="44" s="1"/>
  <c r="I70" i="44"/>
  <c r="K70" i="44" s="1"/>
  <c r="I69" i="44"/>
  <c r="K69" i="44" s="1"/>
  <c r="I68" i="44"/>
  <c r="K68" i="44" s="1"/>
  <c r="I67" i="44"/>
  <c r="K67" i="44" s="1"/>
  <c r="I66" i="44"/>
  <c r="K66" i="44" s="1"/>
  <c r="I65" i="44"/>
  <c r="K65" i="44" s="1"/>
  <c r="I64" i="44"/>
  <c r="K64" i="44" s="1"/>
  <c r="I63" i="44"/>
  <c r="K63" i="44" s="1"/>
  <c r="I62" i="44"/>
  <c r="K62" i="44" s="1"/>
  <c r="I61" i="44"/>
  <c r="K61" i="44" s="1"/>
  <c r="I60" i="44"/>
  <c r="K60" i="44" s="1"/>
  <c r="I59" i="44"/>
  <c r="K59" i="44" s="1"/>
  <c r="I58" i="44"/>
  <c r="K58" i="44" s="1"/>
  <c r="I57" i="44"/>
  <c r="K57" i="44" s="1"/>
  <c r="I56" i="44"/>
  <c r="K56" i="44" s="1"/>
  <c r="I55" i="44"/>
  <c r="K55" i="44" s="1"/>
  <c r="I54" i="44"/>
  <c r="K54" i="44" s="1"/>
  <c r="I53" i="44"/>
  <c r="K53" i="44" s="1"/>
  <c r="I52" i="44"/>
  <c r="K52" i="44" s="1"/>
  <c r="I51" i="44"/>
  <c r="K51" i="44" s="1"/>
  <c r="I50" i="44"/>
  <c r="K50" i="44" s="1"/>
  <c r="I49" i="44"/>
  <c r="K49" i="44" s="1"/>
  <c r="I48" i="44"/>
  <c r="K48" i="44" s="1"/>
  <c r="I47" i="44"/>
  <c r="K47" i="44" s="1"/>
  <c r="I46" i="44"/>
  <c r="K46" i="44" s="1"/>
  <c r="I45" i="44"/>
  <c r="K45" i="44" s="1"/>
  <c r="I44" i="44"/>
  <c r="K44" i="44" s="1"/>
  <c r="I43" i="44"/>
  <c r="K43" i="44" s="1"/>
  <c r="I42" i="44"/>
  <c r="K42" i="44" s="1"/>
  <c r="I40" i="44"/>
  <c r="K40" i="44" s="1"/>
  <c r="I39" i="44"/>
  <c r="K39" i="44" s="1"/>
  <c r="I38" i="44"/>
  <c r="K38" i="44" s="1"/>
  <c r="I37" i="44"/>
  <c r="K37" i="44" s="1"/>
  <c r="I36" i="44"/>
  <c r="K36" i="44" s="1"/>
  <c r="I35" i="44"/>
  <c r="K35" i="44" s="1"/>
  <c r="I34" i="44"/>
  <c r="K34" i="44" s="1"/>
  <c r="I33" i="44"/>
  <c r="K33" i="44" s="1"/>
  <c r="I32" i="44"/>
  <c r="K32" i="44" s="1"/>
  <c r="I31" i="44"/>
  <c r="K31" i="44" s="1"/>
  <c r="I27" i="44"/>
  <c r="K27" i="44" s="1"/>
  <c r="I26" i="44"/>
  <c r="K26" i="44" s="1"/>
  <c r="I25" i="44"/>
  <c r="K25" i="44" s="1"/>
  <c r="I24" i="44"/>
  <c r="K24" i="44" s="1"/>
  <c r="I22" i="44"/>
  <c r="K22" i="44" s="1"/>
  <c r="I20" i="44"/>
  <c r="K20" i="44" s="1"/>
  <c r="I19" i="44"/>
  <c r="K19" i="44" s="1"/>
  <c r="I17" i="44"/>
  <c r="K17" i="44" s="1"/>
  <c r="I16" i="44"/>
  <c r="K16" i="44" s="1"/>
  <c r="I13" i="44"/>
  <c r="K13" i="44" s="1"/>
  <c r="I12" i="44"/>
  <c r="K12" i="44" s="1"/>
  <c r="I9" i="44"/>
  <c r="K9" i="44" s="1"/>
  <c r="I5" i="44"/>
  <c r="K5" i="44" s="1"/>
  <c r="H78" i="44"/>
  <c r="J78" i="44" s="1"/>
  <c r="H77" i="44"/>
  <c r="J77" i="44" s="1"/>
  <c r="H76" i="44"/>
  <c r="J76" i="44" s="1"/>
  <c r="H75" i="44"/>
  <c r="J75" i="44" s="1"/>
  <c r="H74" i="44"/>
  <c r="J74" i="44" s="1"/>
  <c r="H73" i="44"/>
  <c r="J73" i="44" s="1"/>
  <c r="H72" i="44"/>
  <c r="J72" i="44" s="1"/>
  <c r="H71" i="44"/>
  <c r="J71" i="44" s="1"/>
  <c r="H70" i="44"/>
  <c r="J70" i="44" s="1"/>
  <c r="H69" i="44"/>
  <c r="J69" i="44" s="1"/>
  <c r="H68" i="44"/>
  <c r="J68" i="44" s="1"/>
  <c r="H67" i="44"/>
  <c r="J67" i="44" s="1"/>
  <c r="H66" i="44"/>
  <c r="J66" i="44" s="1"/>
  <c r="H65" i="44"/>
  <c r="J65" i="44" s="1"/>
  <c r="H64" i="44"/>
  <c r="J64" i="44" s="1"/>
  <c r="H63" i="44"/>
  <c r="J63" i="44" s="1"/>
  <c r="H62" i="44"/>
  <c r="J62" i="44" s="1"/>
  <c r="H61" i="44"/>
  <c r="J61" i="44" s="1"/>
  <c r="H60" i="44"/>
  <c r="J60" i="44" s="1"/>
  <c r="H59" i="44"/>
  <c r="J59" i="44" s="1"/>
  <c r="H58" i="44"/>
  <c r="J58" i="44" s="1"/>
  <c r="H57" i="44"/>
  <c r="J57" i="44" s="1"/>
  <c r="H56" i="44"/>
  <c r="J56" i="44" s="1"/>
  <c r="H55" i="44"/>
  <c r="J55" i="44" s="1"/>
  <c r="H54" i="44"/>
  <c r="J54" i="44" s="1"/>
  <c r="H53" i="44"/>
  <c r="J53" i="44" s="1"/>
  <c r="H52" i="44"/>
  <c r="J52" i="44" s="1"/>
  <c r="H51" i="44"/>
  <c r="J51" i="44" s="1"/>
  <c r="H50" i="44"/>
  <c r="J50" i="44" s="1"/>
  <c r="H49" i="44"/>
  <c r="J49" i="44" s="1"/>
  <c r="H48" i="44"/>
  <c r="J48" i="44" s="1"/>
  <c r="H47" i="44"/>
  <c r="J47" i="44" s="1"/>
  <c r="H46" i="44"/>
  <c r="J46" i="44" s="1"/>
  <c r="H45" i="44"/>
  <c r="J45" i="44" s="1"/>
  <c r="H44" i="44"/>
  <c r="J44" i="44" s="1"/>
  <c r="H43" i="44"/>
  <c r="J43" i="44" s="1"/>
  <c r="H42" i="44"/>
  <c r="J42" i="44" s="1"/>
  <c r="H40" i="44"/>
  <c r="J40" i="44" s="1"/>
  <c r="H39" i="44"/>
  <c r="J39" i="44" s="1"/>
  <c r="H38" i="44"/>
  <c r="J38" i="44" s="1"/>
  <c r="H37" i="44"/>
  <c r="J37" i="44" s="1"/>
  <c r="H36" i="44"/>
  <c r="J36" i="44" s="1"/>
  <c r="H35" i="44"/>
  <c r="J35" i="44" s="1"/>
  <c r="H34" i="44"/>
  <c r="J34" i="44" s="1"/>
  <c r="H33" i="44"/>
  <c r="J33" i="44" s="1"/>
  <c r="H32" i="44"/>
  <c r="J32" i="44" s="1"/>
  <c r="H31" i="44"/>
  <c r="J31" i="44" s="1"/>
  <c r="H28" i="44"/>
  <c r="J28" i="44" s="1"/>
  <c r="H27" i="44"/>
  <c r="J27" i="44" s="1"/>
  <c r="H26" i="44"/>
  <c r="J26" i="44" s="1"/>
  <c r="H25" i="44"/>
  <c r="J25" i="44" s="1"/>
  <c r="H24" i="44"/>
  <c r="J24" i="44" s="1"/>
  <c r="H22" i="44"/>
  <c r="J22" i="44" s="1"/>
  <c r="H20" i="44"/>
  <c r="J20" i="44" s="1"/>
  <c r="H19" i="44"/>
  <c r="J19" i="44" s="1"/>
  <c r="H17" i="44"/>
  <c r="J17" i="44" s="1"/>
  <c r="H16" i="44"/>
  <c r="J16" i="44" s="1"/>
  <c r="H13" i="44"/>
  <c r="J13" i="44" s="1"/>
  <c r="H12" i="44"/>
  <c r="J12" i="44" s="1"/>
  <c r="H9" i="44"/>
  <c r="J9" i="44" s="1"/>
  <c r="H5" i="44"/>
  <c r="J5" i="44" s="1"/>
  <c r="J126" i="44" l="1"/>
  <c r="K126" i="44"/>
  <c r="N28" i="14" l="1"/>
  <c r="J28" i="14"/>
  <c r="I28" i="14"/>
  <c r="P28" i="14" l="1"/>
  <c r="Q28" i="14" s="1"/>
  <c r="K28" i="14"/>
  <c r="G42" i="14" l="1"/>
  <c r="I23" i="14" l="1"/>
  <c r="J23" i="14"/>
  <c r="N23" i="14"/>
  <c r="K23" i="14" l="1"/>
  <c r="P23" i="14"/>
  <c r="Q23" i="14" s="1"/>
  <c r="N16" i="14" l="1"/>
  <c r="N36" i="14"/>
  <c r="N26" i="14"/>
  <c r="H11" i="14"/>
  <c r="N11" i="14" s="1"/>
  <c r="S42" i="14"/>
  <c r="T35" i="14"/>
  <c r="S35" i="14"/>
  <c r="T6" i="14"/>
  <c r="S6" i="14"/>
  <c r="T4" i="14"/>
  <c r="S4" i="14"/>
  <c r="U6" i="14"/>
  <c r="U4" i="14"/>
  <c r="U3" i="14"/>
  <c r="T3" i="14"/>
  <c r="J11" i="24"/>
  <c r="F9" i="24" s="1"/>
  <c r="V42" i="14" l="1"/>
  <c r="E42" i="14" s="1"/>
  <c r="H42" i="14" s="1"/>
  <c r="V7" i="14"/>
  <c r="E7" i="14" s="1"/>
  <c r="V4" i="14"/>
  <c r="E4" i="14" s="1"/>
  <c r="V3" i="14"/>
  <c r="E3" i="14" s="1"/>
  <c r="V6" i="14"/>
  <c r="E6" i="14" s="1"/>
  <c r="V35" i="14"/>
  <c r="E11" i="39"/>
  <c r="H6" i="14" l="1"/>
  <c r="N6" i="14" s="1"/>
  <c r="H7" i="14"/>
  <c r="N7" i="14" s="1"/>
  <c r="O7" i="14" s="1"/>
  <c r="E35" i="14"/>
  <c r="H35" i="14" s="1"/>
  <c r="N12" i="14"/>
  <c r="I16" i="14"/>
  <c r="J16" i="14"/>
  <c r="N42" i="14"/>
  <c r="O42" i="14" s="1"/>
  <c r="J42" i="14"/>
  <c r="N13" i="14"/>
  <c r="I13" i="14"/>
  <c r="J13" i="14"/>
  <c r="N31" i="14"/>
  <c r="J31" i="14"/>
  <c r="I31" i="14"/>
  <c r="N32" i="14"/>
  <c r="J32" i="14"/>
  <c r="I32" i="14"/>
  <c r="J35" i="14"/>
  <c r="H3" i="14" l="1"/>
  <c r="N3" i="14" s="1"/>
  <c r="N35" i="14"/>
  <c r="K16" i="14"/>
  <c r="P42" i="14"/>
  <c r="Q42" i="14" s="1"/>
  <c r="K31" i="14"/>
  <c r="K32" i="14"/>
  <c r="P16" i="14"/>
  <c r="Q16" i="14" s="1"/>
  <c r="K13" i="14"/>
  <c r="K42" i="14"/>
  <c r="P32" i="14"/>
  <c r="Q32" i="14" s="1"/>
  <c r="P31" i="14"/>
  <c r="J12" i="14"/>
  <c r="K35" i="14"/>
  <c r="Q31" i="14" l="1"/>
  <c r="P35" i="14"/>
  <c r="Q35" i="14" s="1"/>
  <c r="P13" i="14"/>
  <c r="Q13" i="14" s="1"/>
  <c r="I12" i="14"/>
  <c r="K12" i="14" s="1"/>
  <c r="F9" i="8"/>
  <c r="P12" i="14" l="1"/>
  <c r="Q12" i="14" s="1"/>
  <c r="G4" i="14"/>
  <c r="H4" i="14" l="1"/>
  <c r="N4" i="14" s="1"/>
  <c r="N19" i="14"/>
  <c r="N20" i="14"/>
  <c r="N21" i="14"/>
  <c r="N22" i="14"/>
  <c r="N18" i="14"/>
  <c r="J21" i="14"/>
  <c r="I21" i="14"/>
  <c r="J20" i="14"/>
  <c r="I20" i="14"/>
  <c r="J19" i="14"/>
  <c r="I19" i="14"/>
  <c r="X27" i="38"/>
  <c r="Y27" i="38" s="1"/>
  <c r="AA32" i="38" s="1"/>
  <c r="P4" i="14" l="1"/>
  <c r="Q4" i="14" s="1"/>
  <c r="K21" i="14"/>
  <c r="K19" i="14"/>
  <c r="K20" i="14"/>
  <c r="P20" i="14"/>
  <c r="Q20" i="14" s="1"/>
  <c r="J36" i="14"/>
  <c r="I36" i="14"/>
  <c r="P21" i="14" l="1"/>
  <c r="Q21" i="14" s="1"/>
  <c r="P19" i="14"/>
  <c r="Q19" i="14" s="1"/>
  <c r="K36" i="14"/>
  <c r="P36" i="14"/>
  <c r="Q36" i="14" s="1"/>
  <c r="H1" i="38" l="1"/>
  <c r="H3" i="38" s="1"/>
  <c r="H4" i="38" l="1"/>
  <c r="H5" i="38" s="1"/>
  <c r="P26" i="14" l="1"/>
  <c r="Q26" i="14" s="1"/>
  <c r="H65" i="34" l="1"/>
  <c r="G63" i="34"/>
  <c r="I63" i="34" s="1"/>
  <c r="J63" i="34" s="1"/>
  <c r="F63" i="34"/>
  <c r="G62" i="34"/>
  <c r="I62" i="34" s="1"/>
  <c r="J62" i="34" s="1"/>
  <c r="K62" i="34" s="1"/>
  <c r="L62" i="34" s="1"/>
  <c r="F62" i="34"/>
  <c r="N61" i="34"/>
  <c r="N64" i="34" s="1"/>
  <c r="N65" i="34" s="1"/>
  <c r="N66" i="34" s="1"/>
  <c r="G61" i="34"/>
  <c r="I61" i="34" s="1"/>
  <c r="J61" i="34" s="1"/>
  <c r="F61" i="34"/>
  <c r="G60" i="34"/>
  <c r="I60" i="34" s="1"/>
  <c r="J60" i="34" s="1"/>
  <c r="K60" i="34" s="1"/>
  <c r="L60" i="34" s="1"/>
  <c r="F60" i="34"/>
  <c r="I59" i="34"/>
  <c r="J59" i="34" s="1"/>
  <c r="G58" i="34"/>
  <c r="I58" i="34" s="1"/>
  <c r="J58" i="34" s="1"/>
  <c r="K58" i="34" s="1"/>
  <c r="L58" i="34" s="1"/>
  <c r="G57" i="34"/>
  <c r="I57" i="34" s="1"/>
  <c r="J57" i="34" s="1"/>
  <c r="F57" i="34"/>
  <c r="G56" i="34"/>
  <c r="I56" i="34" s="1"/>
  <c r="J56" i="34" s="1"/>
  <c r="K56" i="34" s="1"/>
  <c r="L56" i="34" s="1"/>
  <c r="F56" i="34"/>
  <c r="G55" i="34"/>
  <c r="I55" i="34" s="1"/>
  <c r="J55" i="34" s="1"/>
  <c r="F55" i="34"/>
  <c r="G54" i="34"/>
  <c r="I54" i="34" s="1"/>
  <c r="J54" i="34" s="1"/>
  <c r="F54" i="34"/>
  <c r="G53" i="34"/>
  <c r="I53" i="34" s="1"/>
  <c r="J53" i="34" s="1"/>
  <c r="F53" i="34"/>
  <c r="H41" i="34"/>
  <c r="G40" i="34"/>
  <c r="I40" i="34" s="1"/>
  <c r="J40" i="34" s="1"/>
  <c r="F40" i="34"/>
  <c r="G39" i="34"/>
  <c r="I39" i="34" s="1"/>
  <c r="J39" i="34" s="1"/>
  <c r="F39" i="34"/>
  <c r="G38" i="34"/>
  <c r="I38" i="34" s="1"/>
  <c r="J38" i="34" s="1"/>
  <c r="F38" i="34"/>
  <c r="G37" i="34"/>
  <c r="I37" i="34" s="1"/>
  <c r="J37" i="34" s="1"/>
  <c r="F37" i="34"/>
  <c r="O35" i="34"/>
  <c r="G35" i="34"/>
  <c r="I35" i="34" s="1"/>
  <c r="J35" i="34" s="1"/>
  <c r="K35" i="34" s="1"/>
  <c r="L35" i="34" s="1"/>
  <c r="G34" i="34"/>
  <c r="I34" i="34" s="1"/>
  <c r="J34" i="34" s="1"/>
  <c r="F34" i="34"/>
  <c r="G33" i="34"/>
  <c r="I33" i="34" s="1"/>
  <c r="J33" i="34" s="1"/>
  <c r="K33" i="34" s="1"/>
  <c r="L33" i="34" s="1"/>
  <c r="F33" i="34"/>
  <c r="G32" i="34"/>
  <c r="I32" i="34" s="1"/>
  <c r="J32" i="34" s="1"/>
  <c r="F32" i="34"/>
  <c r="G31" i="34"/>
  <c r="I31" i="34" s="1"/>
  <c r="J31" i="34" s="1"/>
  <c r="F31" i="34"/>
  <c r="G30" i="34"/>
  <c r="I30" i="34" s="1"/>
  <c r="J30" i="34" s="1"/>
  <c r="F30" i="34"/>
  <c r="H26" i="34"/>
  <c r="G24" i="34"/>
  <c r="I24" i="34" s="1"/>
  <c r="J24" i="34" s="1"/>
  <c r="K24" i="34" s="1"/>
  <c r="L24" i="34" s="1"/>
  <c r="G23" i="34"/>
  <c r="I23" i="34" s="1"/>
  <c r="J23" i="34" s="1"/>
  <c r="G22" i="34"/>
  <c r="I22" i="34" s="1"/>
  <c r="J22" i="34" s="1"/>
  <c r="K22" i="34" s="1"/>
  <c r="L22" i="34" s="1"/>
  <c r="G21" i="34"/>
  <c r="I21" i="34" s="1"/>
  <c r="J21" i="34" s="1"/>
  <c r="G20" i="34"/>
  <c r="I20" i="34" s="1"/>
  <c r="J20" i="34" s="1"/>
  <c r="K20" i="34" s="1"/>
  <c r="L20" i="34" s="1"/>
  <c r="G19" i="34"/>
  <c r="I19" i="34" s="1"/>
  <c r="J19" i="34" s="1"/>
  <c r="G18" i="34"/>
  <c r="I18" i="34" s="1"/>
  <c r="J18" i="34" s="1"/>
  <c r="G17" i="34"/>
  <c r="I17" i="34" s="1"/>
  <c r="J17" i="34" s="1"/>
  <c r="K17" i="34" s="1"/>
  <c r="L17" i="34" s="1"/>
  <c r="L26" i="34" s="1"/>
  <c r="H12" i="34"/>
  <c r="G10" i="34"/>
  <c r="I10" i="34" s="1"/>
  <c r="J10" i="34" s="1"/>
  <c r="K10" i="34" s="1"/>
  <c r="L10" i="34" s="1"/>
  <c r="G9" i="34"/>
  <c r="I9" i="34" s="1"/>
  <c r="J9" i="34" s="1"/>
  <c r="G8" i="34"/>
  <c r="I8" i="34" s="1"/>
  <c r="J8" i="34" s="1"/>
  <c r="G7" i="34"/>
  <c r="I7" i="34" s="1"/>
  <c r="J7" i="34" s="1"/>
  <c r="G6" i="34"/>
  <c r="I6" i="34" s="1"/>
  <c r="J6" i="34" s="1"/>
  <c r="K6" i="34" s="1"/>
  <c r="L6" i="34" s="1"/>
  <c r="G5" i="34"/>
  <c r="I5" i="34" s="1"/>
  <c r="J5" i="34" s="1"/>
  <c r="G4" i="34"/>
  <c r="I4" i="34" s="1"/>
  <c r="J4" i="34" s="1"/>
  <c r="G3" i="34"/>
  <c r="I3" i="34" s="1"/>
  <c r="J3" i="34" s="1"/>
  <c r="K3" i="34" s="1"/>
  <c r="L3" i="34" s="1"/>
  <c r="K30" i="34" l="1"/>
  <c r="L30" i="34" s="1"/>
  <c r="K8" i="34"/>
  <c r="L8" i="34" s="1"/>
  <c r="L12" i="34" s="1"/>
  <c r="N17" i="34" s="1"/>
  <c r="N18" i="34" s="1"/>
  <c r="N19" i="34" s="1"/>
  <c r="K39" i="34"/>
  <c r="L39" i="34" s="1"/>
  <c r="L41" i="34" s="1"/>
  <c r="K37" i="34"/>
  <c r="L37" i="34" s="1"/>
  <c r="K53" i="34"/>
  <c r="L53" i="34" s="1"/>
  <c r="N15" i="14" l="1"/>
  <c r="J15" i="14"/>
  <c r="I15" i="14"/>
  <c r="P15" i="14" l="1"/>
  <c r="Q15" i="14" s="1"/>
  <c r="K15" i="14"/>
  <c r="I6" i="31"/>
  <c r="I8" i="31"/>
  <c r="J8" i="31" s="1"/>
  <c r="J6" i="31"/>
  <c r="J9" i="31"/>
  <c r="J7" i="31"/>
  <c r="P11" i="14" l="1"/>
  <c r="Q11" i="14" s="1"/>
  <c r="N14" i="14"/>
  <c r="J30" i="14"/>
  <c r="I30" i="14"/>
  <c r="N30" i="14" l="1"/>
  <c r="P14" i="14"/>
  <c r="Q14" i="14" s="1"/>
  <c r="K30" i="14"/>
  <c r="P30" i="14" l="1"/>
  <c r="Q30" i="14" s="1"/>
  <c r="I37" i="14"/>
  <c r="J37" i="14"/>
  <c r="K37" i="14" l="1"/>
  <c r="P18" i="14" l="1"/>
  <c r="Q18" i="14" s="1"/>
  <c r="F5" i="24"/>
  <c r="F13" i="24" s="1"/>
  <c r="J18" i="14"/>
  <c r="I18" i="14"/>
  <c r="L43" i="50" l="1"/>
  <c r="G14" i="24"/>
  <c r="M43" i="50" s="1"/>
  <c r="M44" i="50" s="1"/>
  <c r="L44" i="50"/>
  <c r="N45" i="14"/>
  <c r="K18" i="14"/>
  <c r="O45" i="14" l="1"/>
  <c r="G15" i="24"/>
  <c r="G16" i="24" s="1"/>
  <c r="N43" i="50" s="1"/>
  <c r="N44" i="50" l="1"/>
  <c r="L45" i="50" s="1"/>
  <c r="O43" i="50"/>
  <c r="O45" i="50" s="1"/>
  <c r="G17" i="24"/>
  <c r="P45" i="14"/>
  <c r="Q45" i="14" s="1"/>
  <c r="I25" i="14"/>
  <c r="J25" i="14"/>
  <c r="I27" i="14"/>
  <c r="J27" i="14"/>
  <c r="I22" i="14"/>
  <c r="J22" i="14"/>
  <c r="I24" i="14"/>
  <c r="J24" i="14"/>
  <c r="I29" i="14"/>
  <c r="J29" i="14"/>
  <c r="N29" i="14"/>
  <c r="N27" i="14"/>
  <c r="N24" i="14"/>
  <c r="N25" i="14"/>
  <c r="O24" i="14" l="1"/>
  <c r="P29" i="14"/>
  <c r="Q29" i="14" s="1"/>
  <c r="P25" i="14"/>
  <c r="Q25" i="14" s="1"/>
  <c r="P27" i="14"/>
  <c r="P22" i="14"/>
  <c r="Q22" i="14" s="1"/>
  <c r="K29" i="14"/>
  <c r="K25" i="14"/>
  <c r="K22" i="14"/>
  <c r="K24" i="14"/>
  <c r="K27" i="14"/>
  <c r="P24" i="14" l="1"/>
  <c r="Q24" i="14" s="1"/>
  <c r="O55" i="14"/>
  <c r="Q27" i="14"/>
  <c r="C4" i="8" s="1"/>
  <c r="J7" i="14"/>
  <c r="K7" i="14" s="1"/>
  <c r="D4" i="8" l="1"/>
  <c r="M14" i="20" l="1"/>
  <c r="M15" i="20" s="1"/>
  <c r="K15" i="20"/>
  <c r="L15" i="20" s="1"/>
  <c r="H9" i="20"/>
  <c r="M8" i="20" s="1"/>
  <c r="M9" i="20" s="1"/>
  <c r="K8" i="20"/>
  <c r="L6" i="20"/>
  <c r="K5" i="20"/>
  <c r="L5" i="20" s="1"/>
  <c r="M6" i="20" s="1"/>
  <c r="K6" i="20"/>
  <c r="K9" i="20" l="1"/>
  <c r="L8" i="20"/>
  <c r="L9" i="20"/>
  <c r="L10" i="20" l="1"/>
  <c r="I6" i="20"/>
  <c r="H11" i="20" l="1"/>
  <c r="H22" i="20"/>
  <c r="I22" i="20" s="1"/>
  <c r="H21" i="20"/>
  <c r="I18" i="20"/>
  <c r="H17" i="20"/>
  <c r="I15" i="20"/>
  <c r="H14" i="20"/>
  <c r="K14" i="20" s="1"/>
  <c r="L14" i="20" s="1"/>
  <c r="L16" i="20" s="1"/>
  <c r="H12" i="20"/>
  <c r="I12" i="20" s="1"/>
  <c r="I9" i="20"/>
  <c r="I5" i="20" l="1"/>
  <c r="I17" i="20" l="1"/>
  <c r="I14" i="20"/>
  <c r="I11" i="20"/>
  <c r="E8" i="20"/>
  <c r="I8" i="20" s="1"/>
  <c r="J9" i="14" l="1"/>
  <c r="J11" i="14"/>
  <c r="I9" i="14"/>
  <c r="I11" i="14"/>
  <c r="I8" i="14"/>
  <c r="J8" i="14"/>
  <c r="K8" i="14" l="1"/>
  <c r="K11" i="14"/>
  <c r="K9" i="14"/>
  <c r="J5" i="8" l="1"/>
  <c r="K5" i="8" s="1"/>
  <c r="L5" i="8" s="1"/>
  <c r="M5" i="8" s="1"/>
  <c r="N5" i="8" s="1"/>
  <c r="N37" i="14"/>
  <c r="T44" i="15" l="1"/>
  <c r="R3" i="15"/>
  <c r="T3" i="15" s="1"/>
  <c r="S3" i="15"/>
  <c r="U3" i="15" s="1"/>
  <c r="R4" i="15"/>
  <c r="T4" i="15" s="1"/>
  <c r="S4" i="15"/>
  <c r="U4" i="15" s="1"/>
  <c r="R5" i="15"/>
  <c r="T5" i="15" s="1"/>
  <c r="S5" i="15"/>
  <c r="U5" i="15" s="1"/>
  <c r="R6" i="15"/>
  <c r="T6" i="15" s="1"/>
  <c r="S6" i="15"/>
  <c r="U6" i="15" s="1"/>
  <c r="R7" i="15"/>
  <c r="T7" i="15" s="1"/>
  <c r="S7" i="15"/>
  <c r="U7" i="15" s="1"/>
  <c r="R8" i="15"/>
  <c r="T8" i="15" s="1"/>
  <c r="S8" i="15"/>
  <c r="U8" i="15" s="1"/>
  <c r="R9" i="15"/>
  <c r="T9" i="15" s="1"/>
  <c r="S9" i="15"/>
  <c r="U9" i="15" s="1"/>
  <c r="R10" i="15"/>
  <c r="T10" i="15" s="1"/>
  <c r="S10" i="15"/>
  <c r="U10" i="15" s="1"/>
  <c r="R11" i="15"/>
  <c r="T11" i="15" s="1"/>
  <c r="S11" i="15"/>
  <c r="U11" i="15" s="1"/>
  <c r="R12" i="15"/>
  <c r="T12" i="15" s="1"/>
  <c r="S12" i="15"/>
  <c r="U12" i="15" s="1"/>
  <c r="R13" i="15"/>
  <c r="T13" i="15" s="1"/>
  <c r="S13" i="15"/>
  <c r="U13" i="15" s="1"/>
  <c r="R14" i="15"/>
  <c r="T14" i="15" s="1"/>
  <c r="S14" i="15"/>
  <c r="U14" i="15" s="1"/>
  <c r="R15" i="15"/>
  <c r="T15" i="15" s="1"/>
  <c r="S15" i="15"/>
  <c r="U15" i="15" s="1"/>
  <c r="R16" i="15"/>
  <c r="T16" i="15" s="1"/>
  <c r="S16" i="15"/>
  <c r="U16" i="15" s="1"/>
  <c r="R17" i="15"/>
  <c r="T17" i="15" s="1"/>
  <c r="S17" i="15"/>
  <c r="U17" i="15" s="1"/>
  <c r="R18" i="15"/>
  <c r="T18" i="15" s="1"/>
  <c r="S18" i="15"/>
  <c r="U18" i="15" s="1"/>
  <c r="R19" i="15"/>
  <c r="T19" i="15" s="1"/>
  <c r="S19" i="15"/>
  <c r="U19" i="15" s="1"/>
  <c r="R20" i="15"/>
  <c r="T20" i="15" s="1"/>
  <c r="S20" i="15"/>
  <c r="U20" i="15" s="1"/>
  <c r="R21" i="15"/>
  <c r="T21" i="15" s="1"/>
  <c r="S21" i="15"/>
  <c r="U21" i="15" s="1"/>
  <c r="R22" i="15"/>
  <c r="T22" i="15" s="1"/>
  <c r="S22" i="15"/>
  <c r="U22" i="15" s="1"/>
  <c r="R23" i="15"/>
  <c r="T23" i="15" s="1"/>
  <c r="S23" i="15"/>
  <c r="U23" i="15" s="1"/>
  <c r="R24" i="15"/>
  <c r="T24" i="15" s="1"/>
  <c r="S24" i="15"/>
  <c r="U24" i="15" s="1"/>
  <c r="R25" i="15"/>
  <c r="T25" i="15" s="1"/>
  <c r="S25" i="15"/>
  <c r="U25" i="15" s="1"/>
  <c r="R26" i="15"/>
  <c r="T26" i="15" s="1"/>
  <c r="S26" i="15"/>
  <c r="U26" i="15" s="1"/>
  <c r="R27" i="15"/>
  <c r="T27" i="15" s="1"/>
  <c r="S27" i="15"/>
  <c r="U27" i="15" s="1"/>
  <c r="R28" i="15"/>
  <c r="T28" i="15" s="1"/>
  <c r="S28" i="15"/>
  <c r="U28" i="15" s="1"/>
  <c r="R29" i="15"/>
  <c r="T29" i="15" s="1"/>
  <c r="S29" i="15"/>
  <c r="U29" i="15" s="1"/>
  <c r="R30" i="15"/>
  <c r="T30" i="15" s="1"/>
  <c r="S30" i="15"/>
  <c r="U30" i="15" s="1"/>
  <c r="R31" i="15"/>
  <c r="T31" i="15" s="1"/>
  <c r="S31" i="15"/>
  <c r="U31" i="15" s="1"/>
  <c r="R32" i="15"/>
  <c r="T32" i="15" s="1"/>
  <c r="S32" i="15"/>
  <c r="U32" i="15" s="1"/>
  <c r="R33" i="15"/>
  <c r="T33" i="15" s="1"/>
  <c r="S33" i="15"/>
  <c r="U33" i="15" s="1"/>
  <c r="R34" i="15"/>
  <c r="T34" i="15" s="1"/>
  <c r="S34" i="15"/>
  <c r="U34" i="15" s="1"/>
  <c r="R35" i="15"/>
  <c r="T35" i="15" s="1"/>
  <c r="S35" i="15"/>
  <c r="U35" i="15" s="1"/>
  <c r="R36" i="15"/>
  <c r="T36" i="15" s="1"/>
  <c r="S36" i="15"/>
  <c r="U36" i="15" s="1"/>
  <c r="R37" i="15"/>
  <c r="T37" i="15" s="1"/>
  <c r="S37" i="15"/>
  <c r="U37" i="15" s="1"/>
  <c r="R38" i="15"/>
  <c r="T38" i="15" s="1"/>
  <c r="S38" i="15"/>
  <c r="U38" i="15" s="1"/>
  <c r="R39" i="15"/>
  <c r="T39" i="15" s="1"/>
  <c r="S39" i="15"/>
  <c r="U39" i="15" s="1"/>
  <c r="R40" i="15"/>
  <c r="T40" i="15" s="1"/>
  <c r="S40" i="15"/>
  <c r="U40" i="15" s="1"/>
  <c r="R41" i="15"/>
  <c r="T41" i="15" s="1"/>
  <c r="S41" i="15"/>
  <c r="U41" i="15" s="1"/>
  <c r="R42" i="15"/>
  <c r="T42" i="15" s="1"/>
  <c r="S42" i="15"/>
  <c r="U42" i="15" s="1"/>
  <c r="R43" i="15"/>
  <c r="T43" i="15" s="1"/>
  <c r="S43" i="15"/>
  <c r="U43" i="15" s="1"/>
  <c r="S44" i="15"/>
  <c r="U44" i="15" s="1"/>
  <c r="R45" i="15"/>
  <c r="T45" i="15" s="1"/>
  <c r="S45" i="15"/>
  <c r="U45" i="15" s="1"/>
  <c r="R46" i="15"/>
  <c r="T46" i="15" s="1"/>
  <c r="S46" i="15"/>
  <c r="U46" i="15" s="1"/>
  <c r="R47" i="15"/>
  <c r="T47" i="15" s="1"/>
  <c r="S47" i="15"/>
  <c r="U47" i="15" s="1"/>
  <c r="R48" i="15"/>
  <c r="T48" i="15" s="1"/>
  <c r="S48" i="15"/>
  <c r="U48" i="15" s="1"/>
  <c r="R49" i="15"/>
  <c r="T49" i="15" s="1"/>
  <c r="S49" i="15"/>
  <c r="U49" i="15" s="1"/>
  <c r="R50" i="15"/>
  <c r="T50" i="15" s="1"/>
  <c r="S50" i="15"/>
  <c r="U50" i="15" s="1"/>
  <c r="R51" i="15"/>
  <c r="T51" i="15" s="1"/>
  <c r="S51" i="15"/>
  <c r="U51" i="15" s="1"/>
  <c r="R52" i="15"/>
  <c r="T52" i="15" s="1"/>
  <c r="S52" i="15"/>
  <c r="U52" i="15" s="1"/>
  <c r="R53" i="15"/>
  <c r="T53" i="15" s="1"/>
  <c r="S53" i="15"/>
  <c r="U53" i="15" s="1"/>
  <c r="R54" i="15"/>
  <c r="T54" i="15" s="1"/>
  <c r="S54" i="15"/>
  <c r="U54" i="15" s="1"/>
  <c r="R55" i="15"/>
  <c r="T55" i="15" s="1"/>
  <c r="S55" i="15"/>
  <c r="U55" i="15" s="1"/>
  <c r="R56" i="15"/>
  <c r="T56" i="15" s="1"/>
  <c r="S56" i="15"/>
  <c r="U56" i="15" s="1"/>
  <c r="R57" i="15"/>
  <c r="T57" i="15" s="1"/>
  <c r="S57" i="15"/>
  <c r="U57" i="15" s="1"/>
  <c r="R58" i="15"/>
  <c r="T58" i="15" s="1"/>
  <c r="S58" i="15"/>
  <c r="U58" i="15" s="1"/>
  <c r="R59" i="15"/>
  <c r="T59" i="15" s="1"/>
  <c r="S59" i="15"/>
  <c r="U59" i="15" s="1"/>
  <c r="R60" i="15"/>
  <c r="T60" i="15" s="1"/>
  <c r="S60" i="15"/>
  <c r="U60" i="15" s="1"/>
  <c r="R61" i="15"/>
  <c r="T61" i="15" s="1"/>
  <c r="S61" i="15"/>
  <c r="U61" i="15" s="1"/>
  <c r="R62" i="15"/>
  <c r="T62" i="15" s="1"/>
  <c r="S62" i="15"/>
  <c r="U62" i="15" s="1"/>
  <c r="R63" i="15"/>
  <c r="T63" i="15" s="1"/>
  <c r="S63" i="15"/>
  <c r="U63" i="15" s="1"/>
  <c r="R64" i="15"/>
  <c r="T64" i="15" s="1"/>
  <c r="S64" i="15"/>
  <c r="U64" i="15" s="1"/>
  <c r="R65" i="15"/>
  <c r="T65" i="15" s="1"/>
  <c r="S65" i="15"/>
  <c r="U65" i="15" s="1"/>
  <c r="R66" i="15"/>
  <c r="T66" i="15" s="1"/>
  <c r="S66" i="15"/>
  <c r="U66" i="15" s="1"/>
  <c r="R67" i="15"/>
  <c r="T67" i="15" s="1"/>
  <c r="S67" i="15"/>
  <c r="U67" i="15" s="1"/>
  <c r="R68" i="15"/>
  <c r="T68" i="15" s="1"/>
  <c r="S68" i="15"/>
  <c r="U68" i="15" s="1"/>
  <c r="R69" i="15"/>
  <c r="T69" i="15" s="1"/>
  <c r="S69" i="15"/>
  <c r="U69" i="15" s="1"/>
  <c r="R70" i="15"/>
  <c r="T70" i="15" s="1"/>
  <c r="S70" i="15"/>
  <c r="U70" i="15" s="1"/>
  <c r="S2" i="15"/>
  <c r="U2" i="15" s="1"/>
  <c r="R2" i="15"/>
  <c r="T2" i="15" s="1"/>
  <c r="P37" i="14" l="1"/>
  <c r="Q37" i="14" s="1"/>
  <c r="U71" i="15"/>
  <c r="T71" i="15"/>
  <c r="Q110" i="15"/>
  <c r="Q111" i="15" s="1"/>
  <c r="P110" i="15"/>
  <c r="P98" i="15"/>
  <c r="P97" i="15"/>
  <c r="L77" i="15"/>
  <c r="I77" i="15"/>
  <c r="J77" i="15" s="1"/>
  <c r="L76" i="15"/>
  <c r="J76" i="15"/>
  <c r="I76" i="15"/>
  <c r="L75" i="15"/>
  <c r="I75" i="15"/>
  <c r="J75" i="15" s="1"/>
  <c r="L74" i="15"/>
  <c r="I74" i="15"/>
  <c r="J74" i="15" s="1"/>
  <c r="L73" i="15"/>
  <c r="I73" i="15"/>
  <c r="J73" i="15" s="1"/>
  <c r="L72" i="15"/>
  <c r="I72" i="15"/>
  <c r="J72" i="15" s="1"/>
  <c r="L71" i="15"/>
  <c r="I71" i="15"/>
  <c r="J71" i="15" s="1"/>
  <c r="L70" i="15"/>
  <c r="M70" i="15" s="1"/>
  <c r="C70" i="15"/>
  <c r="I70" i="15" s="1"/>
  <c r="L69" i="15"/>
  <c r="M69" i="15" s="1"/>
  <c r="C69" i="15"/>
  <c r="I69" i="15" s="1"/>
  <c r="L68" i="15"/>
  <c r="M68" i="15" s="1"/>
  <c r="C68" i="15"/>
  <c r="I68" i="15" s="1"/>
  <c r="L67" i="15"/>
  <c r="M67" i="15" s="1"/>
  <c r="C67" i="15"/>
  <c r="I67" i="15" s="1"/>
  <c r="L66" i="15"/>
  <c r="M66" i="15" s="1"/>
  <c r="C66" i="15"/>
  <c r="I66" i="15" s="1"/>
  <c r="L65" i="15"/>
  <c r="M65" i="15" s="1"/>
  <c r="C65" i="15"/>
  <c r="I65" i="15" s="1"/>
  <c r="L64" i="15"/>
  <c r="M64" i="15" s="1"/>
  <c r="C64" i="15"/>
  <c r="I64" i="15" s="1"/>
  <c r="L63" i="15"/>
  <c r="M63" i="15" s="1"/>
  <c r="C63" i="15"/>
  <c r="I63" i="15" s="1"/>
  <c r="L62" i="15"/>
  <c r="M62" i="15" s="1"/>
  <c r="C62" i="15"/>
  <c r="I62" i="15" s="1"/>
  <c r="L61" i="15"/>
  <c r="M61" i="15" s="1"/>
  <c r="C61" i="15"/>
  <c r="I61" i="15" s="1"/>
  <c r="L60" i="15"/>
  <c r="M60" i="15" s="1"/>
  <c r="C60" i="15"/>
  <c r="I60" i="15" s="1"/>
  <c r="L59" i="15"/>
  <c r="M59" i="15" s="1"/>
  <c r="C59" i="15"/>
  <c r="I59" i="15" s="1"/>
  <c r="L58" i="15"/>
  <c r="M58" i="15" s="1"/>
  <c r="C58" i="15"/>
  <c r="I58" i="15" s="1"/>
  <c r="L57" i="15"/>
  <c r="M57" i="15" s="1"/>
  <c r="C57" i="15"/>
  <c r="I57" i="15" s="1"/>
  <c r="L56" i="15"/>
  <c r="M56" i="15" s="1"/>
  <c r="C56" i="15"/>
  <c r="I56" i="15" s="1"/>
  <c r="L55" i="15"/>
  <c r="M55" i="15" s="1"/>
  <c r="C55" i="15"/>
  <c r="I55" i="15" s="1"/>
  <c r="L54" i="15"/>
  <c r="M54" i="15" s="1"/>
  <c r="C54" i="15"/>
  <c r="I54" i="15" s="1"/>
  <c r="L53" i="15"/>
  <c r="M53" i="15" s="1"/>
  <c r="C53" i="15"/>
  <c r="I53" i="15" s="1"/>
  <c r="L52" i="15"/>
  <c r="M52" i="15" s="1"/>
  <c r="C52" i="15"/>
  <c r="I52" i="15" s="1"/>
  <c r="L51" i="15"/>
  <c r="M51" i="15" s="1"/>
  <c r="I51" i="15"/>
  <c r="C51" i="15"/>
  <c r="L50" i="15"/>
  <c r="M50" i="15" s="1"/>
  <c r="C50" i="15"/>
  <c r="I50" i="15" s="1"/>
  <c r="L49" i="15"/>
  <c r="M49" i="15" s="1"/>
  <c r="C49" i="15"/>
  <c r="I49" i="15" s="1"/>
  <c r="L48" i="15"/>
  <c r="M48" i="15" s="1"/>
  <c r="C48" i="15"/>
  <c r="I48" i="15" s="1"/>
  <c r="L47" i="15"/>
  <c r="M47" i="15" s="1"/>
  <c r="C47" i="15"/>
  <c r="I47" i="15" s="1"/>
  <c r="L46" i="15"/>
  <c r="M46" i="15" s="1"/>
  <c r="C46" i="15"/>
  <c r="I46" i="15" s="1"/>
  <c r="L45" i="15"/>
  <c r="M45" i="15" s="1"/>
  <c r="I45" i="15"/>
  <c r="C45" i="15"/>
  <c r="L44" i="15"/>
  <c r="M44" i="15" s="1"/>
  <c r="C44" i="15"/>
  <c r="I44" i="15" s="1"/>
  <c r="L43" i="15"/>
  <c r="M43" i="15" s="1"/>
  <c r="C43" i="15"/>
  <c r="I43" i="15" s="1"/>
  <c r="L42" i="15"/>
  <c r="M42" i="15" s="1"/>
  <c r="C42" i="15"/>
  <c r="I42" i="15" s="1"/>
  <c r="L41" i="15"/>
  <c r="M41" i="15" s="1"/>
  <c r="C41" i="15"/>
  <c r="I41" i="15" s="1"/>
  <c r="L40" i="15"/>
  <c r="M40" i="15" s="1"/>
  <c r="C40" i="15"/>
  <c r="I40" i="15" s="1"/>
  <c r="L39" i="15"/>
  <c r="M39" i="15" s="1"/>
  <c r="C39" i="15"/>
  <c r="I39" i="15" s="1"/>
  <c r="L38" i="15"/>
  <c r="M38" i="15" s="1"/>
  <c r="C38" i="15"/>
  <c r="I38" i="15" s="1"/>
  <c r="L37" i="15"/>
  <c r="M37" i="15" s="1"/>
  <c r="C37" i="15"/>
  <c r="I37" i="15" s="1"/>
  <c r="L36" i="15"/>
  <c r="M36" i="15" s="1"/>
  <c r="I36" i="15"/>
  <c r="C36" i="15"/>
  <c r="L35" i="15"/>
  <c r="M35" i="15" s="1"/>
  <c r="C35" i="15"/>
  <c r="I35" i="15" s="1"/>
  <c r="L34" i="15"/>
  <c r="M34" i="15" s="1"/>
  <c r="C34" i="15"/>
  <c r="I34" i="15" s="1"/>
  <c r="L33" i="15"/>
  <c r="M33" i="15" s="1"/>
  <c r="C33" i="15"/>
  <c r="I33" i="15" s="1"/>
  <c r="L32" i="15"/>
  <c r="M32" i="15" s="1"/>
  <c r="C32" i="15"/>
  <c r="I32" i="15" s="1"/>
  <c r="L31" i="15"/>
  <c r="M31" i="15" s="1"/>
  <c r="C31" i="15"/>
  <c r="I31" i="15" s="1"/>
  <c r="L30" i="15"/>
  <c r="M30" i="15" s="1"/>
  <c r="C30" i="15"/>
  <c r="I30" i="15" s="1"/>
  <c r="L29" i="15"/>
  <c r="M29" i="15" s="1"/>
  <c r="C29" i="15"/>
  <c r="I29" i="15" s="1"/>
  <c r="L28" i="15"/>
  <c r="M28" i="15" s="1"/>
  <c r="C28" i="15"/>
  <c r="I28" i="15" s="1"/>
  <c r="L27" i="15"/>
  <c r="M27" i="15" s="1"/>
  <c r="I27" i="15"/>
  <c r="C27" i="15"/>
  <c r="L26" i="15"/>
  <c r="M26" i="15" s="1"/>
  <c r="C26" i="15"/>
  <c r="I26" i="15" s="1"/>
  <c r="L25" i="15"/>
  <c r="M25" i="15" s="1"/>
  <c r="C25" i="15"/>
  <c r="I25" i="15" s="1"/>
  <c r="L24" i="15"/>
  <c r="M24" i="15" s="1"/>
  <c r="C24" i="15"/>
  <c r="I24" i="15" s="1"/>
  <c r="L23" i="15"/>
  <c r="M23" i="15" s="1"/>
  <c r="C23" i="15"/>
  <c r="I23" i="15" s="1"/>
  <c r="L22" i="15"/>
  <c r="M22" i="15" s="1"/>
  <c r="C22" i="15"/>
  <c r="I22" i="15" s="1"/>
  <c r="L21" i="15"/>
  <c r="M21" i="15" s="1"/>
  <c r="I21" i="15"/>
  <c r="C21" i="15"/>
  <c r="L20" i="15"/>
  <c r="M20" i="15" s="1"/>
  <c r="C20" i="15"/>
  <c r="I20" i="15" s="1"/>
  <c r="L19" i="15"/>
  <c r="M19" i="15" s="1"/>
  <c r="C19" i="15"/>
  <c r="I19" i="15" s="1"/>
  <c r="L18" i="15"/>
  <c r="M18" i="15" s="1"/>
  <c r="C18" i="15"/>
  <c r="I18" i="15" s="1"/>
  <c r="L17" i="15"/>
  <c r="M17" i="15" s="1"/>
  <c r="C17" i="15"/>
  <c r="I17" i="15" s="1"/>
  <c r="L16" i="15"/>
  <c r="M16" i="15" s="1"/>
  <c r="C16" i="15"/>
  <c r="I16" i="15" s="1"/>
  <c r="L15" i="15"/>
  <c r="M15" i="15" s="1"/>
  <c r="C15" i="15"/>
  <c r="I15" i="15" s="1"/>
  <c r="L14" i="15"/>
  <c r="M14" i="15" s="1"/>
  <c r="C14" i="15"/>
  <c r="I14" i="15" s="1"/>
  <c r="L13" i="15"/>
  <c r="M13" i="15" s="1"/>
  <c r="C13" i="15"/>
  <c r="I13" i="15" s="1"/>
  <c r="L12" i="15"/>
  <c r="M12" i="15" s="1"/>
  <c r="C12" i="15"/>
  <c r="I12" i="15" s="1"/>
  <c r="L11" i="15"/>
  <c r="M11" i="15" s="1"/>
  <c r="C11" i="15"/>
  <c r="I11" i="15" s="1"/>
  <c r="L10" i="15"/>
  <c r="M10" i="15" s="1"/>
  <c r="C10" i="15"/>
  <c r="I10" i="15" s="1"/>
  <c r="L9" i="15"/>
  <c r="M9" i="15" s="1"/>
  <c r="C9" i="15"/>
  <c r="I9" i="15" s="1"/>
  <c r="L8" i="15"/>
  <c r="M8" i="15" s="1"/>
  <c r="C8" i="15"/>
  <c r="I8" i="15" s="1"/>
  <c r="L7" i="15"/>
  <c r="M7" i="15" s="1"/>
  <c r="C7" i="15"/>
  <c r="I7" i="15" s="1"/>
  <c r="M6" i="15"/>
  <c r="L6" i="15"/>
  <c r="C6" i="15"/>
  <c r="I6" i="15" s="1"/>
  <c r="L5" i="15"/>
  <c r="M5" i="15" s="1"/>
  <c r="C5" i="15"/>
  <c r="I5" i="15" s="1"/>
  <c r="L4" i="15"/>
  <c r="C4" i="15"/>
  <c r="I4" i="15" s="1"/>
  <c r="L3" i="15"/>
  <c r="M3" i="15" s="1"/>
  <c r="C3" i="15"/>
  <c r="I3" i="15" s="1"/>
  <c r="L2" i="15"/>
  <c r="M2" i="15" s="1"/>
  <c r="C2" i="15"/>
  <c r="I2" i="15" s="1"/>
  <c r="L78" i="15" l="1"/>
  <c r="T72" i="15"/>
  <c r="J78" i="15"/>
  <c r="M78" i="15" s="1"/>
  <c r="M4" i="15"/>
  <c r="J6" i="14" l="1"/>
  <c r="H9" i="14"/>
  <c r="N9" i="14" s="1"/>
  <c r="H8" i="14"/>
  <c r="N8" i="14" s="1"/>
  <c r="J26" i="14"/>
  <c r="I26" i="14"/>
  <c r="N5" i="14"/>
  <c r="J3" i="14"/>
  <c r="N55" i="14" l="1"/>
  <c r="J7" i="8"/>
  <c r="K7" i="8" s="1"/>
  <c r="P6" i="14"/>
  <c r="Q6" i="14" s="1"/>
  <c r="P9" i="14"/>
  <c r="Q9" i="14" s="1"/>
  <c r="P8" i="14"/>
  <c r="Q8" i="14" s="1"/>
  <c r="K26" i="14"/>
  <c r="K6" i="14"/>
  <c r="J5" i="14"/>
  <c r="J4" i="14"/>
  <c r="C5" i="8" l="1"/>
  <c r="D5" i="8" s="1"/>
  <c r="L7" i="8"/>
  <c r="J4" i="8"/>
  <c r="C5" i="38"/>
  <c r="P3" i="14"/>
  <c r="P5" i="14"/>
  <c r="Q5" i="14" s="1"/>
  <c r="P7" i="14"/>
  <c r="Q7" i="14" s="1"/>
  <c r="J55" i="14"/>
  <c r="K5" i="14"/>
  <c r="K3" i="14"/>
  <c r="I55" i="14"/>
  <c r="K4" i="14"/>
  <c r="P55" i="14" l="1"/>
  <c r="N56" i="14" s="1"/>
  <c r="K4" i="8"/>
  <c r="L4" i="8" s="1"/>
  <c r="M7" i="8"/>
  <c r="N7" i="8" s="1"/>
  <c r="H9" i="8"/>
  <c r="Q3" i="14"/>
  <c r="C3" i="8" s="1"/>
  <c r="G9" i="8"/>
  <c r="K55" i="14"/>
  <c r="Q56" i="14" l="1"/>
  <c r="D3" i="8"/>
  <c r="D9" i="8" s="1"/>
  <c r="D11" i="8" s="1"/>
  <c r="F10" i="8"/>
  <c r="M4" i="8"/>
  <c r="N4" i="8" s="1"/>
  <c r="F12" i="8"/>
  <c r="C9" i="8" l="1"/>
  <c r="C14" i="8"/>
  <c r="C16" i="8" l="1"/>
  <c r="C11" i="8"/>
  <c r="G17" i="8"/>
  <c r="AH28" i="1"/>
  <c r="AH29" i="1" s="1"/>
  <c r="H17" i="8" l="1"/>
  <c r="G18" i="8"/>
  <c r="H1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K-G, Sreenath</author>
  </authors>
  <commentList>
    <comment ref="D52" authorId="0" shapeId="0" xr:uid="{A646653E-03D7-4DE3-BB89-0DC74AAF251A}">
      <text>
        <r>
          <rPr>
            <b/>
            <sz val="9"/>
            <color indexed="81"/>
            <rFont val="Tahoma"/>
            <family val="2"/>
          </rPr>
          <t>Qty revised to 8400</t>
        </r>
      </text>
    </comment>
  </commentList>
</comments>
</file>

<file path=xl/sharedStrings.xml><?xml version="1.0" encoding="utf-8"?>
<sst xmlns="http://schemas.openxmlformats.org/spreadsheetml/2006/main" count="3410" uniqueCount="895">
  <si>
    <t>Site</t>
  </si>
  <si>
    <t>Order</t>
  </si>
  <si>
    <t>Line</t>
  </si>
  <si>
    <t>Sold-To</t>
  </si>
  <si>
    <t>Ship-To</t>
  </si>
  <si>
    <t>Cust Sort Name</t>
  </si>
  <si>
    <t>Shipto Sort Name</t>
  </si>
  <si>
    <t>Purchase Order</t>
  </si>
  <si>
    <t>Order Date</t>
  </si>
  <si>
    <t>Customer Item</t>
  </si>
  <si>
    <t>Item Number</t>
  </si>
  <si>
    <t>UM</t>
  </si>
  <si>
    <t>Item Description</t>
  </si>
  <si>
    <t>HPL</t>
  </si>
  <si>
    <t>SOP</t>
  </si>
  <si>
    <t>Item Group</t>
  </si>
  <si>
    <t>Required Date</t>
  </si>
  <si>
    <t>Due Date</t>
  </si>
  <si>
    <t>Promised Due Date</t>
  </si>
  <si>
    <t>Lead Time</t>
  </si>
  <si>
    <t>Available Qty On Hand</t>
  </si>
  <si>
    <t>Not Avail QOH</t>
  </si>
  <si>
    <t>QOH (OTHER SITES)</t>
  </si>
  <si>
    <t>Qty Ordered</t>
  </si>
  <si>
    <t>Quantity Allocated</t>
  </si>
  <si>
    <t>Quantity Picked</t>
  </si>
  <si>
    <t>Qty Shipped</t>
  </si>
  <si>
    <t>Quantity Invoiced</t>
  </si>
  <si>
    <t>Qty Open</t>
  </si>
  <si>
    <t>Price</t>
  </si>
  <si>
    <t>Total Line</t>
  </si>
  <si>
    <t>Currency</t>
  </si>
  <si>
    <t>Actual Exchange Rate</t>
  </si>
  <si>
    <t>Base Currency Amount</t>
  </si>
  <si>
    <t>Category</t>
  </si>
  <si>
    <t>Modified Date</t>
  </si>
  <si>
    <t>49560</t>
  </si>
  <si>
    <t>1</t>
  </si>
  <si>
    <t>CN43</t>
  </si>
  <si>
    <t>FCI NANTONG LTD.</t>
  </si>
  <si>
    <t>10150562-001</t>
  </si>
  <si>
    <t>EA</t>
  </si>
  <si>
    <t>10150562-001            HOUSING RPS04HBR01F</t>
  </si>
  <si>
    <t>503</t>
  </si>
  <si>
    <t>22ZS</t>
  </si>
  <si>
    <t>503BRKCA</t>
  </si>
  <si>
    <t>USD</t>
  </si>
  <si>
    <t/>
  </si>
  <si>
    <t>ET105455</t>
  </si>
  <si>
    <t>EACA05</t>
  </si>
  <si>
    <t>EACA0503</t>
  </si>
  <si>
    <t>AVNET ASIA PTE Ltd</t>
  </si>
  <si>
    <t>6208662616</t>
  </si>
  <si>
    <t>10162405-1S2009LF</t>
  </si>
  <si>
    <t>10162405-1S2009LF       BARKLIP CABLE ASSEMBLY</t>
  </si>
  <si>
    <t>355</t>
  </si>
  <si>
    <t>20GF</t>
  </si>
  <si>
    <t>ET105395</t>
  </si>
  <si>
    <t>2</t>
  </si>
  <si>
    <t>6208588520</t>
  </si>
  <si>
    <t>EF101973</t>
  </si>
  <si>
    <t>US10</t>
  </si>
  <si>
    <t>314601</t>
  </si>
  <si>
    <t>FCI USA LLC</t>
  </si>
  <si>
    <t>FCI Electronics</t>
  </si>
  <si>
    <t>408701</t>
  </si>
  <si>
    <t>10130664-9D0355LF</t>
  </si>
  <si>
    <t>10130664-9D0355LF       BARKLIP CABLE ASSY-135MM</t>
  </si>
  <si>
    <t>22EF</t>
  </si>
  <si>
    <t>10130664-9D0354LF</t>
  </si>
  <si>
    <t>10130664-9D0354LF       BARKLIP CABLE ASSY-196MM</t>
  </si>
  <si>
    <t>EF102298</t>
  </si>
  <si>
    <t>IN56CW12</t>
  </si>
  <si>
    <t>10165987-101LF</t>
  </si>
  <si>
    <t>10165987-101LF          2POS RAPID LOCK CNR KIT</t>
  </si>
  <si>
    <t>5031ASM</t>
  </si>
  <si>
    <t>EF102263</t>
  </si>
  <si>
    <t>IN56CX17</t>
  </si>
  <si>
    <t>ET105556</t>
  </si>
  <si>
    <t>EACV02</t>
  </si>
  <si>
    <t>EACV0206</t>
  </si>
  <si>
    <t>VSELL ENTERPRISE CO.</t>
  </si>
  <si>
    <t>400004792</t>
  </si>
  <si>
    <t>10130664-9B0319HLF[AMPHENOL]</t>
  </si>
  <si>
    <t>10130664-9B0319HLF</t>
  </si>
  <si>
    <t>10130664-9B0319HLF      BARKLIP CABLE ASSEMBLY</t>
  </si>
  <si>
    <t>EF102131</t>
  </si>
  <si>
    <t>6</t>
  </si>
  <si>
    <t>31461</t>
  </si>
  <si>
    <t>SANMINA SCI</t>
  </si>
  <si>
    <t>410017</t>
  </si>
  <si>
    <t>ET105587</t>
  </si>
  <si>
    <t>EACV0203</t>
  </si>
  <si>
    <t>400005117</t>
  </si>
  <si>
    <t>10162405-1S2009LF[AMPHENOL]</t>
  </si>
  <si>
    <t>EI33615</t>
  </si>
  <si>
    <t>10</t>
  </si>
  <si>
    <t>EACA0504</t>
  </si>
  <si>
    <t>Ingrasys Technology Mexi</t>
  </si>
  <si>
    <t>6208763304</t>
  </si>
  <si>
    <t>35108WR00-245-G</t>
  </si>
  <si>
    <t>10158287-9RF034HF</t>
  </si>
  <si>
    <t>10158287-9RF034HF       BK 300 CABLE ASSY</t>
  </si>
  <si>
    <t>EF102274</t>
  </si>
  <si>
    <t>3</t>
  </si>
  <si>
    <t>410896</t>
  </si>
  <si>
    <t>EI32990</t>
  </si>
  <si>
    <t>6208716672</t>
  </si>
  <si>
    <t>FCI10158287-9RF03&gt;</t>
  </si>
  <si>
    <t>ET105456</t>
  </si>
  <si>
    <t>6208662618</t>
  </si>
  <si>
    <t>EI34065</t>
  </si>
  <si>
    <t>6208794006</t>
  </si>
  <si>
    <t>FCI10130664-1RF&gt;B&gt;</t>
  </si>
  <si>
    <t>10130664-1RF474HF</t>
  </si>
  <si>
    <t>10130664-1RF474HF       BK200 IO CABLE ASSY</t>
  </si>
  <si>
    <t>355BRKCA</t>
  </si>
  <si>
    <t>7</t>
  </si>
  <si>
    <t>10130664-9D0356LF</t>
  </si>
  <si>
    <t>10130664-9D0356LF       BARKLIP CABLE ASSY-82MM</t>
  </si>
  <si>
    <t>ET105497</t>
  </si>
  <si>
    <t>EUCF02</t>
  </si>
  <si>
    <t>EUCF0201</t>
  </si>
  <si>
    <t>FLEXTRONICS INTERNATIONA</t>
  </si>
  <si>
    <t>269P18095</t>
  </si>
  <si>
    <t>AMZ-216-003899-001</t>
  </si>
  <si>
    <t>EI32675</t>
  </si>
  <si>
    <t>6208691032</t>
  </si>
  <si>
    <t>FCI10162405-1S2&gt;&gt;&gt;</t>
  </si>
  <si>
    <t>ET105478</t>
  </si>
  <si>
    <t>269P18066</t>
  </si>
  <si>
    <t>EF100293</t>
  </si>
  <si>
    <t>4</t>
  </si>
  <si>
    <t>TW00</t>
  </si>
  <si>
    <t>460010</t>
  </si>
  <si>
    <t>FCI TAIWAN</t>
  </si>
  <si>
    <t>QUADREP ELECTRONICS LTD</t>
  </si>
  <si>
    <t>N6Q41167</t>
  </si>
  <si>
    <t>DISP0067</t>
  </si>
  <si>
    <t>IBCA51</t>
  </si>
  <si>
    <t>IBCA5102</t>
  </si>
  <si>
    <t>Avnet India Pvt. Ltd</t>
  </si>
  <si>
    <t>AVNET INDIA PVT LTD</t>
  </si>
  <si>
    <t>6208790310</t>
  </si>
  <si>
    <t>10130664-9SF463LF</t>
  </si>
  <si>
    <t>10130664-9SF463LF       BK200 I/O Cable Assembly</t>
  </si>
  <si>
    <t>INR</t>
  </si>
  <si>
    <t>DISP0066</t>
  </si>
  <si>
    <t>6208790311</t>
  </si>
  <si>
    <t>EF102491</t>
  </si>
  <si>
    <t>IN24CT01</t>
  </si>
  <si>
    <t>5</t>
  </si>
  <si>
    <t>ET105546</t>
  </si>
  <si>
    <t>EACV03</t>
  </si>
  <si>
    <t>EACV0301</t>
  </si>
  <si>
    <t>400004677</t>
  </si>
  <si>
    <t>B50.0260X.0021</t>
  </si>
  <si>
    <t>Row Labels</t>
  </si>
  <si>
    <t>(blank)</t>
  </si>
  <si>
    <t>Grand Total</t>
  </si>
  <si>
    <t>Sum of Qty Open</t>
  </si>
  <si>
    <t>Promised Date</t>
  </si>
  <si>
    <t>25200 in 11th Oct, 2200 in 1st Nov</t>
  </si>
  <si>
    <t>720 in 9th Oct, 2160 in 18th Oct</t>
  </si>
  <si>
    <t>720 in 9th Oct, 720 in 9th Oct, 2880 in 8th Nov</t>
  </si>
  <si>
    <t>720 in 25th Oct, 2160 in 8th Nov</t>
  </si>
  <si>
    <t>10000 in 18th Oct, 25000 in 25th Oct</t>
  </si>
  <si>
    <t>25K for 4th Oct, 12300 for 18th Oct, 15k for 25th Oct</t>
  </si>
  <si>
    <t>CT</t>
  </si>
  <si>
    <t>Remarks</t>
  </si>
  <si>
    <t>MA</t>
  </si>
  <si>
    <t>I&amp;P</t>
  </si>
  <si>
    <t>Total</t>
  </si>
  <si>
    <t>10157266-001LF</t>
  </si>
  <si>
    <t>Hrs.</t>
  </si>
  <si>
    <t>HC/ Day</t>
  </si>
  <si>
    <t>LR @12%</t>
  </si>
  <si>
    <t>Power Blade</t>
  </si>
  <si>
    <t>Sl. No.</t>
  </si>
  <si>
    <t>Machine</t>
  </si>
  <si>
    <t>Machine Operator</t>
  </si>
  <si>
    <t>Quality Control</t>
  </si>
  <si>
    <t>Grid Checker</t>
  </si>
  <si>
    <t>Packing</t>
  </si>
  <si>
    <t>Cover Assembly</t>
  </si>
  <si>
    <t>Shifts Operated</t>
  </si>
  <si>
    <t>Leave Reserve @ 10%</t>
  </si>
  <si>
    <t>Additional personnel for night Shift</t>
  </si>
  <si>
    <t>PB + RAH</t>
  </si>
  <si>
    <t>PB RAH</t>
  </si>
  <si>
    <t>PB + VTR</t>
  </si>
  <si>
    <t>PB VTR</t>
  </si>
  <si>
    <t>Sl.No</t>
  </si>
  <si>
    <t>Unit Price</t>
  </si>
  <si>
    <t>Interco/ Trade</t>
  </si>
  <si>
    <t>Quantity Open</t>
  </si>
  <si>
    <t>10106116-C009001LF</t>
  </si>
  <si>
    <t>$</t>
  </si>
  <si>
    <t>FCI JAPAN KK</t>
  </si>
  <si>
    <t>FCI CONNECTORS KOREA LTD</t>
  </si>
  <si>
    <t>10106124-4006005LF</t>
  </si>
  <si>
    <t>FCI DEUTSCHLAND GmbH</t>
  </si>
  <si>
    <t>10106124-F005K01LF</t>
  </si>
  <si>
    <t>10106132-4009101LF</t>
  </si>
  <si>
    <t>10106262-0002002LF</t>
  </si>
  <si>
    <t>10106262-0527102LF</t>
  </si>
  <si>
    <t>10106262-1C03012LF</t>
  </si>
  <si>
    <t>AMPHENOL FCI ASIA PTE LT</t>
  </si>
  <si>
    <t>10106139-4009101LF</t>
  </si>
  <si>
    <t>10106139-4027101LF</t>
  </si>
  <si>
    <t>10106268-0527101LF</t>
  </si>
  <si>
    <t>10106269-1C03005LF</t>
  </si>
  <si>
    <t>10106269-2005K02LF</t>
  </si>
  <si>
    <t>51939-903LF</t>
  </si>
  <si>
    <t>51939-906LF</t>
  </si>
  <si>
    <t>51939-910LF</t>
  </si>
  <si>
    <t>51939-927LF</t>
  </si>
  <si>
    <t>51966-10006400AALF</t>
  </si>
  <si>
    <t>51740-10703206CCLF</t>
  </si>
  <si>
    <t>51741-10002406CCLF</t>
  </si>
  <si>
    <t>51940-329LF</t>
  </si>
  <si>
    <t>Power Blade - Support. Staff</t>
  </si>
  <si>
    <t>Semi-Auto</t>
  </si>
  <si>
    <t>Night Shift</t>
  </si>
  <si>
    <t xml:space="preserve">10166013-101LF </t>
  </si>
  <si>
    <t>Vision System</t>
  </si>
  <si>
    <t>Group</t>
  </si>
  <si>
    <t>Sales($)</t>
  </si>
  <si>
    <t>Sales $K</t>
  </si>
  <si>
    <t>Std Cost</t>
  </si>
  <si>
    <t>COGS $K</t>
  </si>
  <si>
    <t>Std Margin%</t>
  </si>
  <si>
    <t>Biz</t>
  </si>
  <si>
    <t>552</t>
  </si>
  <si>
    <t>552PB+RH</t>
  </si>
  <si>
    <t>Trade</t>
  </si>
  <si>
    <t>Interco</t>
  </si>
  <si>
    <t>10106262-0010001LF</t>
  </si>
  <si>
    <t>346</t>
  </si>
  <si>
    <t>346PB+RH</t>
  </si>
  <si>
    <t>10106262-0017101LF</t>
  </si>
  <si>
    <t>10106116-4000002LF</t>
  </si>
  <si>
    <t>10106124-8005003LF</t>
  </si>
  <si>
    <t>10106124-E008001LF</t>
  </si>
  <si>
    <t>NOV</t>
  </si>
  <si>
    <t>346PB+VR</t>
  </si>
  <si>
    <t>552PWBVR</t>
  </si>
  <si>
    <t>51751-018LF</t>
  </si>
  <si>
    <t>10106268-7006001LF</t>
  </si>
  <si>
    <t>552PB+VR</t>
  </si>
  <si>
    <t>10106131-9014001LF</t>
  </si>
  <si>
    <t>10106269-3606001LF</t>
  </si>
  <si>
    <t>51940-549LF</t>
  </si>
  <si>
    <t>51940-728FLF</t>
  </si>
  <si>
    <t>552PBRAH</t>
  </si>
  <si>
    <t>51939-905LF</t>
  </si>
  <si>
    <t>51939-902LF</t>
  </si>
  <si>
    <t>51939-904LF</t>
  </si>
  <si>
    <t>51939-1257LF</t>
  </si>
  <si>
    <t>51939-137LF</t>
  </si>
  <si>
    <t>51736-004LF</t>
  </si>
  <si>
    <t>51939-922LF</t>
  </si>
  <si>
    <t>51939-234LF</t>
  </si>
  <si>
    <t>51939-667LF</t>
  </si>
  <si>
    <t>51939-198LF</t>
  </si>
  <si>
    <t>51722-10802400ABLF</t>
  </si>
  <si>
    <t>51939-030LF</t>
  </si>
  <si>
    <t>51730-145LF</t>
  </si>
  <si>
    <t>Billing %K</t>
  </si>
  <si>
    <t>Europe</t>
  </si>
  <si>
    <t>VSELL</t>
  </si>
  <si>
    <t>AVNET</t>
  </si>
  <si>
    <t>FCI Taiwan</t>
  </si>
  <si>
    <t>FCI NT</t>
  </si>
  <si>
    <t>Sep</t>
  </si>
  <si>
    <t>FCI USA Pwr</t>
  </si>
  <si>
    <t>Flex</t>
  </si>
  <si>
    <t>FCI Asia Singapore</t>
  </si>
  <si>
    <t>Others</t>
  </si>
  <si>
    <t>SA</t>
  </si>
  <si>
    <t>HC</t>
  </si>
  <si>
    <t>Total Hrs</t>
  </si>
  <si>
    <t>Manual-Hrs</t>
  </si>
  <si>
    <t>Insp. &amp; Pack-Hrs</t>
  </si>
  <si>
    <t>Assembly hrs</t>
  </si>
  <si>
    <t>Total HC for PB</t>
  </si>
  <si>
    <t>10170775-170501</t>
  </si>
  <si>
    <t>10170775-170502</t>
  </si>
  <si>
    <t>Dec</t>
  </si>
  <si>
    <t>Jan</t>
  </si>
  <si>
    <t>Month</t>
  </si>
  <si>
    <t>DL</t>
  </si>
  <si>
    <t>Meta</t>
  </si>
  <si>
    <t>BK300</t>
  </si>
  <si>
    <t>BK50</t>
  </si>
  <si>
    <t>ORV3</t>
  </si>
  <si>
    <t>Tesla</t>
  </si>
  <si>
    <t>BK 200XP</t>
  </si>
  <si>
    <t>Actual O/tper month</t>
  </si>
  <si>
    <t>Working days</t>
  </si>
  <si>
    <t>Efficiency</t>
  </si>
  <si>
    <t>Actual O/tper day</t>
  </si>
  <si>
    <t>Target-Output/Day</t>
  </si>
  <si>
    <t>Description</t>
  </si>
  <si>
    <t>10130664-9RF438LF</t>
  </si>
  <si>
    <t>TESLA</t>
  </si>
  <si>
    <t>BK200 XP</t>
  </si>
  <si>
    <t>TETON2</t>
  </si>
  <si>
    <t>Microsoft</t>
  </si>
  <si>
    <t>ORV3 CONNECTOR</t>
  </si>
  <si>
    <t>Target/day</t>
  </si>
  <si>
    <t>355TSLCA</t>
  </si>
  <si>
    <t>355BK300</t>
  </si>
  <si>
    <t>352ACIPC</t>
  </si>
  <si>
    <t>519BBINC</t>
  </si>
  <si>
    <t>520RLKT</t>
  </si>
  <si>
    <t>356ORV3E</t>
  </si>
  <si>
    <t>552PBRAR</t>
  </si>
  <si>
    <t>Sunday working</t>
  </si>
  <si>
    <t>Operator</t>
  </si>
  <si>
    <t>Cropping</t>
  </si>
  <si>
    <t>Support</t>
  </si>
  <si>
    <t>356ACICB</t>
  </si>
  <si>
    <t>10170827-07P002</t>
  </si>
  <si>
    <t>10170827-07P003</t>
  </si>
  <si>
    <t>520ET30H</t>
  </si>
  <si>
    <t>10174780-001LF</t>
  </si>
  <si>
    <t>ET30</t>
  </si>
  <si>
    <t xml:space="preserve"> </t>
  </si>
  <si>
    <t>PB RAR</t>
  </si>
  <si>
    <t>355TT2CA</t>
  </si>
  <si>
    <t>612FIT30</t>
  </si>
  <si>
    <t>% of Increase</t>
  </si>
  <si>
    <t>Meta/Amazon</t>
  </si>
  <si>
    <t>10130664-9C0151QLF</t>
  </si>
  <si>
    <t>355BK100</t>
  </si>
  <si>
    <t>355BK50C</t>
  </si>
  <si>
    <t>355METCA</t>
  </si>
  <si>
    <t>356MC54I</t>
  </si>
  <si>
    <t>10180876-E7C01</t>
  </si>
  <si>
    <t>356ORV3I</t>
  </si>
  <si>
    <t>356ORVM2</t>
  </si>
  <si>
    <t>503BKACC</t>
  </si>
  <si>
    <t>519BK25</t>
  </si>
  <si>
    <t>10172541-001LF</t>
  </si>
  <si>
    <t>519BK350</t>
  </si>
  <si>
    <t xml:space="preserve">520ORv3 </t>
  </si>
  <si>
    <t>612ET20H</t>
  </si>
  <si>
    <t>Sum of Quantity</t>
  </si>
  <si>
    <t>PB+RAH</t>
  </si>
  <si>
    <t>PB+VTR</t>
  </si>
  <si>
    <t>PBRAH</t>
  </si>
  <si>
    <t>PBVTR</t>
  </si>
  <si>
    <t>PBRAR</t>
  </si>
  <si>
    <t>BK350</t>
  </si>
  <si>
    <t>BK25</t>
  </si>
  <si>
    <t>Sum of Value</t>
  </si>
  <si>
    <t>ET20</t>
  </si>
  <si>
    <t>Current capacity</t>
  </si>
  <si>
    <t>Weld type</t>
  </si>
  <si>
    <t>Qty/FG</t>
  </si>
  <si>
    <t>Total CT</t>
  </si>
  <si>
    <t>No: of M/c</t>
  </si>
  <si>
    <t>O/t-Shift</t>
  </si>
  <si>
    <t>O/t-Day</t>
  </si>
  <si>
    <t>FG/Day</t>
  </si>
  <si>
    <t>Monthly capacity</t>
  </si>
  <si>
    <t>Metal welding</t>
  </si>
  <si>
    <t>Wire welding</t>
  </si>
  <si>
    <t>Z welding</t>
  </si>
  <si>
    <t>Teton</t>
  </si>
  <si>
    <t>Meta-Facebook</t>
  </si>
  <si>
    <t>5 Wire welding</t>
  </si>
  <si>
    <t xml:space="preserve">Total </t>
  </si>
  <si>
    <t>Capacity by Q4-2024</t>
  </si>
  <si>
    <t>Capacity by Q2-2025</t>
  </si>
  <si>
    <t>Old-CT</t>
  </si>
  <si>
    <t>New-CT</t>
  </si>
  <si>
    <t>CT Improvement</t>
  </si>
  <si>
    <t>Remark</t>
  </si>
  <si>
    <t>June -Plan</t>
  </si>
  <si>
    <t>Machine running 24x7</t>
  </si>
  <si>
    <t>Machine sharing for Meta and 438LF.Machine running 24x7</t>
  </si>
  <si>
    <t>Starting from Mar-13th after completion of Meta-2000/day.</t>
  </si>
  <si>
    <t>Teton 2</t>
  </si>
  <si>
    <t>LP welding</t>
  </si>
  <si>
    <t>HP welding</t>
  </si>
  <si>
    <t>Wire to metal welding</t>
  </si>
  <si>
    <t>Machine sharing for Tesla,1QLF,NPD</t>
  </si>
  <si>
    <t>Additional points</t>
  </si>
  <si>
    <t>Old-ct</t>
  </si>
  <si>
    <t>Nvidia</t>
  </si>
  <si>
    <t>HP wedling</t>
  </si>
  <si>
    <t>All machine need to run 24x7</t>
  </si>
  <si>
    <t>Crew required for Connector</t>
  </si>
  <si>
    <t>Qty.</t>
  </si>
  <si>
    <t>17 Welding machine considered</t>
  </si>
  <si>
    <t>10174690-1UF026LF</t>
  </si>
  <si>
    <t>10178161-C7A303 (30 Amps)</t>
  </si>
  <si>
    <t>FIT30</t>
  </si>
  <si>
    <t>1018106X-K7000X (K series)</t>
  </si>
  <si>
    <t>RPS07007X9-004 (20 Amps)</t>
  </si>
  <si>
    <t>Legacy Power</t>
  </si>
  <si>
    <t>10170818-S01LF</t>
  </si>
  <si>
    <t>10176873-09-F044LF</t>
  </si>
  <si>
    <t>10172495-1F0139LF</t>
  </si>
  <si>
    <t>10182948-Q50001</t>
  </si>
  <si>
    <t>10146534-1EP063LF</t>
  </si>
  <si>
    <t>10173947-100012LF</t>
  </si>
  <si>
    <t>BK 100 Cable</t>
  </si>
  <si>
    <t>ORV3-60A</t>
  </si>
  <si>
    <t>IPC Battery</t>
  </si>
  <si>
    <t>48V Connector</t>
  </si>
  <si>
    <t>48V Cable assembly</t>
  </si>
  <si>
    <t>PBURAR</t>
  </si>
  <si>
    <t>1X3</t>
  </si>
  <si>
    <t>1X2</t>
  </si>
  <si>
    <t>PBU RAR</t>
  </si>
  <si>
    <t>Total HC</t>
  </si>
  <si>
    <t>Sunday</t>
  </si>
  <si>
    <t>total</t>
  </si>
  <si>
    <t>total incl LR</t>
  </si>
  <si>
    <t>cable cutting</t>
  </si>
  <si>
    <t>Wire cutting</t>
  </si>
  <si>
    <t>Welding</t>
  </si>
  <si>
    <t>Sum</t>
  </si>
  <si>
    <t>Machine Crew (Cutting, Cropping, Welding)</t>
  </si>
  <si>
    <t>LR</t>
  </si>
  <si>
    <t>Oracle</t>
  </si>
  <si>
    <t>ACWHIP Qseries</t>
  </si>
  <si>
    <t>ORV3-Connector</t>
  </si>
  <si>
    <t>ACWHIP Line</t>
  </si>
  <si>
    <t>BK Cable Assembly Line</t>
  </si>
  <si>
    <t>Connector Assembly</t>
  </si>
  <si>
    <t>PABRAH</t>
  </si>
  <si>
    <t>PBU RAH</t>
  </si>
  <si>
    <t>OK</t>
  </si>
  <si>
    <t>PwrBlade+ VTR</t>
  </si>
  <si>
    <t>PwrBlade+ RAH STB</t>
  </si>
  <si>
    <t>10106124-4000001LF</t>
  </si>
  <si>
    <t>PB+ RAH STB</t>
  </si>
  <si>
    <t>10106124-6006010LF</t>
  </si>
  <si>
    <t>Connector,PB+RH</t>
  </si>
  <si>
    <t>PwrBlade+ RAH</t>
  </si>
  <si>
    <t>PwrBlade+ VR PF</t>
  </si>
  <si>
    <t>10106132-4027101LF</t>
  </si>
  <si>
    <t>10106262-2600004LF</t>
  </si>
  <si>
    <t>10106262-5203001LF</t>
  </si>
  <si>
    <t>10106269-D010001LF</t>
  </si>
  <si>
    <t>347</t>
  </si>
  <si>
    <t>347PBURR</t>
  </si>
  <si>
    <t>10127396-01U1520LF</t>
  </si>
  <si>
    <t>PBU RAH STB CONN</t>
  </si>
  <si>
    <t>347PBURH</t>
  </si>
  <si>
    <t>10127400-01U1520LF</t>
  </si>
  <si>
    <t>PBU RAR CONNECTOR</t>
  </si>
  <si>
    <t>BARKLIP CABLE ASSEMBLY</t>
  </si>
  <si>
    <t>BARKLIP CABLEASSEMBLY-24</t>
  </si>
  <si>
    <t>BARKLIP CABLE ASSY-196MM</t>
  </si>
  <si>
    <t>BARKLIP CABLE ASSY-135MM</t>
  </si>
  <si>
    <t>BARKLIP CABLE ASSY-82MM</t>
  </si>
  <si>
    <t>BK200 I/O Cable Assembly</t>
  </si>
  <si>
    <t>10146534-1EP059LF</t>
  </si>
  <si>
    <t>BK100 Cable Assembly</t>
  </si>
  <si>
    <t>HOUSING RPS04HBR01F</t>
  </si>
  <si>
    <t>10150562-002</t>
  </si>
  <si>
    <t>TERMINAL RPS04C1392F</t>
  </si>
  <si>
    <t>Bk200 connector</t>
  </si>
  <si>
    <t>519</t>
  </si>
  <si>
    <t>10158287-1RF057HF</t>
  </si>
  <si>
    <t>BK300 I/O Cable Assembly</t>
  </si>
  <si>
    <t>10162456-001</t>
  </si>
  <si>
    <t>RPS04B036 HSG</t>
  </si>
  <si>
    <t>519B5080</t>
  </si>
  <si>
    <t>10162456-002</t>
  </si>
  <si>
    <t>RPS04B037 LOCK</t>
  </si>
  <si>
    <t>10162457-003</t>
  </si>
  <si>
    <t>RPS04S125-0021_Contact</t>
  </si>
  <si>
    <t>10162457-004</t>
  </si>
  <si>
    <t>RPS04S124-0021_Contact</t>
  </si>
  <si>
    <t>10165117-001</t>
  </si>
  <si>
    <t>BK100 BarKlip TPA ENHNCD</t>
  </si>
  <si>
    <t>2POS RAPID LOCK CNR KIT</t>
  </si>
  <si>
    <t>10168675-001LF</t>
  </si>
  <si>
    <t>Rapid Lock Pin Conn Kit</t>
  </si>
  <si>
    <t>520</t>
  </si>
  <si>
    <t>356</t>
  </si>
  <si>
    <t>OCP AC_IN RKEY R-MALE</t>
  </si>
  <si>
    <t>352</t>
  </si>
  <si>
    <t>OCP AC_IN RKEY L-MALE</t>
  </si>
  <si>
    <t>AC 6P+1W CBL ASY RHT 90D</t>
  </si>
  <si>
    <t>AC 6P+1W CBL ASY LFT 90D</t>
  </si>
  <si>
    <t>48V busbar cable assy</t>
  </si>
  <si>
    <t>613</t>
  </si>
  <si>
    <t>61348VCA</t>
  </si>
  <si>
    <t>BK25 BUSBAR WITH FERRITE</t>
  </si>
  <si>
    <t>BK220 CABLE ASSY</t>
  </si>
  <si>
    <t>ET30 ELCON 3POS HDR CONN</t>
  </si>
  <si>
    <t>10178161-C7A302</t>
  </si>
  <si>
    <t>OCP AC WHIP 35DEG 30A</t>
  </si>
  <si>
    <t>10178161-C7A303</t>
  </si>
  <si>
    <t>10178161-C7A304</t>
  </si>
  <si>
    <t>OCP AC WHIP 35 ° 30A</t>
  </si>
  <si>
    <t>10181064-K70002</t>
  </si>
  <si>
    <t>ORV3 90-STRAIGHT 850mm</t>
  </si>
  <si>
    <t>10181065-K70005</t>
  </si>
  <si>
    <t>AC -AC WHIP  STRAIGHT</t>
  </si>
  <si>
    <t>10181065-K70007</t>
  </si>
  <si>
    <t>AC -AC WHIP FEMALE-MALE</t>
  </si>
  <si>
    <t>51415-001LF</t>
  </si>
  <si>
    <t>PwrBlade RAH</t>
  </si>
  <si>
    <t>51721-10002408AALF</t>
  </si>
  <si>
    <t>PwrBlade RAH STB</t>
  </si>
  <si>
    <t>51722-10404800AALF</t>
  </si>
  <si>
    <t>PwrBlade VR</t>
  </si>
  <si>
    <t>51741-10002805AALF</t>
  </si>
  <si>
    <t>PwrBlade VR STB</t>
  </si>
  <si>
    <t>51921-008LF</t>
  </si>
  <si>
    <t>PwrBlade RAR</t>
  </si>
  <si>
    <t>51939-1222LHLF</t>
  </si>
  <si>
    <t>51939-163LF</t>
  </si>
  <si>
    <t>Connector,PBRAH</t>
  </si>
  <si>
    <t>51939-564LF</t>
  </si>
  <si>
    <t>51939-834LF</t>
  </si>
  <si>
    <t>51939-907LF</t>
  </si>
  <si>
    <t>51940-421LF</t>
  </si>
  <si>
    <t>Connector,PBVTR</t>
  </si>
  <si>
    <t>51940-488LF</t>
  </si>
  <si>
    <t>51966-10008000AALF</t>
  </si>
  <si>
    <t>PWRFST026</t>
  </si>
  <si>
    <t>DC-C CALE RECE CONN</t>
  </si>
  <si>
    <t>612</t>
  </si>
  <si>
    <t>PWRMRA028</t>
  </si>
  <si>
    <t>ET20 2P RA PWR Connector</t>
  </si>
  <si>
    <t>RPS0112002</t>
  </si>
  <si>
    <t>BK350 Au PLATING</t>
  </si>
  <si>
    <t>RPS0700749-004</t>
  </si>
  <si>
    <t>ORv3 cable Assy -NEMA</t>
  </si>
  <si>
    <t>10176873-37-F246LF</t>
  </si>
  <si>
    <t>60A 7P AC-IP WHIP ASSY</t>
  </si>
  <si>
    <t>356EC60A</t>
  </si>
  <si>
    <t>10176873-37-F247LF</t>
  </si>
  <si>
    <t>AC WHIP IEC 32A STRAIGHT</t>
  </si>
  <si>
    <t>10188304-054F01</t>
  </si>
  <si>
    <t>ORV3-100A</t>
  </si>
  <si>
    <t xml:space="preserve">10182476-71A801 </t>
  </si>
  <si>
    <t>item group</t>
  </si>
  <si>
    <t>Desc</t>
  </si>
  <si>
    <t>Nov plan</t>
  </si>
  <si>
    <t>Add. Qty.</t>
  </si>
  <si>
    <t>Nov K $</t>
  </si>
  <si>
    <t>10173947-100015LF</t>
  </si>
  <si>
    <t>Header assembly 2 key</t>
  </si>
  <si>
    <t>Header assembly 4 key</t>
  </si>
  <si>
    <t>356EC100</t>
  </si>
  <si>
    <t>100A AC WHIP IEC C/A</t>
  </si>
  <si>
    <t>51939-299LF</t>
  </si>
  <si>
    <t>10127401-06H1510LF</t>
  </si>
  <si>
    <t>PWRMRA025</t>
  </si>
  <si>
    <t>ET20-RA HDR CNR</t>
  </si>
  <si>
    <t>10106268-2002008LF</t>
  </si>
  <si>
    <t>Connector,PB+VR</t>
  </si>
  <si>
    <t>10106124-8000K01LF</t>
  </si>
  <si>
    <t>10106268-0402005LF</t>
  </si>
  <si>
    <t>PwrBlade+ VR STB</t>
  </si>
  <si>
    <t>10106268-9001001LF</t>
  </si>
  <si>
    <t>10106124-E000K01LF</t>
  </si>
  <si>
    <t>10106262-F000003LF</t>
  </si>
  <si>
    <t>51939-1006LF</t>
  </si>
  <si>
    <t>51939-103LF</t>
  </si>
  <si>
    <t>10153920-001</t>
  </si>
  <si>
    <t>ET20 Receptacle assy</t>
  </si>
  <si>
    <t>51939-389LF</t>
  </si>
  <si>
    <t>51940-535LF</t>
  </si>
  <si>
    <t>PwrBlade VTR</t>
  </si>
  <si>
    <t>51733-004LF</t>
  </si>
  <si>
    <t>51721-10002406AALF</t>
  </si>
  <si>
    <t>51939-126LF</t>
  </si>
  <si>
    <t>51940-255LF</t>
  </si>
  <si>
    <t>51741-10002406AALF</t>
  </si>
  <si>
    <t>51939-722LF</t>
  </si>
  <si>
    <t>10106269-B006001LF</t>
  </si>
  <si>
    <t>10106262-K008001LF</t>
  </si>
  <si>
    <t>51939-933LF</t>
  </si>
  <si>
    <t>10106124-9000002LF</t>
  </si>
  <si>
    <t>51720-10201602AALF</t>
  </si>
  <si>
    <t>51720-10202402AALF</t>
  </si>
  <si>
    <t>51720-11002006AALF</t>
  </si>
  <si>
    <t>51720-10806010AALF</t>
  </si>
  <si>
    <t>51720-10402404AALF</t>
  </si>
  <si>
    <t>10106131-A000001LF</t>
  </si>
  <si>
    <t>10146534-1EP065LF</t>
  </si>
  <si>
    <t>10162457-001</t>
  </si>
  <si>
    <t>RPS04S125-0011_Contact</t>
  </si>
  <si>
    <t>10162457-005</t>
  </si>
  <si>
    <t>RPS04S124-0011_Contact</t>
  </si>
  <si>
    <t>10165116-001</t>
  </si>
  <si>
    <t>BK100 SCRW MNT HSG ENHCD</t>
  </si>
  <si>
    <t>10165118-S01LF</t>
  </si>
  <si>
    <t>BK100 CONTACT</t>
  </si>
  <si>
    <t>10166013-101LF</t>
  </si>
  <si>
    <t>RapidLockPin CNR KitAssy</t>
  </si>
  <si>
    <t>10178160-C7A302</t>
  </si>
  <si>
    <t>OCP AC WHIP 78DEG 30A</t>
  </si>
  <si>
    <t>10181064-K70006</t>
  </si>
  <si>
    <t>ORV3 90-STRAIGHT 2500mm</t>
  </si>
  <si>
    <t>10182476-71A801</t>
  </si>
  <si>
    <t>ORV3AC INTERCONNECTEXCAB</t>
  </si>
  <si>
    <t>10146534-1EP062LF</t>
  </si>
  <si>
    <t>10146534-1EP058LF</t>
  </si>
  <si>
    <t>PACKING</t>
  </si>
  <si>
    <t>AUTO</t>
  </si>
  <si>
    <t>10174690-1UF011LF</t>
  </si>
  <si>
    <t>BK220 I/O Cable Assembly</t>
  </si>
  <si>
    <t xml:space="preserve">10176873-18-F126LF  </t>
  </si>
  <si>
    <t>48v/ Nvdia</t>
  </si>
  <si>
    <t>HPG24P14SRT021TD16</t>
  </si>
  <si>
    <t>EEX</t>
  </si>
  <si>
    <t>10190265-9F0001LF</t>
  </si>
  <si>
    <t>C10176572-B000R</t>
  </si>
  <si>
    <t>CSD</t>
  </si>
  <si>
    <t>Item group</t>
  </si>
  <si>
    <t>Jan Plan</t>
  </si>
  <si>
    <t>Additional Expected</t>
  </si>
  <si>
    <t>10106116-6000001LF</t>
  </si>
  <si>
    <t>10106116-8000K01LF</t>
  </si>
  <si>
    <t>10106122-5004001LF</t>
  </si>
  <si>
    <t>10106131-2202001LF</t>
  </si>
  <si>
    <t>10106131-4004001LF</t>
  </si>
  <si>
    <t>10106131-4006005LF</t>
  </si>
  <si>
    <t>10106131-5005002LF</t>
  </si>
  <si>
    <t>10106262-0006001LF</t>
  </si>
  <si>
    <t>346PBRAH</t>
  </si>
  <si>
    <t>10106262-0602K02LF</t>
  </si>
  <si>
    <t>10106262-0F08001LF</t>
  </si>
  <si>
    <t>10106262-3037K01LF</t>
  </si>
  <si>
    <t>10106262-T006001LF</t>
  </si>
  <si>
    <t>10106268-0017101LF</t>
  </si>
  <si>
    <t>10106268-0F08001LF</t>
  </si>
  <si>
    <t>10106269-0402006LF</t>
  </si>
  <si>
    <t>10106269-5203001LF</t>
  </si>
  <si>
    <t>10106269-B010001LF</t>
  </si>
  <si>
    <t>347PBTML</t>
  </si>
  <si>
    <t>10125942-GC13LF</t>
  </si>
  <si>
    <t>POWER CONTACT RH</t>
  </si>
  <si>
    <t>10125942-GC23LF</t>
  </si>
  <si>
    <t>POWER CONTACT LH</t>
  </si>
  <si>
    <t>10126183-GC321LF</t>
  </si>
  <si>
    <t>POWER CONTACT RECR/A PBU</t>
  </si>
  <si>
    <t>10126183-GC322LF</t>
  </si>
  <si>
    <t>10126183-GC421LF</t>
  </si>
  <si>
    <t>10126183-GC422LF</t>
  </si>
  <si>
    <t>10146534-1EP061LF</t>
  </si>
  <si>
    <t>10146534-1EP064LF</t>
  </si>
  <si>
    <t>552PBAMX</t>
  </si>
  <si>
    <t>10147785-001LF</t>
  </si>
  <si>
    <t>AIRMAX CONNECTOR</t>
  </si>
  <si>
    <t>10162457-008</t>
  </si>
  <si>
    <t>RPS04S124-0031_Contact</t>
  </si>
  <si>
    <t>10167397-101LF</t>
  </si>
  <si>
    <t>Rapid Lock Pin Kit,2.45</t>
  </si>
  <si>
    <t>10169634-S01LF</t>
  </si>
  <si>
    <t>PLATED SENSOR CONTACTS</t>
  </si>
  <si>
    <t>329</t>
  </si>
  <si>
    <t>329IPC</t>
  </si>
  <si>
    <t>IPC-S75/M50 10/12HDCT</t>
  </si>
  <si>
    <t>10170820-001LF</t>
  </si>
  <si>
    <t>IPC-M50 Gray Connector</t>
  </si>
  <si>
    <t>10171423-S02LF</t>
  </si>
  <si>
    <t>IPC-S175/M180 4CT</t>
  </si>
  <si>
    <t>10171423-S05LF</t>
  </si>
  <si>
    <t>IPC-S175/M180 1/0CT</t>
  </si>
  <si>
    <t>10171426-001LF</t>
  </si>
  <si>
    <t>IPC-M175 Gray Connector</t>
  </si>
  <si>
    <t>10171426-003LF</t>
  </si>
  <si>
    <t>IPC-M175 Red Connector</t>
  </si>
  <si>
    <t>61348HDR</t>
  </si>
  <si>
    <t>355NVICA</t>
  </si>
  <si>
    <t>10174781-001LF</t>
  </si>
  <si>
    <t>ET30 ELCON 6POS HDR CONN</t>
  </si>
  <si>
    <t>10174922-001LF</t>
  </si>
  <si>
    <t>SZ4 CNR KIT RPD LK</t>
  </si>
  <si>
    <t>10174923-001LF</t>
  </si>
  <si>
    <t>SZ2 CNR KIT RPD LK</t>
  </si>
  <si>
    <t>10176873-18-F126LF</t>
  </si>
  <si>
    <t>10176873-18-F128LF</t>
  </si>
  <si>
    <t>60A 7P AC-IP WHIP E ASSY</t>
  </si>
  <si>
    <t>10176873-19-F135LF</t>
  </si>
  <si>
    <t>10176873-19-F136LF</t>
  </si>
  <si>
    <t>10176873-19-F137LF</t>
  </si>
  <si>
    <t>10176873-19-F138LF</t>
  </si>
  <si>
    <t>10176873-19-F139LF</t>
  </si>
  <si>
    <t>10176873-19-F140LF</t>
  </si>
  <si>
    <t>10178823-001LF</t>
  </si>
  <si>
    <t>RAPIDLOCK PIN ASSEMBLY</t>
  </si>
  <si>
    <t>10182948-Q50002</t>
  </si>
  <si>
    <t>ORV3 FEMALE-MALE 1260mm</t>
  </si>
  <si>
    <t>10183206-007LF</t>
  </si>
  <si>
    <t>48V BUSBAR RA C/A 2.54M</t>
  </si>
  <si>
    <t>355BKZOD</t>
  </si>
  <si>
    <t>BENCHTOP BUSBAR WITH C/A</t>
  </si>
  <si>
    <t>51720-10404004AALF</t>
  </si>
  <si>
    <t>51721-10003605AALF</t>
  </si>
  <si>
    <t>51723-10400000AALF</t>
  </si>
  <si>
    <t>51730-034LF</t>
  </si>
  <si>
    <t>51731-022LF</t>
  </si>
  <si>
    <t>51732-007LF</t>
  </si>
  <si>
    <t>51732-077LF</t>
  </si>
  <si>
    <t>51734-006LF</t>
  </si>
  <si>
    <t>51740-10401204AALF</t>
  </si>
  <si>
    <t>51740-10402402CCLF</t>
  </si>
  <si>
    <t>51740-10701607AALF</t>
  </si>
  <si>
    <t>51750-104LF</t>
  </si>
  <si>
    <t>51751-005LF</t>
  </si>
  <si>
    <t>51751-011LF</t>
  </si>
  <si>
    <t>51751-029LF</t>
  </si>
  <si>
    <t>51939-1074LF</t>
  </si>
  <si>
    <t>51939-1319LF</t>
  </si>
  <si>
    <t>Connector,PB-RAH-STB</t>
  </si>
  <si>
    <t>51939-180LF</t>
  </si>
  <si>
    <t>51939-211LF</t>
  </si>
  <si>
    <t>PwrBlade RAH CNR</t>
  </si>
  <si>
    <t>51939-701LF</t>
  </si>
  <si>
    <t>51940-226LF</t>
  </si>
  <si>
    <t>51940-280LF</t>
  </si>
  <si>
    <t>51940-517PHDPLF</t>
  </si>
  <si>
    <t>51940-735PLF</t>
  </si>
  <si>
    <t>51940-749LF</t>
  </si>
  <si>
    <t>Connector ,PB-VTR-STB</t>
  </si>
  <si>
    <t>51967-10006000AALF</t>
  </si>
  <si>
    <t>520CSD</t>
  </si>
  <si>
    <t>Board Connector-CSD</t>
  </si>
  <si>
    <t>C10176573-P500</t>
  </si>
  <si>
    <t>Plug Connector-CSD</t>
  </si>
  <si>
    <t>C10176574-001</t>
  </si>
  <si>
    <t>CSD-DUST CAP</t>
  </si>
  <si>
    <t>517</t>
  </si>
  <si>
    <t>359EEXST</t>
  </si>
  <si>
    <t>HPG36P14SRT051TH07</t>
  </si>
  <si>
    <t>2.1MM,W/O RIB,W/ CVR</t>
  </si>
  <si>
    <t>PWRFST001</t>
  </si>
  <si>
    <t>ET20-MINIPWR FEM HSG</t>
  </si>
  <si>
    <t>PWRFST017</t>
  </si>
  <si>
    <t>AC R/A CableRcp CNR</t>
  </si>
  <si>
    <t>PWRMRA001</t>
  </si>
  <si>
    <t>ET20-RA HDR CNR-20A</t>
  </si>
  <si>
    <t>Lead</t>
  </si>
  <si>
    <t>Scrap entry</t>
  </si>
  <si>
    <t>Store</t>
  </si>
  <si>
    <t>QA</t>
  </si>
  <si>
    <t>Store/ework</t>
  </si>
  <si>
    <t>socket body(Z4/Z2)</t>
  </si>
  <si>
    <t>Sum of 
Qty Open</t>
  </si>
  <si>
    <t>Sum of Base
 Currency Amount</t>
  </si>
  <si>
    <t xml:space="preserve"> Currency Amount inK$</t>
  </si>
  <si>
    <t>Unit price inK $</t>
  </si>
  <si>
    <t>Add. 
If Any
(In Qty.-Pcs)</t>
  </si>
  <si>
    <t>10106116-8005K01LF</t>
  </si>
  <si>
    <t>10106262-0009K01LF</t>
  </si>
  <si>
    <t>10106269-C002001LF</t>
  </si>
  <si>
    <t>147</t>
  </si>
  <si>
    <t>147ENGP</t>
  </si>
  <si>
    <t>10176857-001LF</t>
  </si>
  <si>
    <t>EP 200 SOC CNR BK</t>
  </si>
  <si>
    <t>10176857-002LF</t>
  </si>
  <si>
    <t>EP 200 SOC CNR OR</t>
  </si>
  <si>
    <t>613ENGP</t>
  </si>
  <si>
    <t>10176859-001LF</t>
  </si>
  <si>
    <t>Socket Connector-EP250A</t>
  </si>
  <si>
    <t>10176859-002LF</t>
  </si>
  <si>
    <t>EP 250 SOC CNR OR</t>
  </si>
  <si>
    <t>10180211-1A150LF</t>
  </si>
  <si>
    <t>EP250 BK-cable 1.5m</t>
  </si>
  <si>
    <t>10180212-1A150LF</t>
  </si>
  <si>
    <t>EP250 OR-cable 1.5m</t>
  </si>
  <si>
    <t>10181063-K70001</t>
  </si>
  <si>
    <t>ORV3 90-90 MOLD 500mm</t>
  </si>
  <si>
    <t>10181064-K70010</t>
  </si>
  <si>
    <t>10182196-11-003</t>
  </si>
  <si>
    <t>EP200 BK-BK 1m CBL ASSY</t>
  </si>
  <si>
    <t>10182196-22-003</t>
  </si>
  <si>
    <t>EP200 OR-OR 1m CBL ASSY</t>
  </si>
  <si>
    <t>10185984-001LF</t>
  </si>
  <si>
    <t>EP250 ST Soc Cnr ETN BK</t>
  </si>
  <si>
    <t>51721-10007205ABLF</t>
  </si>
  <si>
    <t>359</t>
  </si>
  <si>
    <t>2.1MM,W/O RIB,W/O CVR, M</t>
  </si>
  <si>
    <t>semi</t>
  </si>
  <si>
    <t>ins</t>
  </si>
  <si>
    <t>Crew required for BK cable Assembly</t>
  </si>
  <si>
    <t>Crew required for ACWHIP</t>
  </si>
  <si>
    <t>Supporting DL</t>
  </si>
  <si>
    <t>Connector</t>
  </si>
  <si>
    <t>Technician</t>
  </si>
  <si>
    <t>Supp: Total</t>
  </si>
  <si>
    <t>BK Cable</t>
  </si>
  <si>
    <t>AC Cable</t>
  </si>
  <si>
    <t>Store work</t>
  </si>
  <si>
    <t>Scrap work and data entry</t>
  </si>
  <si>
    <t>Assembly Lines</t>
  </si>
  <si>
    <t>Legacy Power-Cable</t>
  </si>
  <si>
    <t>Legacy Power-Connector</t>
  </si>
  <si>
    <t>Cable Total</t>
  </si>
  <si>
    <t>Connector Total</t>
  </si>
  <si>
    <t>Utilization</t>
  </si>
  <si>
    <t>Achieved Hrs (W1'26)</t>
  </si>
  <si>
    <t>10170744-9D0001LF</t>
  </si>
  <si>
    <t>BK250</t>
  </si>
  <si>
    <t>DL %</t>
  </si>
  <si>
    <t>Wokring days</t>
  </si>
  <si>
    <t>10174690-1WF149LF</t>
  </si>
  <si>
    <t>BK220</t>
  </si>
  <si>
    <t>Sunday working-HC</t>
  </si>
  <si>
    <t>10170425-1RF033LF</t>
  </si>
  <si>
    <t>Per day Hrs</t>
  </si>
  <si>
    <t>LR@0.12</t>
  </si>
  <si>
    <t>HC/Line</t>
  </si>
  <si>
    <t>10146534-9B0001LF</t>
  </si>
  <si>
    <t>BK ZOID</t>
  </si>
  <si>
    <t>10170425-9B0040LF</t>
  </si>
  <si>
    <t xml:space="preserve">Crew required for EV </t>
  </si>
  <si>
    <t>Manufacturing</t>
  </si>
  <si>
    <t>Training crew</t>
  </si>
  <si>
    <t>Crew for QA</t>
  </si>
  <si>
    <t>NPI</t>
  </si>
  <si>
    <t>Crew for NPI</t>
  </si>
  <si>
    <t>Total Crew for Manufacturing</t>
  </si>
  <si>
    <t>NPD Crew Details</t>
  </si>
  <si>
    <t>Team</t>
  </si>
  <si>
    <t>Nos</t>
  </si>
  <si>
    <t>QA/QC</t>
  </si>
  <si>
    <t>Technisian</t>
  </si>
  <si>
    <t>DL-Assembly</t>
  </si>
  <si>
    <t>Process Technisian</t>
  </si>
  <si>
    <t>Molding</t>
  </si>
  <si>
    <t>Stores</t>
  </si>
  <si>
    <t>NAPS-Lead</t>
  </si>
  <si>
    <t>HC Allocated by IE</t>
  </si>
  <si>
    <t>Gap</t>
  </si>
  <si>
    <t>Present HC  on Shop floor</t>
  </si>
  <si>
    <t>BK 200 IO</t>
  </si>
  <si>
    <t>10187162-002LF</t>
  </si>
  <si>
    <t>ORV3-60A- IC</t>
  </si>
  <si>
    <t>Airmax</t>
  </si>
  <si>
    <t>10173913-002LF</t>
  </si>
  <si>
    <t>Megaflex</t>
  </si>
  <si>
    <t>Crew required for BK cable Assembly with supporting crew</t>
  </si>
  <si>
    <t>Crew required for ACWHIP with supporting crew</t>
  </si>
  <si>
    <t>Crew required for Connector with supporting crew</t>
  </si>
  <si>
    <t>HC Physicaly req @ line</t>
  </si>
  <si>
    <t>10170425-9SF025LF</t>
  </si>
  <si>
    <t>Lines</t>
  </si>
  <si>
    <t>ACWHIP</t>
  </si>
  <si>
    <t>Crew required in bench</t>
  </si>
  <si>
    <t>HC Allocation</t>
  </si>
  <si>
    <t>Z2/Z4</t>
  </si>
  <si>
    <t>Energypole</t>
  </si>
  <si>
    <t>10178119-05P001</t>
  </si>
  <si>
    <t>ORV3 8 Cable Assembly</t>
  </si>
  <si>
    <t>10185200-D01LF</t>
  </si>
  <si>
    <t>5034P2SI</t>
  </si>
  <si>
    <t>10183597-2-005B1LF</t>
  </si>
  <si>
    <t>DCWHIP</t>
  </si>
  <si>
    <t>Required HC</t>
  </si>
  <si>
    <t>Crew required for EV (Plant 2 &amp; 3)</t>
  </si>
  <si>
    <t>ASM</t>
  </si>
  <si>
    <t>10185581-02-002LF</t>
  </si>
  <si>
    <t>ACWHIP int 60A</t>
  </si>
  <si>
    <t>Splice crimp CT</t>
  </si>
  <si>
    <t>Shift Output</t>
  </si>
  <si>
    <t>Daily Output</t>
  </si>
  <si>
    <t>Capacity Estimate</t>
  </si>
  <si>
    <t>Bottleneck</t>
  </si>
  <si>
    <t>Splice crimping</t>
  </si>
  <si>
    <t>10182665-3RF001LF</t>
  </si>
  <si>
    <t>Assembly Line-Core</t>
  </si>
  <si>
    <t>Lockpin</t>
  </si>
  <si>
    <t>Twisting</t>
  </si>
  <si>
    <t>10194040-C56B09LF</t>
  </si>
  <si>
    <t>ACWHIP 60A 4P</t>
  </si>
  <si>
    <t>10173750-04PR01</t>
  </si>
  <si>
    <t>60A Connector</t>
  </si>
  <si>
    <t>10182665-4RF001LF</t>
  </si>
  <si>
    <t>60A 5P Connector</t>
  </si>
  <si>
    <t>10178501-100A01LF</t>
  </si>
  <si>
    <t>Bone crisher</t>
  </si>
  <si>
    <t>BK Revised</t>
  </si>
  <si>
    <t>Total required for July 26</t>
  </si>
  <si>
    <t>HC as on June 28th</t>
  </si>
  <si>
    <t>Balance crew required for production July 26</t>
  </si>
  <si>
    <t>Revenue planned for July-26</t>
  </si>
  <si>
    <t>$40 M</t>
  </si>
  <si>
    <t>HC as on June 25th</t>
  </si>
  <si>
    <t>Revenue-($K)</t>
  </si>
  <si>
    <t>Revenue/HC ($K)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</si>
</sst>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 * #,##0.00_ ;_ * \-#,##0.00_ ;_ * &quot;-&quot;??_ ;_ @_ "/>
    <numFmt numFmtId="164" formatCode="_(* #,##0.00_);_(* \(#,##0.00\);_(* &quot;-&quot;??_);_(@_)"/>
    <numFmt numFmtId="165" formatCode="dd\-mmm\-yy"/>
    <numFmt numFmtId="166" formatCode="##,###,##0"/>
    <numFmt numFmtId="167" formatCode="###,###,##0.0########"/>
    <numFmt numFmtId="168" formatCode="###,###,##0.00"/>
    <numFmt numFmtId="169" formatCode="##,###,##0.0########"/>
    <numFmt numFmtId="170" formatCode="##,###,###,##0.0########"/>
    <numFmt numFmtId="171" formatCode="#,###,###,##0.00###"/>
    <numFmt numFmtId="172" formatCode="###,##0.##"/>
    <numFmt numFmtId="173" formatCode="##,##0.00###"/>
    <numFmt numFmtId="174" formatCode="###,##0.00"/>
    <numFmt numFmtId="175" formatCode="_(* #,##0_);_(* \(#,##0\);_(* &quot;-&quot;??_);_(@_)"/>
    <numFmt numFmtId="176" formatCode="_(* #,##0.0000_);_(* \(#,##0.0000\);_(* &quot;-&quot;??_);_(@_)"/>
    <numFmt numFmtId="177" formatCode="_ * #,##0_ ;_ * \-#,##0_ ;_ * &quot;-&quot;??_ ;_ @_ "/>
    <numFmt numFmtId="178" formatCode="_(* #,##0.0_);_(* \(#,##0.0\);_(* &quot;-&quot;??_);_(@_)"/>
    <numFmt numFmtId="179" formatCode="0.0000000"/>
    <numFmt numFmtId="180" formatCode="_(* #,##0.000_);_(* \(#,##0.000\);_(* &quot;-&quot;??_);_(@_)"/>
    <numFmt numFmtId="181" formatCode="0.0"/>
    <numFmt numFmtId="182" formatCode="0.000"/>
    <numFmt numFmtId="183" formatCode="_(* #,##0.0_);_(* \(#,##0.0\);_(* &quot;-&quot;?_);_(@_)"/>
  </numFmts>
  <fonts count="35" x14ac:knownFonts="1">
    <font>
      <sz val="11"/>
      <color theme="1"/>
      <name val="Aptos Narrow"/>
      <family val="2"/>
      <scheme val="minor"/>
    </font>
    <font>
      <sz val="8"/>
      <color rgb="FF000000"/>
      <name val="Microsoft Sans Serif"/>
      <family val="2"/>
    </font>
    <font>
      <sz val="8"/>
      <color rgb="FF0000FF"/>
      <name val="Microsoft Sans Serif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ptos"/>
      <family val="2"/>
    </font>
    <font>
      <sz val="9"/>
      <color rgb="FFFF0000"/>
      <name val="Arial"/>
      <family val="2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9"/>
      <color theme="1"/>
      <name val="Aptos"/>
      <family val="2"/>
    </font>
    <font>
      <b/>
      <sz val="9"/>
      <name val="Aptos"/>
      <family val="2"/>
    </font>
    <font>
      <sz val="9"/>
      <color rgb="FF000000"/>
      <name val="Aptos"/>
      <family val="2"/>
    </font>
    <font>
      <sz val="9"/>
      <color rgb="FFFF0000"/>
      <name val="Aptos"/>
      <family val="2"/>
    </font>
  </fonts>
  <fills count="28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1" fillId="0" borderId="0"/>
    <xf numFmtId="164" fontId="3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48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right" vertical="center"/>
    </xf>
    <xf numFmtId="166" fontId="1" fillId="0" borderId="2" xfId="0" applyNumberFormat="1" applyFont="1" applyBorder="1" applyAlignment="1">
      <alignment horizontal="right" vertical="center"/>
    </xf>
    <xf numFmtId="167" fontId="1" fillId="0" borderId="2" xfId="0" applyNumberFormat="1" applyFont="1" applyBorder="1" applyAlignment="1">
      <alignment horizontal="right" vertical="center"/>
    </xf>
    <xf numFmtId="168" fontId="1" fillId="0" borderId="2" xfId="0" applyNumberFormat="1" applyFont="1" applyBorder="1" applyAlignment="1">
      <alignment horizontal="right" vertical="center"/>
    </xf>
    <xf numFmtId="169" fontId="1" fillId="0" borderId="2" xfId="0" applyNumberFormat="1" applyFont="1" applyBorder="1" applyAlignment="1">
      <alignment horizontal="right" vertical="center"/>
    </xf>
    <xf numFmtId="170" fontId="1" fillId="0" borderId="2" xfId="0" applyNumberFormat="1" applyFont="1" applyBorder="1" applyAlignment="1">
      <alignment horizontal="right" vertical="center"/>
    </xf>
    <xf numFmtId="171" fontId="1" fillId="0" borderId="2" xfId="0" applyNumberFormat="1" applyFont="1" applyBorder="1" applyAlignment="1">
      <alignment horizontal="right" vertical="center"/>
    </xf>
    <xf numFmtId="172" fontId="1" fillId="0" borderId="2" xfId="0" applyNumberFormat="1" applyFont="1" applyBorder="1" applyAlignment="1">
      <alignment horizontal="right" vertical="center"/>
    </xf>
    <xf numFmtId="173" fontId="1" fillId="0" borderId="2" xfId="0" applyNumberFormat="1" applyFont="1" applyBorder="1" applyAlignment="1">
      <alignment horizontal="right" vertical="center"/>
    </xf>
    <xf numFmtId="174" fontId="1" fillId="0" borderId="2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/>
    </xf>
    <xf numFmtId="166" fontId="1" fillId="2" borderId="2" xfId="0" applyNumberFormat="1" applyFont="1" applyFill="1" applyBorder="1" applyAlignment="1">
      <alignment horizontal="right" vertical="center"/>
    </xf>
    <xf numFmtId="167" fontId="1" fillId="2" borderId="2" xfId="0" applyNumberFormat="1" applyFont="1" applyFill="1" applyBorder="1" applyAlignment="1">
      <alignment horizontal="right" vertical="center"/>
    </xf>
    <xf numFmtId="168" fontId="1" fillId="2" borderId="2" xfId="0" applyNumberFormat="1" applyFont="1" applyFill="1" applyBorder="1" applyAlignment="1">
      <alignment horizontal="right" vertical="center"/>
    </xf>
    <xf numFmtId="169" fontId="1" fillId="2" borderId="2" xfId="0" applyNumberFormat="1" applyFont="1" applyFill="1" applyBorder="1" applyAlignment="1">
      <alignment horizontal="right" vertical="center"/>
    </xf>
    <xf numFmtId="170" fontId="1" fillId="2" borderId="2" xfId="0" applyNumberFormat="1" applyFont="1" applyFill="1" applyBorder="1" applyAlignment="1">
      <alignment horizontal="right" vertical="center"/>
    </xf>
    <xf numFmtId="171" fontId="1" fillId="2" borderId="2" xfId="0" applyNumberFormat="1" applyFont="1" applyFill="1" applyBorder="1" applyAlignment="1">
      <alignment horizontal="right" vertical="center"/>
    </xf>
    <xf numFmtId="172" fontId="1" fillId="2" borderId="2" xfId="0" applyNumberFormat="1" applyFont="1" applyFill="1" applyBorder="1" applyAlignment="1">
      <alignment horizontal="right" vertical="center"/>
    </xf>
    <xf numFmtId="173" fontId="1" fillId="2" borderId="2" xfId="0" applyNumberFormat="1" applyFont="1" applyFill="1" applyBorder="1" applyAlignment="1">
      <alignment horizontal="right" vertical="center"/>
    </xf>
    <xf numFmtId="174" fontId="1" fillId="2" borderId="2" xfId="0" applyNumberFormat="1" applyFont="1" applyFill="1" applyBorder="1" applyAlignment="1">
      <alignment horizontal="right" vertical="center"/>
    </xf>
    <xf numFmtId="17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5" fontId="0" fillId="0" borderId="0" xfId="1" applyNumberFormat="1" applyFont="1" applyAlignment="1">
      <alignment horizontal="center" vertical="center"/>
    </xf>
    <xf numFmtId="175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/>
    <xf numFmtId="14" fontId="0" fillId="3" borderId="0" xfId="0" applyNumberFormat="1" applyFill="1"/>
    <xf numFmtId="0" fontId="5" fillId="0" borderId="0" xfId="0" applyFont="1" applyAlignment="1">
      <alignment horizontal="center" vertical="center"/>
    </xf>
    <xf numFmtId="175" fontId="5" fillId="0" borderId="0" xfId="1" applyNumberFormat="1" applyFont="1" applyFill="1"/>
    <xf numFmtId="0" fontId="5" fillId="0" borderId="0" xfId="0" applyFont="1"/>
    <xf numFmtId="0" fontId="9" fillId="0" borderId="3" xfId="0" applyFont="1" applyBorder="1" applyAlignment="1">
      <alignment vertical="center" wrapText="1"/>
    </xf>
    <xf numFmtId="175" fontId="0" fillId="0" borderId="0" xfId="1" applyNumberFormat="1" applyFont="1"/>
    <xf numFmtId="0" fontId="6" fillId="0" borderId="0" xfId="0" applyFont="1" applyAlignment="1">
      <alignment horizontal="center" vertical="center"/>
    </xf>
    <xf numFmtId="0" fontId="0" fillId="0" borderId="3" xfId="0" applyBorder="1"/>
    <xf numFmtId="0" fontId="10" fillId="7" borderId="12" xfId="0" applyFont="1" applyFill="1" applyBorder="1"/>
    <xf numFmtId="0" fontId="10" fillId="7" borderId="3" xfId="0" applyFont="1" applyFill="1" applyBorder="1" applyAlignment="1">
      <alignment horizontal="center" vertical="center"/>
    </xf>
    <xf numFmtId="175" fontId="10" fillId="7" borderId="3" xfId="1" applyNumberFormat="1" applyFont="1" applyFill="1" applyBorder="1"/>
    <xf numFmtId="175" fontId="10" fillId="7" borderId="3" xfId="1" applyNumberFormat="1" applyFont="1" applyFill="1" applyBorder="1" applyAlignment="1">
      <alignment horizontal="center" vertical="center"/>
    </xf>
    <xf numFmtId="38" fontId="4" fillId="11" borderId="3" xfId="1" applyNumberFormat="1" applyFont="1" applyFill="1" applyBorder="1" applyAlignment="1">
      <alignment horizontal="center" vertical="center"/>
    </xf>
    <xf numFmtId="0" fontId="4" fillId="11" borderId="3" xfId="0" applyFont="1" applyFill="1" applyBorder="1"/>
    <xf numFmtId="9" fontId="4" fillId="11" borderId="3" xfId="2" applyFont="1" applyFill="1" applyBorder="1" applyAlignment="1">
      <alignment horizontal="center"/>
    </xf>
    <xf numFmtId="0" fontId="0" fillId="12" borderId="0" xfId="0" applyFill="1"/>
    <xf numFmtId="0" fontId="10" fillId="0" borderId="0" xfId="0" applyFont="1" applyAlignment="1">
      <alignment vertical="center"/>
    </xf>
    <xf numFmtId="176" fontId="5" fillId="0" borderId="3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5" fontId="0" fillId="0" borderId="3" xfId="1" applyNumberFormat="1" applyFont="1" applyBorder="1"/>
    <xf numFmtId="175" fontId="5" fillId="0" borderId="3" xfId="1" applyNumberFormat="1" applyFont="1" applyFill="1" applyBorder="1" applyAlignment="1">
      <alignment horizontal="center" vertical="center"/>
    </xf>
    <xf numFmtId="164" fontId="3" fillId="0" borderId="3" xfId="1" applyFont="1" applyFill="1" applyBorder="1" applyAlignment="1">
      <alignment horizontal="center" vertical="center"/>
    </xf>
    <xf numFmtId="175" fontId="3" fillId="0" borderId="3" xfId="1" applyNumberFormat="1" applyFont="1" applyFill="1" applyBorder="1"/>
    <xf numFmtId="9" fontId="0" fillId="0" borderId="3" xfId="2" applyFont="1" applyFill="1" applyBorder="1"/>
    <xf numFmtId="0" fontId="0" fillId="0" borderId="6" xfId="0" applyBorder="1"/>
    <xf numFmtId="0" fontId="0" fillId="13" borderId="3" xfId="0" applyFill="1" applyBorder="1"/>
    <xf numFmtId="175" fontId="0" fillId="0" borderId="3" xfId="1" applyNumberFormat="1" applyFont="1" applyFill="1" applyBorder="1"/>
    <xf numFmtId="0" fontId="5" fillId="0" borderId="3" xfId="0" applyFont="1" applyBorder="1" applyAlignment="1">
      <alignment horizontal="left" vertical="center"/>
    </xf>
    <xf numFmtId="175" fontId="5" fillId="0" borderId="3" xfId="1" applyNumberFormat="1" applyFont="1" applyFill="1" applyBorder="1"/>
    <xf numFmtId="164" fontId="5" fillId="0" borderId="3" xfId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175" fontId="10" fillId="9" borderId="0" xfId="1" applyNumberFormat="1" applyFont="1" applyFill="1"/>
    <xf numFmtId="175" fontId="4" fillId="9" borderId="0" xfId="1" applyNumberFormat="1" applyFont="1" applyFill="1"/>
    <xf numFmtId="38" fontId="4" fillId="9" borderId="0" xfId="1" applyNumberFormat="1" applyFont="1" applyFill="1" applyAlignment="1">
      <alignment horizontal="center" vertical="center"/>
    </xf>
    <xf numFmtId="9" fontId="4" fillId="9" borderId="8" xfId="2" applyFont="1" applyFill="1" applyBorder="1"/>
    <xf numFmtId="38" fontId="0" fillId="0" borderId="0" xfId="1" applyNumberFormat="1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175" fontId="0" fillId="0" borderId="14" xfId="0" applyNumberFormat="1" applyBorder="1"/>
    <xf numFmtId="0" fontId="0" fillId="0" borderId="15" xfId="0" applyBorder="1"/>
    <xf numFmtId="175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75" fontId="0" fillId="0" borderId="20" xfId="1" applyNumberFormat="1" applyFont="1" applyFill="1" applyBorder="1"/>
    <xf numFmtId="175" fontId="4" fillId="0" borderId="18" xfId="0" applyNumberFormat="1" applyFont="1" applyBorder="1"/>
    <xf numFmtId="0" fontId="4" fillId="0" borderId="18" xfId="0" applyFont="1" applyBorder="1"/>
    <xf numFmtId="175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6" fillId="0" borderId="0" xfId="0" applyNumberFormat="1" applyFont="1" applyAlignment="1">
      <alignment horizontal="center"/>
    </xf>
    <xf numFmtId="1" fontId="8" fillId="0" borderId="3" xfId="0" applyNumberFormat="1" applyFont="1" applyBorder="1" applyAlignment="1">
      <alignment horizontal="center" vertical="center" wrapText="1"/>
    </xf>
    <xf numFmtId="0" fontId="6" fillId="12" borderId="3" xfId="0" applyFont="1" applyFill="1" applyBorder="1"/>
    <xf numFmtId="9" fontId="0" fillId="0" borderId="3" xfId="2" applyFont="1" applyBorder="1"/>
    <xf numFmtId="0" fontId="6" fillId="12" borderId="3" xfId="0" applyFont="1" applyFill="1" applyBorder="1" applyAlignment="1">
      <alignment wrapText="1"/>
    </xf>
    <xf numFmtId="0" fontId="0" fillId="15" borderId="3" xfId="0" applyFill="1" applyBorder="1"/>
    <xf numFmtId="9" fontId="0" fillId="0" borderId="0" xfId="2" applyFont="1"/>
    <xf numFmtId="179" fontId="0" fillId="0" borderId="0" xfId="0" applyNumberFormat="1"/>
    <xf numFmtId="0" fontId="0" fillId="0" borderId="0" xfId="2" applyNumberFormat="1" applyFont="1"/>
    <xf numFmtId="0" fontId="13" fillId="0" borderId="3" xfId="0" applyFont="1" applyBorder="1"/>
    <xf numFmtId="0" fontId="9" fillId="0" borderId="0" xfId="0" applyFont="1" applyAlignment="1">
      <alignment horizontal="center" vertical="center" wrapText="1"/>
    </xf>
    <xf numFmtId="0" fontId="6" fillId="12" borderId="0" xfId="0" applyFont="1" applyFill="1"/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5" xfId="0" applyBorder="1"/>
    <xf numFmtId="1" fontId="4" fillId="8" borderId="3" xfId="0" applyNumberFormat="1" applyFont="1" applyFill="1" applyBorder="1"/>
    <xf numFmtId="1" fontId="0" fillId="0" borderId="0" xfId="0" applyNumberFormat="1"/>
    <xf numFmtId="0" fontId="14" fillId="7" borderId="6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3" xfId="0" applyFont="1" applyFill="1" applyBorder="1"/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9" fontId="15" fillId="4" borderId="3" xfId="2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9" fontId="15" fillId="0" borderId="3" xfId="2" applyFont="1" applyBorder="1" applyAlignment="1">
      <alignment horizontal="center" vertical="center"/>
    </xf>
    <xf numFmtId="1" fontId="15" fillId="0" borderId="3" xfId="0" applyNumberFormat="1" applyFont="1" applyBorder="1" applyAlignment="1">
      <alignment vertical="center"/>
    </xf>
    <xf numFmtId="1" fontId="15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top"/>
    </xf>
    <xf numFmtId="0" fontId="15" fillId="0" borderId="5" xfId="0" applyFont="1" applyBorder="1"/>
    <xf numFmtId="0" fontId="15" fillId="0" borderId="11" xfId="0" applyFont="1" applyBorder="1"/>
    <xf numFmtId="1" fontId="14" fillId="8" borderId="9" xfId="0" applyNumberFormat="1" applyFont="1" applyFill="1" applyBorder="1" applyAlignment="1">
      <alignment horizontal="center" vertical="center"/>
    </xf>
    <xf numFmtId="0" fontId="15" fillId="0" borderId="0" xfId="0" applyFont="1"/>
    <xf numFmtId="9" fontId="0" fillId="4" borderId="3" xfId="2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vertical="center"/>
    </xf>
    <xf numFmtId="9" fontId="0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18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9" fillId="12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wrapText="1"/>
    </xf>
    <xf numFmtId="1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43" fontId="17" fillId="0" borderId="0" xfId="0" applyNumberFormat="1" applyFont="1" applyAlignment="1">
      <alignment horizontal="center" vertical="center" wrapText="1"/>
    </xf>
    <xf numFmtId="0" fontId="16" fillId="0" borderId="3" xfId="0" applyFont="1" applyBorder="1" applyAlignment="1">
      <alignment wrapText="1"/>
    </xf>
    <xf numFmtId="1" fontId="16" fillId="0" borderId="3" xfId="0" applyNumberFormat="1" applyFont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16" fontId="16" fillId="12" borderId="3" xfId="0" applyNumberFormat="1" applyFont="1" applyFill="1" applyBorder="1" applyAlignment="1">
      <alignment horizontal="center" vertical="center" wrapText="1"/>
    </xf>
    <xf numFmtId="9" fontId="17" fillId="0" borderId="3" xfId="2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9" fontId="17" fillId="0" borderId="0" xfId="2" applyFont="1" applyAlignment="1">
      <alignment horizontal="center" vertical="center" wrapText="1"/>
    </xf>
    <xf numFmtId="175" fontId="12" fillId="0" borderId="0" xfId="1" applyNumberFormat="1" applyFont="1" applyFill="1" applyAlignment="1">
      <alignment vertical="center"/>
    </xf>
    <xf numFmtId="43" fontId="12" fillId="0" borderId="0" xfId="1" applyNumberFormat="1" applyFont="1" applyFill="1" applyAlignment="1">
      <alignment vertical="center"/>
    </xf>
    <xf numFmtId="175" fontId="11" fillId="0" borderId="0" xfId="1" applyNumberFormat="1" applyFont="1" applyFill="1" applyAlignment="1">
      <alignment vertical="center"/>
    </xf>
    <xf numFmtId="43" fontId="11" fillId="0" borderId="0" xfId="1" applyNumberFormat="1" applyFont="1" applyFill="1" applyAlignment="1">
      <alignment vertical="center"/>
    </xf>
    <xf numFmtId="2" fontId="11" fillId="0" borderId="0" xfId="1" applyNumberFormat="1" applyFont="1" applyFill="1" applyAlignment="1">
      <alignment vertical="center"/>
    </xf>
    <xf numFmtId="175" fontId="14" fillId="0" borderId="3" xfId="1" applyNumberFormat="1" applyFont="1" applyFill="1" applyBorder="1" applyAlignment="1">
      <alignment horizontal="left" vertical="center"/>
    </xf>
    <xf numFmtId="175" fontId="15" fillId="0" borderId="3" xfId="1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75" fontId="19" fillId="0" borderId="3" xfId="1" applyNumberFormat="1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175" fontId="21" fillId="0" borderId="3" xfId="1" applyNumberFormat="1" applyFont="1" applyFill="1" applyBorder="1" applyAlignment="1">
      <alignment horizontal="left" vertical="center"/>
    </xf>
    <xf numFmtId="164" fontId="21" fillId="0" borderId="3" xfId="1" applyFont="1" applyFill="1" applyBorder="1" applyAlignment="1">
      <alignment horizontal="left" vertical="center"/>
    </xf>
    <xf numFmtId="164" fontId="15" fillId="0" borderId="3" xfId="1" applyFont="1" applyFill="1" applyBorder="1" applyAlignment="1">
      <alignment horizontal="left" vertical="center"/>
    </xf>
    <xf numFmtId="178" fontId="15" fillId="0" borderId="3" xfId="1" applyNumberFormat="1" applyFont="1" applyFill="1" applyBorder="1" applyAlignment="1">
      <alignment horizontal="left" vertical="center"/>
    </xf>
    <xf numFmtId="175" fontId="15" fillId="0" borderId="3" xfId="1" applyNumberFormat="1" applyFont="1" applyFill="1" applyBorder="1" applyAlignment="1">
      <alignment horizontal="left" vertical="center" wrapText="1"/>
    </xf>
    <xf numFmtId="180" fontId="21" fillId="0" borderId="3" xfId="1" applyNumberFormat="1" applyFont="1" applyFill="1" applyBorder="1" applyAlignment="1">
      <alignment horizontal="left" vertical="center"/>
    </xf>
    <xf numFmtId="178" fontId="21" fillId="0" borderId="3" xfId="1" applyNumberFormat="1" applyFont="1" applyFill="1" applyBorder="1" applyAlignment="1">
      <alignment horizontal="left" vertical="center"/>
    </xf>
    <xf numFmtId="175" fontId="21" fillId="0" borderId="3" xfId="1" applyNumberFormat="1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175" fontId="15" fillId="0" borderId="0" xfId="0" applyNumberFormat="1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1" fontId="15" fillId="0" borderId="3" xfId="0" applyNumberFormat="1" applyFont="1" applyBorder="1" applyAlignment="1">
      <alignment horizontal="left" vertical="center" wrapText="1"/>
    </xf>
    <xf numFmtId="175" fontId="15" fillId="0" borderId="3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77" fontId="14" fillId="0" borderId="3" xfId="1" applyNumberFormat="1" applyFont="1" applyFill="1" applyBorder="1" applyAlignment="1">
      <alignment horizontal="left" vertical="center"/>
    </xf>
    <xf numFmtId="43" fontId="14" fillId="0" borderId="3" xfId="1" applyNumberFormat="1" applyFont="1" applyFill="1" applyBorder="1" applyAlignment="1">
      <alignment horizontal="left" vertical="center"/>
    </xf>
    <xf numFmtId="164" fontId="14" fillId="0" borderId="3" xfId="1" applyFont="1" applyFill="1" applyBorder="1" applyAlignment="1">
      <alignment horizontal="left" vertical="center"/>
    </xf>
    <xf numFmtId="43" fontId="14" fillId="0" borderId="3" xfId="0" applyNumberFormat="1" applyFont="1" applyBorder="1" applyAlignment="1">
      <alignment horizontal="left" vertical="center"/>
    </xf>
    <xf numFmtId="43" fontId="19" fillId="0" borderId="3" xfId="1" applyNumberFormat="1" applyFont="1" applyFill="1" applyBorder="1" applyAlignment="1">
      <alignment horizontal="left" vertical="center"/>
    </xf>
    <xf numFmtId="177" fontId="19" fillId="0" borderId="3" xfId="1" applyNumberFormat="1" applyFont="1" applyFill="1" applyBorder="1" applyAlignment="1">
      <alignment horizontal="left" vertical="center"/>
    </xf>
    <xf numFmtId="177" fontId="14" fillId="0" borderId="3" xfId="2" applyNumberFormat="1" applyFont="1" applyFill="1" applyBorder="1" applyAlignment="1">
      <alignment horizontal="left" vertical="center"/>
    </xf>
    <xf numFmtId="9" fontId="21" fillId="0" borderId="0" xfId="2" applyFont="1" applyFill="1" applyAlignment="1">
      <alignment horizontal="left" vertical="center"/>
    </xf>
    <xf numFmtId="175" fontId="21" fillId="0" borderId="0" xfId="1" applyNumberFormat="1" applyFont="1" applyFill="1" applyAlignment="1">
      <alignment horizontal="left" vertical="center"/>
    </xf>
    <xf numFmtId="9" fontId="15" fillId="0" borderId="0" xfId="2" applyFont="1" applyFill="1" applyAlignment="1">
      <alignment horizontal="left" vertical="center"/>
    </xf>
    <xf numFmtId="175" fontId="15" fillId="0" borderId="0" xfId="1" applyNumberFormat="1" applyFont="1" applyFill="1" applyAlignment="1">
      <alignment horizontal="left" vertical="center"/>
    </xf>
    <xf numFmtId="43" fontId="15" fillId="0" borderId="0" xfId="1" applyNumberFormat="1" applyFont="1" applyFill="1" applyAlignment="1">
      <alignment horizontal="left" vertical="center"/>
    </xf>
    <xf numFmtId="175" fontId="15" fillId="0" borderId="0" xfId="1" applyNumberFormat="1" applyFont="1" applyFill="1" applyBorder="1" applyAlignment="1">
      <alignment horizontal="left" vertical="center" wrapText="1"/>
    </xf>
    <xf numFmtId="175" fontId="15" fillId="0" borderId="0" xfId="1" applyNumberFormat="1" applyFont="1" applyFill="1" applyBorder="1" applyAlignment="1">
      <alignment horizontal="left" vertical="center"/>
    </xf>
    <xf numFmtId="175" fontId="21" fillId="0" borderId="0" xfId="1" applyNumberFormat="1" applyFont="1" applyFill="1" applyBorder="1" applyAlignment="1">
      <alignment horizontal="left" vertical="center" wrapText="1"/>
    </xf>
    <xf numFmtId="0" fontId="0" fillId="8" borderId="3" xfId="0" applyFill="1" applyBorder="1"/>
    <xf numFmtId="0" fontId="6" fillId="20" borderId="3" xfId="0" applyFont="1" applyFill="1" applyBorder="1"/>
    <xf numFmtId="175" fontId="15" fillId="0" borderId="3" xfId="1" applyNumberFormat="1" applyFont="1" applyFill="1" applyBorder="1" applyAlignment="1">
      <alignment horizontal="center" vertical="center"/>
    </xf>
    <xf numFmtId="175" fontId="14" fillId="0" borderId="3" xfId="1" applyNumberFormat="1" applyFont="1" applyFill="1" applyBorder="1" applyAlignment="1">
      <alignment horizontal="center" vertical="center"/>
    </xf>
    <xf numFmtId="2" fontId="14" fillId="0" borderId="3" xfId="2" applyNumberFormat="1" applyFont="1" applyFill="1" applyBorder="1" applyAlignment="1">
      <alignment horizontal="center" vertical="center"/>
    </xf>
    <xf numFmtId="175" fontId="15" fillId="0" borderId="0" xfId="1" applyNumberFormat="1" applyFont="1" applyFill="1" applyAlignment="1">
      <alignment horizontal="center" vertical="center"/>
    </xf>
    <xf numFmtId="175" fontId="12" fillId="0" borderId="0" xfId="1" applyNumberFormat="1" applyFont="1" applyFill="1" applyAlignment="1">
      <alignment horizontal="center" vertical="center"/>
    </xf>
    <xf numFmtId="43" fontId="12" fillId="0" borderId="0" xfId="1" applyNumberFormat="1" applyFont="1" applyFill="1" applyAlignment="1">
      <alignment horizontal="center" vertical="center"/>
    </xf>
    <xf numFmtId="175" fontId="14" fillId="20" borderId="3" xfId="1" applyNumberFormat="1" applyFont="1" applyFill="1" applyBorder="1" applyAlignment="1">
      <alignment horizontal="center" vertical="center"/>
    </xf>
    <xf numFmtId="175" fontId="19" fillId="20" borderId="3" xfId="1" applyNumberFormat="1" applyFont="1" applyFill="1" applyBorder="1" applyAlignment="1">
      <alignment horizontal="center" vertical="center"/>
    </xf>
    <xf numFmtId="164" fontId="15" fillId="0" borderId="0" xfId="1" applyFont="1" applyFill="1" applyBorder="1" applyAlignment="1">
      <alignment horizontal="center" vertical="center" wrapText="1"/>
    </xf>
    <xf numFmtId="175" fontId="15" fillId="0" borderId="0" xfId="1" applyNumberFormat="1" applyFont="1" applyFill="1" applyBorder="1" applyAlignment="1">
      <alignment horizontal="center" vertical="center" wrapText="1"/>
    </xf>
    <xf numFmtId="175" fontId="15" fillId="0" borderId="0" xfId="1" applyNumberFormat="1" applyFont="1" applyFill="1" applyBorder="1" applyAlignment="1">
      <alignment horizontal="center" vertical="center"/>
    </xf>
    <xf numFmtId="175" fontId="21" fillId="0" borderId="0" xfId="1" applyNumberFormat="1" applyFont="1" applyFill="1" applyBorder="1" applyAlignment="1">
      <alignment horizontal="center" vertical="center" wrapText="1"/>
    </xf>
    <xf numFmtId="164" fontId="15" fillId="0" borderId="3" xfId="1" applyFont="1" applyFill="1" applyBorder="1" applyAlignment="1">
      <alignment horizontal="left" vertical="center" wrapText="1"/>
    </xf>
    <xf numFmtId="180" fontId="21" fillId="0" borderId="0" xfId="1" applyNumberFormat="1" applyFont="1" applyFill="1" applyBorder="1" applyAlignment="1">
      <alignment horizontal="left" vertical="center" wrapText="1"/>
    </xf>
    <xf numFmtId="180" fontId="15" fillId="0" borderId="0" xfId="1" applyNumberFormat="1" applyFont="1" applyFill="1" applyBorder="1" applyAlignment="1">
      <alignment horizontal="center" vertical="center" wrapText="1"/>
    </xf>
    <xf numFmtId="176" fontId="15" fillId="0" borderId="3" xfId="1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175" fontId="21" fillId="0" borderId="3" xfId="1" applyNumberFormat="1" applyFont="1" applyFill="1" applyBorder="1" applyAlignment="1">
      <alignment horizontal="center" vertical="center" wrapText="1"/>
    </xf>
    <xf numFmtId="175" fontId="15" fillId="0" borderId="3" xfId="1" applyNumberFormat="1" applyFont="1" applyFill="1" applyBorder="1" applyAlignment="1">
      <alignment horizontal="center" vertical="center" wrapText="1"/>
    </xf>
    <xf numFmtId="43" fontId="15" fillId="0" borderId="3" xfId="1" applyNumberFormat="1" applyFont="1" applyFill="1" applyBorder="1" applyAlignment="1">
      <alignment horizontal="center" vertical="center"/>
    </xf>
    <xf numFmtId="0" fontId="22" fillId="0" borderId="0" xfId="0" applyFont="1"/>
    <xf numFmtId="175" fontId="17" fillId="0" borderId="3" xfId="6" applyNumberFormat="1" applyFont="1" applyBorder="1" applyAlignment="1">
      <alignment horizontal="center" vertical="center" wrapText="1"/>
    </xf>
    <xf numFmtId="175" fontId="17" fillId="0" borderId="3" xfId="6" applyNumberFormat="1" applyFont="1" applyBorder="1" applyAlignment="1">
      <alignment vertical="center" wrapText="1"/>
    </xf>
    <xf numFmtId="175" fontId="16" fillId="0" borderId="3" xfId="6" applyNumberFormat="1" applyFont="1" applyBorder="1" applyAlignment="1">
      <alignment horizontal="center" vertical="center" wrapText="1"/>
    </xf>
    <xf numFmtId="0" fontId="0" fillId="12" borderId="3" xfId="0" applyFill="1" applyBorder="1" applyAlignment="1">
      <alignment horizontal="center"/>
    </xf>
    <xf numFmtId="0" fontId="0" fillId="0" borderId="8" xfId="0" applyBorder="1"/>
    <xf numFmtId="0" fontId="0" fillId="12" borderId="8" xfId="0" applyFill="1" applyBorder="1" applyAlignment="1">
      <alignment horizontal="center"/>
    </xf>
    <xf numFmtId="0" fontId="21" fillId="9" borderId="3" xfId="0" applyFont="1" applyFill="1" applyBorder="1" applyAlignment="1">
      <alignment horizontal="left" vertical="center"/>
    </xf>
    <xf numFmtId="175" fontId="21" fillId="9" borderId="3" xfId="1" applyNumberFormat="1" applyFont="1" applyFill="1" applyBorder="1" applyAlignment="1">
      <alignment horizontal="left" vertical="center"/>
    </xf>
    <xf numFmtId="164" fontId="21" fillId="9" borderId="3" xfId="1" applyFont="1" applyFill="1" applyBorder="1" applyAlignment="1">
      <alignment horizontal="left" vertical="center"/>
    </xf>
    <xf numFmtId="180" fontId="21" fillId="9" borderId="3" xfId="1" applyNumberFormat="1" applyFont="1" applyFill="1" applyBorder="1" applyAlignment="1">
      <alignment horizontal="left" vertical="center"/>
    </xf>
    <xf numFmtId="178" fontId="21" fillId="9" borderId="3" xfId="1" applyNumberFormat="1" applyFont="1" applyFill="1" applyBorder="1" applyAlignment="1">
      <alignment horizontal="left" vertical="center"/>
    </xf>
    <xf numFmtId="175" fontId="15" fillId="9" borderId="3" xfId="1" applyNumberFormat="1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left" vertical="center"/>
    </xf>
    <xf numFmtId="164" fontId="15" fillId="9" borderId="3" xfId="1" applyFont="1" applyFill="1" applyBorder="1" applyAlignment="1">
      <alignment horizontal="left" vertical="center"/>
    </xf>
    <xf numFmtId="178" fontId="15" fillId="9" borderId="3" xfId="1" applyNumberFormat="1" applyFont="1" applyFill="1" applyBorder="1" applyAlignment="1">
      <alignment horizontal="left" vertical="center"/>
    </xf>
    <xf numFmtId="164" fontId="23" fillId="9" borderId="3" xfId="1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" fontId="4" fillId="13" borderId="3" xfId="0" applyNumberFormat="1" applyFont="1" applyFill="1" applyBorder="1" applyAlignment="1">
      <alignment horizontal="center"/>
    </xf>
    <xf numFmtId="181" fontId="0" fillId="0" borderId="3" xfId="0" applyNumberFormat="1" applyBorder="1" applyAlignment="1">
      <alignment horizontal="center"/>
    </xf>
    <xf numFmtId="0" fontId="4" fillId="12" borderId="8" xfId="0" applyFont="1" applyFill="1" applyBorder="1" applyAlignment="1">
      <alignment horizontal="center" vertical="center"/>
    </xf>
    <xf numFmtId="175" fontId="21" fillId="0" borderId="3" xfId="1" applyNumberFormat="1" applyFont="1" applyFill="1" applyBorder="1" applyAlignment="1">
      <alignment vertical="center"/>
    </xf>
    <xf numFmtId="175" fontId="21" fillId="9" borderId="3" xfId="1" applyNumberFormat="1" applyFont="1" applyFill="1" applyBorder="1" applyAlignment="1">
      <alignment vertical="center"/>
    </xf>
    <xf numFmtId="0" fontId="15" fillId="9" borderId="3" xfId="0" applyFont="1" applyFill="1" applyBorder="1" applyAlignment="1">
      <alignment vertical="center"/>
    </xf>
    <xf numFmtId="175" fontId="21" fillId="0" borderId="3" xfId="6" applyNumberFormat="1" applyFont="1" applyFill="1" applyBorder="1" applyAlignment="1">
      <alignment vertical="center"/>
    </xf>
    <xf numFmtId="0" fontId="18" fillId="14" borderId="3" xfId="0" applyFont="1" applyFill="1" applyBorder="1" applyAlignment="1">
      <alignment wrapText="1"/>
    </xf>
    <xf numFmtId="181" fontId="18" fillId="14" borderId="3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left" vertical="center"/>
    </xf>
    <xf numFmtId="175" fontId="21" fillId="9" borderId="3" xfId="1" applyNumberFormat="1" applyFont="1" applyFill="1" applyBorder="1" applyAlignment="1">
      <alignment horizontal="left" vertical="center" wrapText="1"/>
    </xf>
    <xf numFmtId="175" fontId="21" fillId="9" borderId="0" xfId="1" applyNumberFormat="1" applyFont="1" applyFill="1" applyBorder="1" applyAlignment="1">
      <alignment horizontal="left" vertical="center" wrapText="1"/>
    </xf>
    <xf numFmtId="175" fontId="21" fillId="9" borderId="0" xfId="1" applyNumberFormat="1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0" fontId="11" fillId="9" borderId="0" xfId="0" applyFont="1" applyFill="1" applyAlignment="1">
      <alignment vertical="center"/>
    </xf>
    <xf numFmtId="0" fontId="0" fillId="9" borderId="3" xfId="0" applyFill="1" applyBorder="1" applyAlignment="1">
      <alignment horizontal="left"/>
    </xf>
    <xf numFmtId="0" fontId="0" fillId="9" borderId="3" xfId="0" applyFill="1" applyBorder="1" applyAlignment="1">
      <alignment horizontal="left" vertical="center"/>
    </xf>
    <xf numFmtId="175" fontId="15" fillId="9" borderId="3" xfId="1" applyNumberFormat="1" applyFont="1" applyFill="1" applyBorder="1" applyAlignment="1">
      <alignment horizontal="left" vertical="center" wrapText="1"/>
    </xf>
    <xf numFmtId="175" fontId="15" fillId="9" borderId="3" xfId="1" applyNumberFormat="1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/>
    </xf>
    <xf numFmtId="0" fontId="15" fillId="8" borderId="3" xfId="0" applyFont="1" applyFill="1" applyBorder="1" applyAlignment="1">
      <alignment horizontal="left" vertical="center"/>
    </xf>
    <xf numFmtId="175" fontId="21" fillId="8" borderId="3" xfId="1" applyNumberFormat="1" applyFont="1" applyFill="1" applyBorder="1" applyAlignment="1">
      <alignment vertical="center"/>
    </xf>
    <xf numFmtId="164" fontId="21" fillId="8" borderId="3" xfId="1" applyFont="1" applyFill="1" applyBorder="1" applyAlignment="1">
      <alignment horizontal="left" vertical="center"/>
    </xf>
    <xf numFmtId="178" fontId="15" fillId="8" borderId="3" xfId="1" applyNumberFormat="1" applyFont="1" applyFill="1" applyBorder="1" applyAlignment="1">
      <alignment horizontal="left" vertical="center"/>
    </xf>
    <xf numFmtId="175" fontId="15" fillId="8" borderId="3" xfId="1" applyNumberFormat="1" applyFont="1" applyFill="1" applyBorder="1" applyAlignment="1">
      <alignment horizontal="left" vertical="center"/>
    </xf>
    <xf numFmtId="43" fontId="12" fillId="0" borderId="3" xfId="1" applyNumberFormat="1" applyFont="1" applyFill="1" applyBorder="1" applyAlignment="1">
      <alignment vertical="center"/>
    </xf>
    <xf numFmtId="175" fontId="12" fillId="0" borderId="3" xfId="1" applyNumberFormat="1" applyFont="1" applyFill="1" applyBorder="1" applyAlignment="1">
      <alignment vertical="center"/>
    </xf>
    <xf numFmtId="175" fontId="12" fillId="0" borderId="3" xfId="1" applyNumberFormat="1" applyFont="1" applyFill="1" applyBorder="1" applyAlignment="1">
      <alignment horizontal="center" vertical="center"/>
    </xf>
    <xf numFmtId="164" fontId="15" fillId="8" borderId="3" xfId="1" applyFont="1" applyFill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4" fillId="22" borderId="3" xfId="0" applyFont="1" applyFill="1" applyBorder="1" applyAlignment="1">
      <alignment horizontal="center" vertical="center" wrapText="1"/>
    </xf>
    <xf numFmtId="182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6" fillId="24" borderId="3" xfId="0" applyFont="1" applyFill="1" applyBorder="1" applyAlignment="1">
      <alignment wrapText="1"/>
    </xf>
    <xf numFmtId="1" fontId="16" fillId="24" borderId="3" xfId="0" applyNumberFormat="1" applyFont="1" applyFill="1" applyBorder="1" applyAlignment="1">
      <alignment horizontal="center" vertical="center" wrapText="1"/>
    </xf>
    <xf numFmtId="177" fontId="12" fillId="0" borderId="3" xfId="1" applyNumberFormat="1" applyFont="1" applyFill="1" applyBorder="1" applyAlignment="1">
      <alignment horizontal="center" vertical="center"/>
    </xf>
    <xf numFmtId="0" fontId="0" fillId="12" borderId="3" xfId="0" applyFill="1" applyBorder="1"/>
    <xf numFmtId="0" fontId="4" fillId="24" borderId="3" xfId="0" applyFont="1" applyFill="1" applyBorder="1"/>
    <xf numFmtId="0" fontId="4" fillId="12" borderId="0" xfId="0" applyFont="1" applyFill="1"/>
    <xf numFmtId="175" fontId="17" fillId="0" borderId="3" xfId="0" applyNumberFormat="1" applyFont="1" applyBorder="1" applyAlignment="1">
      <alignment horizontal="center" vertical="center" wrapText="1"/>
    </xf>
    <xf numFmtId="1" fontId="0" fillId="0" borderId="3" xfId="0" applyNumberFormat="1" applyBorder="1"/>
    <xf numFmtId="1" fontId="0" fillId="12" borderId="3" xfId="0" applyNumberFormat="1" applyFill="1" applyBorder="1"/>
    <xf numFmtId="0" fontId="0" fillId="0" borderId="9" xfId="0" applyBorder="1"/>
    <xf numFmtId="9" fontId="0" fillId="12" borderId="3" xfId="2" applyFont="1" applyFill="1" applyBorder="1"/>
    <xf numFmtId="0" fontId="0" fillId="25" borderId="3" xfId="0" applyFill="1" applyBorder="1"/>
    <xf numFmtId="1" fontId="0" fillId="25" borderId="3" xfId="0" applyNumberFormat="1" applyFill="1" applyBorder="1"/>
    <xf numFmtId="9" fontId="0" fillId="25" borderId="3" xfId="2" applyFont="1" applyFill="1" applyBorder="1"/>
    <xf numFmtId="0" fontId="0" fillId="4" borderId="3" xfId="0" applyFill="1" applyBorder="1"/>
    <xf numFmtId="9" fontId="0" fillId="4" borderId="3" xfId="2" applyFont="1" applyFill="1" applyBorder="1"/>
    <xf numFmtId="0" fontId="12" fillId="0" borderId="3" xfId="0" applyFont="1" applyBorder="1" applyAlignment="1">
      <alignment vertical="center"/>
    </xf>
    <xf numFmtId="175" fontId="21" fillId="0" borderId="3" xfId="1" applyNumberFormat="1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left" vertical="center"/>
    </xf>
    <xf numFmtId="0" fontId="24" fillId="9" borderId="3" xfId="0" applyFont="1" applyFill="1" applyBorder="1" applyAlignment="1">
      <alignment horizontal="left"/>
    </xf>
    <xf numFmtId="175" fontId="17" fillId="26" borderId="3" xfId="6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175" fontId="14" fillId="12" borderId="3" xfId="1" applyNumberFormat="1" applyFont="1" applyFill="1" applyBorder="1" applyAlignment="1">
      <alignment horizontal="left" vertical="center"/>
    </xf>
    <xf numFmtId="175" fontId="19" fillId="12" borderId="3" xfId="1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26" fillId="10" borderId="3" xfId="7" applyFont="1" applyFill="1" applyBorder="1" applyAlignment="1">
      <alignment horizontal="center" vertical="center" wrapText="1"/>
    </xf>
    <xf numFmtId="175" fontId="21" fillId="12" borderId="3" xfId="1" applyNumberFormat="1" applyFont="1" applyFill="1" applyBorder="1" applyAlignment="1">
      <alignment vertical="center"/>
    </xf>
    <xf numFmtId="0" fontId="27" fillId="0" borderId="3" xfId="0" applyFont="1" applyBorder="1"/>
    <xf numFmtId="0" fontId="17" fillId="0" borderId="3" xfId="0" applyFont="1" applyBorder="1" applyAlignment="1">
      <alignment horizontal="left" vertical="center" wrapText="1"/>
    </xf>
    <xf numFmtId="1" fontId="17" fillId="0" borderId="3" xfId="0" applyNumberFormat="1" applyFont="1" applyBorder="1" applyAlignment="1">
      <alignment vertical="center" wrapText="1"/>
    </xf>
    <xf numFmtId="1" fontId="16" fillId="0" borderId="3" xfId="0" applyNumberFormat="1" applyFont="1" applyBorder="1" applyAlignment="1">
      <alignment vertical="center" wrapText="1"/>
    </xf>
    <xf numFmtId="1" fontId="0" fillId="12" borderId="3" xfId="0" applyNumberForma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17" fillId="0" borderId="4" xfId="2" applyFont="1" applyBorder="1" applyAlignment="1">
      <alignment horizontal="center" vertical="center" wrapText="1"/>
    </xf>
    <xf numFmtId="17" fontId="16" fillId="0" borderId="3" xfId="0" applyNumberFormat="1" applyFont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175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vertical="top" wrapText="1"/>
    </xf>
    <xf numFmtId="0" fontId="16" fillId="0" borderId="3" xfId="0" applyFont="1" applyBorder="1" applyAlignment="1">
      <alignment horizontal="center" vertical="center" textRotation="90" wrapText="1"/>
    </xf>
    <xf numFmtId="1" fontId="17" fillId="13" borderId="3" xfId="0" applyNumberFormat="1" applyFont="1" applyFill="1" applyBorder="1" applyAlignment="1">
      <alignment horizontal="center" vertical="center" wrapText="1"/>
    </xf>
    <xf numFmtId="1" fontId="16" fillId="12" borderId="3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textRotation="90" wrapText="1"/>
    </xf>
    <xf numFmtId="1" fontId="17" fillId="0" borderId="9" xfId="0" applyNumberFormat="1" applyFont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2" fontId="15" fillId="0" borderId="0" xfId="1" applyNumberFormat="1" applyFont="1" applyFill="1" applyBorder="1" applyAlignment="1">
      <alignment horizontal="center" vertical="center" wrapText="1"/>
    </xf>
    <xf numFmtId="175" fontId="15" fillId="0" borderId="7" xfId="1" applyNumberFormat="1" applyFont="1" applyFill="1" applyBorder="1" applyAlignment="1">
      <alignment horizontal="left" vertical="center" wrapText="1"/>
    </xf>
    <xf numFmtId="175" fontId="15" fillId="0" borderId="7" xfId="1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75" fontId="19" fillId="0" borderId="0" xfId="1" applyNumberFormat="1" applyFont="1" applyFill="1" applyBorder="1" applyAlignment="1">
      <alignment horizontal="left" vertical="center"/>
    </xf>
    <xf numFmtId="175" fontId="14" fillId="0" borderId="0" xfId="1" applyNumberFormat="1" applyFont="1" applyFill="1" applyBorder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177" fontId="14" fillId="0" borderId="0" xfId="1" applyNumberFormat="1" applyFont="1" applyFill="1" applyBorder="1" applyAlignment="1">
      <alignment horizontal="left" vertical="center"/>
    </xf>
    <xf numFmtId="175" fontId="14" fillId="0" borderId="0" xfId="1" applyNumberFormat="1" applyFont="1" applyFill="1" applyBorder="1" applyAlignment="1">
      <alignment horizontal="center" vertical="center"/>
    </xf>
    <xf numFmtId="175" fontId="14" fillId="12" borderId="0" xfId="1" applyNumberFormat="1" applyFont="1" applyFill="1" applyBorder="1" applyAlignment="1">
      <alignment horizontal="left" vertical="center"/>
    </xf>
    <xf numFmtId="164" fontId="14" fillId="0" borderId="0" xfId="1" applyFont="1" applyFill="1" applyBorder="1" applyAlignment="1">
      <alignment horizontal="left" vertical="center"/>
    </xf>
    <xf numFmtId="1" fontId="9" fillId="0" borderId="3" xfId="0" applyNumberFormat="1" applyFont="1" applyBorder="1" applyAlignment="1">
      <alignment vertical="center" wrapText="1"/>
    </xf>
    <xf numFmtId="164" fontId="12" fillId="0" borderId="0" xfId="0" applyNumberFormat="1" applyFont="1" applyAlignment="1">
      <alignment vertical="center"/>
    </xf>
    <xf numFmtId="183" fontId="12" fillId="0" borderId="0" xfId="0" applyNumberFormat="1" applyFont="1" applyAlignment="1">
      <alignment vertical="center"/>
    </xf>
    <xf numFmtId="180" fontId="11" fillId="0" borderId="0" xfId="1" applyNumberFormat="1" applyFont="1" applyFill="1" applyAlignment="1">
      <alignment vertical="center"/>
    </xf>
    <xf numFmtId="9" fontId="11" fillId="0" borderId="0" xfId="2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0" fontId="17" fillId="10" borderId="3" xfId="0" applyFont="1" applyFill="1" applyBorder="1" applyAlignment="1">
      <alignment horizontal="left" vertical="center" wrapText="1"/>
    </xf>
    <xf numFmtId="2" fontId="17" fillId="0" borderId="0" xfId="0" applyNumberFormat="1" applyFont="1" applyAlignment="1">
      <alignment horizontal="center" vertical="center" wrapText="1"/>
    </xf>
    <xf numFmtId="0" fontId="24" fillId="0" borderId="3" xfId="0" applyFont="1" applyBorder="1"/>
    <xf numFmtId="177" fontId="15" fillId="0" borderId="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175" fontId="15" fillId="9" borderId="0" xfId="1" applyNumberFormat="1" applyFont="1" applyFill="1" applyBorder="1" applyAlignment="1">
      <alignment horizontal="center" vertical="center" wrapText="1"/>
    </xf>
    <xf numFmtId="180" fontId="14" fillId="0" borderId="3" xfId="1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center"/>
    </xf>
    <xf numFmtId="0" fontId="4" fillId="12" borderId="3" xfId="0" applyFont="1" applyFill="1" applyBorder="1"/>
    <xf numFmtId="175" fontId="32" fillId="20" borderId="3" xfId="1" applyNumberFormat="1" applyFont="1" applyFill="1" applyBorder="1" applyAlignment="1">
      <alignment horizontal="center" vertical="center"/>
    </xf>
    <xf numFmtId="175" fontId="31" fillId="20" borderId="3" xfId="1" applyNumberFormat="1" applyFont="1" applyFill="1" applyBorder="1" applyAlignment="1">
      <alignment horizontal="center" vertical="center"/>
    </xf>
    <xf numFmtId="175" fontId="32" fillId="12" borderId="3" xfId="1" applyNumberFormat="1" applyFont="1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175" fontId="28" fillId="0" borderId="3" xfId="1" applyNumberFormat="1" applyFont="1" applyFill="1" applyBorder="1" applyAlignment="1">
      <alignment vertical="center"/>
    </xf>
    <xf numFmtId="164" fontId="28" fillId="0" borderId="3" xfId="1" applyFont="1" applyFill="1" applyBorder="1" applyAlignment="1">
      <alignment horizontal="left" vertical="center"/>
    </xf>
    <xf numFmtId="164" fontId="22" fillId="0" borderId="3" xfId="1" applyFont="1" applyFill="1" applyBorder="1" applyAlignment="1">
      <alignment horizontal="left" vertical="center"/>
    </xf>
    <xf numFmtId="178" fontId="22" fillId="0" borderId="3" xfId="1" applyNumberFormat="1" applyFont="1" applyFill="1" applyBorder="1" applyAlignment="1">
      <alignment horizontal="left" vertical="center"/>
    </xf>
    <xf numFmtId="175" fontId="22" fillId="0" borderId="3" xfId="1" applyNumberFormat="1" applyFont="1" applyFill="1" applyBorder="1" applyAlignment="1">
      <alignment horizontal="left" vertical="center"/>
    </xf>
    <xf numFmtId="0" fontId="22" fillId="13" borderId="3" xfId="0" applyFont="1" applyFill="1" applyBorder="1"/>
    <xf numFmtId="180" fontId="28" fillId="0" borderId="3" xfId="1" applyNumberFormat="1" applyFont="1" applyFill="1" applyBorder="1" applyAlignment="1">
      <alignment horizontal="left" vertical="center"/>
    </xf>
    <xf numFmtId="0" fontId="22" fillId="0" borderId="3" xfId="0" applyFont="1" applyBorder="1"/>
    <xf numFmtId="0" fontId="22" fillId="0" borderId="3" xfId="0" applyFont="1" applyBorder="1" applyAlignment="1">
      <alignment horizontal="left" vertical="center"/>
    </xf>
    <xf numFmtId="178" fontId="28" fillId="0" borderId="3" xfId="1" applyNumberFormat="1" applyFont="1" applyFill="1" applyBorder="1" applyAlignment="1">
      <alignment horizontal="left" vertical="center"/>
    </xf>
    <xf numFmtId="175" fontId="28" fillId="0" borderId="3" xfId="1" applyNumberFormat="1" applyFont="1" applyFill="1" applyBorder="1" applyAlignment="1">
      <alignment horizontal="left" vertical="center"/>
    </xf>
    <xf numFmtId="175" fontId="28" fillId="0" borderId="3" xfId="6" applyNumberFormat="1" applyFont="1" applyFill="1" applyBorder="1" applyAlignment="1">
      <alignment vertical="center"/>
    </xf>
    <xf numFmtId="164" fontId="34" fillId="0" borderId="3" xfId="1" applyFont="1" applyFill="1" applyBorder="1" applyAlignment="1">
      <alignment horizontal="left" vertical="center"/>
    </xf>
    <xf numFmtId="0" fontId="28" fillId="0" borderId="3" xfId="0" applyFont="1" applyBorder="1" applyAlignment="1">
      <alignment horizontal="left"/>
    </xf>
    <xf numFmtId="3" fontId="28" fillId="0" borderId="3" xfId="0" applyNumberFormat="1" applyFont="1" applyBorder="1" applyAlignment="1">
      <alignment vertical="center"/>
    </xf>
    <xf numFmtId="175" fontId="28" fillId="13" borderId="3" xfId="3" applyNumberFormat="1" applyFont="1" applyFill="1" applyBorder="1"/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horizontal="left"/>
    </xf>
    <xf numFmtId="0" fontId="22" fillId="0" borderId="3" xfId="0" applyFont="1" applyBorder="1" applyAlignment="1">
      <alignment horizontal="center" vertical="center"/>
    </xf>
    <xf numFmtId="175" fontId="28" fillId="12" borderId="3" xfId="1" applyNumberFormat="1" applyFont="1" applyFill="1" applyBorder="1" applyAlignment="1">
      <alignment horizontal="left" vertical="center"/>
    </xf>
    <xf numFmtId="0" fontId="28" fillId="0" borderId="3" xfId="0" applyFont="1" applyBorder="1" applyAlignment="1">
      <alignment vertical="center"/>
    </xf>
    <xf numFmtId="2" fontId="17" fillId="0" borderId="3" xfId="0" applyNumberFormat="1" applyFont="1" applyBorder="1" applyAlignment="1">
      <alignment horizontal="center" vertical="center" wrapText="1"/>
    </xf>
    <xf numFmtId="180" fontId="34" fillId="0" borderId="3" xfId="1" applyNumberFormat="1" applyFont="1" applyFill="1" applyBorder="1" applyAlignment="1">
      <alignment horizontal="left" vertical="center"/>
    </xf>
    <xf numFmtId="175" fontId="28" fillId="3" borderId="3" xfId="1" applyNumberFormat="1" applyFont="1" applyFill="1" applyBorder="1" applyAlignment="1">
      <alignment horizontal="left" vertical="center"/>
    </xf>
    <xf numFmtId="177" fontId="0" fillId="13" borderId="3" xfId="3" applyNumberFormat="1" applyFont="1" applyFill="1" applyBorder="1"/>
    <xf numFmtId="177" fontId="27" fillId="13" borderId="3" xfId="3" applyNumberFormat="1" applyFont="1" applyFill="1" applyBorder="1"/>
    <xf numFmtId="0" fontId="16" fillId="4" borderId="3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textRotation="90" wrapText="1"/>
    </xf>
    <xf numFmtId="1" fontId="16" fillId="27" borderId="4" xfId="6" applyNumberFormat="1" applyFont="1" applyFill="1" applyBorder="1" applyAlignment="1">
      <alignment horizontal="center" vertical="center" wrapText="1"/>
    </xf>
    <xf numFmtId="1" fontId="16" fillId="27" borderId="5" xfId="6" applyNumberFormat="1" applyFont="1" applyFill="1" applyBorder="1" applyAlignment="1">
      <alignment horizontal="center" vertical="center" wrapText="1"/>
    </xf>
    <xf numFmtId="1" fontId="16" fillId="27" borderId="6" xfId="6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8" fillId="9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31" fillId="20" borderId="4" xfId="0" applyFont="1" applyFill="1" applyBorder="1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175" fontId="14" fillId="20" borderId="3" xfId="1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75" fontId="14" fillId="20" borderId="3" xfId="1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175" fontId="22" fillId="0" borderId="3" xfId="0" applyNumberFormat="1" applyFont="1" applyBorder="1" applyAlignment="1">
      <alignment horizontal="left" vertical="center"/>
    </xf>
    <xf numFmtId="175" fontId="15" fillId="0" borderId="3" xfId="1" applyNumberFormat="1" applyFont="1" applyFill="1" applyBorder="1" applyAlignment="1">
      <alignment vertical="center"/>
    </xf>
    <xf numFmtId="0" fontId="31" fillId="20" borderId="3" xfId="0" applyFont="1" applyFill="1" applyBorder="1" applyAlignment="1">
      <alignment horizontal="center" vertical="center"/>
    </xf>
    <xf numFmtId="175" fontId="32" fillId="20" borderId="3" xfId="1" applyNumberFormat="1" applyFont="1" applyFill="1" applyBorder="1" applyAlignment="1">
      <alignment horizontal="center" vertical="center"/>
    </xf>
    <xf numFmtId="175" fontId="31" fillId="20" borderId="3" xfId="1" applyNumberFormat="1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/>
    </xf>
    <xf numFmtId="0" fontId="4" fillId="24" borderId="5" xfId="0" applyFont="1" applyFill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" fontId="4" fillId="18" borderId="3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1" fontId="4" fillId="16" borderId="3" xfId="0" applyNumberFormat="1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1" fontId="4" fillId="19" borderId="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1" fontId="14" fillId="18" borderId="3" xfId="0" applyNumberFormat="1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/>
    </xf>
    <xf numFmtId="1" fontId="14" fillId="16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wrapText="1"/>
    </xf>
    <xf numFmtId="0" fontId="14" fillId="12" borderId="3" xfId="0" applyFont="1" applyFill="1" applyBorder="1" applyAlignment="1">
      <alignment horizontal="left" vertical="center"/>
    </xf>
    <xf numFmtId="1" fontId="14" fillId="12" borderId="3" xfId="0" applyNumberFormat="1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left" vertical="center"/>
    </xf>
    <xf numFmtId="1" fontId="14" fillId="19" borderId="3" xfId="0" applyNumberFormat="1" applyFont="1" applyFill="1" applyBorder="1" applyAlignment="1">
      <alignment horizontal="center" vertical="center"/>
    </xf>
    <xf numFmtId="1" fontId="4" fillId="18" borderId="7" xfId="0" applyNumberFormat="1" applyFont="1" applyFill="1" applyBorder="1" applyAlignment="1">
      <alignment horizontal="center" vertical="center"/>
    </xf>
    <xf numFmtId="1" fontId="4" fillId="18" borderId="9" xfId="0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0" fontId="4" fillId="18" borderId="9" xfId="0" applyFon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/>
    </xf>
    <xf numFmtId="175" fontId="15" fillId="0" borderId="3" xfId="0" applyNumberFormat="1" applyFont="1" applyBorder="1" applyAlignment="1">
      <alignment horizontal="left" vertical="center"/>
    </xf>
    <xf numFmtId="0" fontId="14" fillId="20" borderId="3" xfId="0" applyFont="1" applyFill="1" applyBorder="1" applyAlignment="1">
      <alignment horizontal="center" vertical="center"/>
    </xf>
    <xf numFmtId="175" fontId="19" fillId="20" borderId="3" xfId="1" applyNumberFormat="1" applyFont="1" applyFill="1" applyBorder="1" applyAlignment="1">
      <alignment horizontal="center" vertical="center"/>
    </xf>
    <xf numFmtId="1" fontId="0" fillId="0" borderId="2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8">
    <cellStyle name="Comma" xfId="6" builtinId="3"/>
    <cellStyle name="Comma 2" xfId="1" xr:uid="{00000000-0005-0000-0000-000001000000}"/>
    <cellStyle name="Comma 3" xfId="3" xr:uid="{00000000-0005-0000-0000-000002000000}"/>
    <cellStyle name="Hyperlink" xfId="7" builtinId="8"/>
    <cellStyle name="Normal" xfId="0" builtinId="0"/>
    <cellStyle name="Normal 2 4 2" xfId="5" xr:uid="{00000000-0005-0000-0000-000004000000}"/>
    <cellStyle name="Normal 4 3" xfId="4" xr:uid="{00000000-0005-0000-0000-000005000000}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x21\2004%20JUNESOP\DOCUME~1\ShajuAK\LOCALS~1\Temp\MRPII%20Class%20A%20KPI%20May-04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x21\2004%20JUNESOP\ATemp\DO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_Products\Millipacs\NEW%20PROJECTS\Live\Millipacs%20Projects\OE10378%20-%20Securemeter%20Gas%20Metering%20CNR\Costing\AR_OE10378%20-%20Lighting%20Connectors%202P_20141008_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KG\HC\Dec%2025.xlsx" TargetMode="External"/><Relationship Id="rId1" Type="http://schemas.openxmlformats.org/officeDocument/2006/relationships/externalLinkPath" Target="file:///D:\SKG\HC\Dec%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OWER%20BU\Arun\Earned%20hours\Copy%20of%20Weekly%20Hours%20Calculator.xlsx" TargetMode="External"/><Relationship Id="rId1" Type="http://schemas.openxmlformats.org/officeDocument/2006/relationships/externalLinkPath" Target="file:///K:\POWER%20BU\Arun\Earned%20hours\Copy%20of%20Weekly%20Hours%20Calculat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ek%20N%20Unni\01%20Cycle%20Time\Power%20Blade\Pwrblade%20cycle%20time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WO Perf1"/>
      <sheetName val="WO Per2"/>
      <sheetName val="Data"/>
      <sheetName val="Item Master accuracy"/>
      <sheetName val="BOM"/>
      <sheetName val="Routing"/>
      <sheetName val="Work Location Accuracy"/>
      <sheetName val="Production Plan Performance"/>
      <sheetName val="Man Schedule performance"/>
      <sheetName val="Master Schedule Perfprmance"/>
      <sheetName val="Supplier Schedule Perfprmance"/>
      <sheetName val="Inventory Record Accuracy"/>
      <sheetName val="DIOH"/>
      <sheetName val="OTDP "/>
      <sheetName val="OTDP1"/>
      <sheetName val="Data 2"/>
      <sheetName val="Corporate KPIs"/>
      <sheetName val="OTDP2"/>
      <sheetName val="Sales Plan Performance"/>
      <sheetName val="Business Plan , Fcst Vs Billing"/>
      <sheetName val="Business Plan Performance"/>
      <sheetName val="Delay Lines"/>
      <sheetName val="OTDP VAB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WO Perf1"/>
      <sheetName val="WO Per2"/>
      <sheetName val="Data"/>
      <sheetName val="Item Master accuracy"/>
      <sheetName val="BOM"/>
      <sheetName val="Routing"/>
      <sheetName val="Work Location Accuracy"/>
      <sheetName val="Production Plan Performance"/>
      <sheetName val="Man Schedule performance"/>
      <sheetName val="Master Schedule Perfprmance"/>
      <sheetName val="Supplier Schedule Perfprmance"/>
      <sheetName val="DOH"/>
      <sheetName val="DIOH"/>
      <sheetName val="OTDP1"/>
      <sheetName val="OTDP2"/>
      <sheetName val="Sales Plan Performance "/>
      <sheetName val="Business Plan , Fcst Vs Billing"/>
      <sheetName val="Delay Lines"/>
      <sheetName val="OTDP VAB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R Summary Form"/>
      <sheetName val="Memorandum of Justification"/>
      <sheetName val="Product Sales &amp; Market Share"/>
      <sheetName val="Base Case Financial Summary"/>
      <sheetName val="Scenarios"/>
      <sheetName val="StdInput"/>
      <sheetName val="Changelog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>
        <row r="5">
          <cell r="A5" t="str">
            <v>EUR</v>
          </cell>
        </row>
        <row r="6">
          <cell r="A6" t="str">
            <v>USD</v>
          </cell>
        </row>
        <row r="7">
          <cell r="A7" t="str">
            <v>CAD</v>
          </cell>
        </row>
        <row r="8">
          <cell r="A8" t="str">
            <v>AUD</v>
          </cell>
        </row>
        <row r="9">
          <cell r="A9" t="str">
            <v>BRL</v>
          </cell>
        </row>
        <row r="10">
          <cell r="A10" t="str">
            <v>HNL</v>
          </cell>
        </row>
        <row r="11">
          <cell r="A11" t="str">
            <v>MXN</v>
          </cell>
        </row>
        <row r="12">
          <cell r="A12" t="str">
            <v>CNY</v>
          </cell>
        </row>
        <row r="13">
          <cell r="A13" t="str">
            <v>HKD</v>
          </cell>
        </row>
        <row r="14">
          <cell r="A14" t="str">
            <v>INR</v>
          </cell>
        </row>
        <row r="15">
          <cell r="A15" t="str">
            <v>JPY</v>
          </cell>
        </row>
        <row r="16">
          <cell r="A16" t="str">
            <v>KRW</v>
          </cell>
        </row>
        <row r="17">
          <cell r="A17" t="str">
            <v>MYR</v>
          </cell>
        </row>
        <row r="18">
          <cell r="A18" t="str">
            <v>SGD</v>
          </cell>
        </row>
        <row r="19">
          <cell r="A19" t="str">
            <v>TWD</v>
          </cell>
        </row>
        <row r="20">
          <cell r="A20" t="str">
            <v>CHF</v>
          </cell>
        </row>
        <row r="21">
          <cell r="A21" t="str">
            <v>GBP</v>
          </cell>
          <cell r="E21" t="str">
            <v>ELX</v>
          </cell>
          <cell r="F21" t="str">
            <v>HQR</v>
          </cell>
        </row>
        <row r="22">
          <cell r="A22" t="str">
            <v>HUF</v>
          </cell>
          <cell r="D22" t="str">
            <v>Prod/Cust/NPD</v>
          </cell>
        </row>
        <row r="23">
          <cell r="A23" t="str">
            <v>SEK</v>
          </cell>
          <cell r="D23" t="str">
            <v>Capacity</v>
          </cell>
        </row>
        <row r="24">
          <cell r="D24" t="str">
            <v>Productivity</v>
          </cell>
        </row>
        <row r="25">
          <cell r="D25" t="str">
            <v>Land &amp; Bldg</v>
          </cell>
        </row>
        <row r="26">
          <cell r="D26" t="str">
            <v>InfoSys (IS)</v>
          </cell>
        </row>
        <row r="27">
          <cell r="D27" t="str">
            <v>Other</v>
          </cell>
        </row>
        <row r="28">
          <cell r="D28" t="str">
            <v>Transfer</v>
          </cell>
        </row>
        <row r="29">
          <cell r="D29" t="str">
            <v>Dispose/Retire</v>
          </cell>
        </row>
        <row r="30">
          <cell r="D30" t="str">
            <v>Leases</v>
          </cell>
        </row>
        <row r="31">
          <cell r="D31" t="str">
            <v>HC Transfer</v>
          </cell>
        </row>
        <row r="32">
          <cell r="D32" t="str">
            <v>Modernisation</v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HC"/>
      <sheetName val="Sheet1"/>
      <sheetName val="Data (2)"/>
      <sheetName val="PN-workout file"/>
      <sheetName val="Capacity"/>
      <sheetName val="Machine crew-Cable"/>
      <sheetName val="Sheet4"/>
      <sheetName val="Sheet2"/>
      <sheetName val="PB"/>
      <sheetName val="PB Order"/>
      <sheetName val="Sheet6"/>
      <sheetName val="Dec plan"/>
      <sheetName val="Sheet7"/>
      <sheetName val="Nov Plan"/>
      <sheetName val="Sheet5"/>
      <sheetName val="Sheet3"/>
      <sheetName val="Line efficiency"/>
      <sheetName val="PB Bil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1">
          <cell r="C11" t="str">
            <v>10106124-8005003LF</v>
          </cell>
          <cell r="D11" t="str">
            <v>PwrBlade+ RAH</v>
          </cell>
          <cell r="E11">
            <v>48000</v>
          </cell>
          <cell r="F11">
            <v>1.3086E-2</v>
          </cell>
          <cell r="G11">
            <v>2.1810000000000002E-3</v>
          </cell>
        </row>
        <row r="12">
          <cell r="C12" t="str">
            <v>PWRMRA025</v>
          </cell>
          <cell r="D12" t="str">
            <v>ET20-RA HDR CNR</v>
          </cell>
          <cell r="E12">
            <v>0</v>
          </cell>
        </row>
        <row r="13">
          <cell r="C13" t="str">
            <v>10106269-2005K02LF</v>
          </cell>
          <cell r="D13" t="str">
            <v>Connector,PB+VR</v>
          </cell>
          <cell r="E13">
            <v>1056</v>
          </cell>
          <cell r="F13">
            <v>2.5000000000000001E-2</v>
          </cell>
          <cell r="G13">
            <v>5.0000000000000001E-3</v>
          </cell>
        </row>
        <row r="14">
          <cell r="C14" t="str">
            <v>10153920-001</v>
          </cell>
          <cell r="D14" t="str">
            <v>ET20 Receptacle assy</v>
          </cell>
          <cell r="E14">
            <v>0</v>
          </cell>
        </row>
        <row r="15">
          <cell r="C15" t="str">
            <v>PWRMRA001</v>
          </cell>
          <cell r="D15" t="str">
            <v>ET20-RA HDR CNR-20A</v>
          </cell>
          <cell r="E15">
            <v>0</v>
          </cell>
        </row>
        <row r="16">
          <cell r="C16" t="str">
            <v>10106116-4000002LF</v>
          </cell>
          <cell r="D16" t="str">
            <v>Connector,PB+RH</v>
          </cell>
          <cell r="E16">
            <v>1650</v>
          </cell>
          <cell r="F16">
            <v>3.0000000000000001E-3</v>
          </cell>
          <cell r="G16">
            <v>1.6999999999999999E-3</v>
          </cell>
        </row>
        <row r="17">
          <cell r="C17" t="str">
            <v>10106116-8000K01LF</v>
          </cell>
          <cell r="D17" t="str">
            <v>PwrBlade+ RAH STB</v>
          </cell>
          <cell r="E17">
            <v>396</v>
          </cell>
          <cell r="F17">
            <v>2.5000000000000001E-2</v>
          </cell>
          <cell r="G17">
            <v>3.0000000000000001E-3</v>
          </cell>
        </row>
        <row r="18">
          <cell r="C18" t="str">
            <v>10106122-5004001LF</v>
          </cell>
          <cell r="D18" t="str">
            <v>PwrBlade+ VTR</v>
          </cell>
          <cell r="E18">
            <v>2592</v>
          </cell>
          <cell r="F18">
            <v>1.9875E-2</v>
          </cell>
          <cell r="G18">
            <v>5.0000000000000001E-3</v>
          </cell>
        </row>
        <row r="19">
          <cell r="C19" t="str">
            <v>10106124-4000001LF</v>
          </cell>
          <cell r="D19" t="str">
            <v>PwrBlade+ RAH STB</v>
          </cell>
          <cell r="E19">
            <v>396</v>
          </cell>
          <cell r="F19">
            <v>3.1E-2</v>
          </cell>
          <cell r="G19">
            <v>6.1000000000000004E-3</v>
          </cell>
        </row>
        <row r="20">
          <cell r="C20" t="str">
            <v>10106124-4006005LF</v>
          </cell>
          <cell r="D20" t="str">
            <v>PB+ RAH STB</v>
          </cell>
          <cell r="E20">
            <v>528</v>
          </cell>
          <cell r="F20">
            <v>2.7E-2</v>
          </cell>
          <cell r="G20">
            <v>3.3E-3</v>
          </cell>
        </row>
        <row r="21">
          <cell r="C21" t="str">
            <v>10106124-7007001LF</v>
          </cell>
          <cell r="D21" t="str">
            <v>PwrBlade+ RAH STB</v>
          </cell>
          <cell r="E21">
            <v>264</v>
          </cell>
          <cell r="F21">
            <v>5.9685000000000002E-2</v>
          </cell>
          <cell r="G21">
            <v>3.3E-3</v>
          </cell>
        </row>
        <row r="22">
          <cell r="C22" t="str">
            <v>10106124-E008001LF</v>
          </cell>
          <cell r="D22" t="str">
            <v>PwrBlade+ RAH</v>
          </cell>
          <cell r="E22">
            <v>20064</v>
          </cell>
          <cell r="F22">
            <v>1.7999999999999999E-2</v>
          </cell>
          <cell r="G22">
            <v>2E-3</v>
          </cell>
        </row>
        <row r="23">
          <cell r="C23" t="str">
            <v>10106124-F005K01LF</v>
          </cell>
          <cell r="D23" t="str">
            <v>PwrBlade+ RAH STB</v>
          </cell>
          <cell r="E23">
            <v>4884</v>
          </cell>
          <cell r="F23">
            <v>3.5000000000000003E-2</v>
          </cell>
          <cell r="G23">
            <v>3.0000000000000001E-3</v>
          </cell>
        </row>
        <row r="24">
          <cell r="C24" t="str">
            <v>10106131-4004001LF</v>
          </cell>
          <cell r="D24" t="str">
            <v>PwrBlade+ VR PF</v>
          </cell>
          <cell r="E24">
            <v>2160</v>
          </cell>
          <cell r="F24">
            <v>1.44175E-2</v>
          </cell>
          <cell r="G24">
            <v>3.3E-3</v>
          </cell>
        </row>
        <row r="25">
          <cell r="C25" t="str">
            <v>10106131-4006005LF</v>
          </cell>
          <cell r="D25" t="str">
            <v>PwrBlade+ VR PF</v>
          </cell>
          <cell r="E25">
            <v>288</v>
          </cell>
          <cell r="F25">
            <v>2.6275799999999998E-2</v>
          </cell>
          <cell r="G25">
            <v>2.1000000000000001E-2</v>
          </cell>
        </row>
        <row r="26">
          <cell r="C26" t="str">
            <v>10106131-9014001LF</v>
          </cell>
          <cell r="D26" t="str">
            <v>PwrBlade+ VR PF</v>
          </cell>
          <cell r="E26">
            <v>2288</v>
          </cell>
          <cell r="F26">
            <v>2.8000000000000001E-2</v>
          </cell>
          <cell r="G26">
            <v>1.2E-2</v>
          </cell>
        </row>
        <row r="27">
          <cell r="C27" t="str">
            <v>10106131-A000001LF</v>
          </cell>
          <cell r="D27" t="str">
            <v>Connector,PB+VR</v>
          </cell>
          <cell r="E27">
            <v>50</v>
          </cell>
          <cell r="F27">
            <v>3.6999999999999998E-2</v>
          </cell>
          <cell r="G27">
            <v>6.1000000000000004E-3</v>
          </cell>
        </row>
        <row r="28">
          <cell r="C28" t="str">
            <v>10106132-4009101LF</v>
          </cell>
          <cell r="D28" t="str">
            <v>PB+ RAH STB</v>
          </cell>
          <cell r="E28">
            <v>7920</v>
          </cell>
          <cell r="F28">
            <v>2.8000000000000001E-2</v>
          </cell>
          <cell r="G28">
            <v>3.3E-3</v>
          </cell>
        </row>
        <row r="29">
          <cell r="C29" t="str">
            <v>10106132-4027101LF</v>
          </cell>
          <cell r="D29" t="str">
            <v>PB+ RAH STB</v>
          </cell>
          <cell r="E29">
            <v>1452</v>
          </cell>
          <cell r="F29">
            <v>5.0999999999999997E-2</v>
          </cell>
          <cell r="G29">
            <v>0.01</v>
          </cell>
        </row>
        <row r="30">
          <cell r="C30" t="str">
            <v>10106132-A005002LF</v>
          </cell>
          <cell r="D30" t="str">
            <v>PwrBlade+ RAH</v>
          </cell>
          <cell r="E30">
            <v>396</v>
          </cell>
          <cell r="F30">
            <v>2.3E-2</v>
          </cell>
          <cell r="G30">
            <v>3.0000000000000001E-3</v>
          </cell>
        </row>
        <row r="31">
          <cell r="C31" t="str">
            <v>10106139-4009101LF</v>
          </cell>
          <cell r="D31" t="str">
            <v>PwrBlade+ VTR</v>
          </cell>
          <cell r="E31">
            <v>4032</v>
          </cell>
          <cell r="F31">
            <v>2.895E-2</v>
          </cell>
          <cell r="G31">
            <v>0.01</v>
          </cell>
        </row>
        <row r="32">
          <cell r="C32" t="str">
            <v>10106139-4027101LF</v>
          </cell>
          <cell r="D32" t="str">
            <v>PwrBlade+ VR PF</v>
          </cell>
          <cell r="E32">
            <v>576</v>
          </cell>
          <cell r="F32">
            <v>2.9000000000000001E-2</v>
          </cell>
          <cell r="G32">
            <v>0.03</v>
          </cell>
        </row>
        <row r="33">
          <cell r="C33" t="str">
            <v>10106262-0009K01LF</v>
          </cell>
          <cell r="D33" t="str">
            <v>PwrBlade+ RAH STB</v>
          </cell>
          <cell r="E33">
            <v>2772</v>
          </cell>
          <cell r="F33">
            <v>2.8000000000000001E-2</v>
          </cell>
          <cell r="G33">
            <v>3.0000000000000001E-3</v>
          </cell>
        </row>
        <row r="34">
          <cell r="C34" t="str">
            <v>10106262-0F08001LF</v>
          </cell>
          <cell r="D34" t="str">
            <v>PwrBlade+ RAH</v>
          </cell>
          <cell r="E34">
            <v>5643</v>
          </cell>
          <cell r="F34">
            <v>1.7000000000000001E-2</v>
          </cell>
          <cell r="G34">
            <v>2.5000000000000001E-3</v>
          </cell>
        </row>
        <row r="35">
          <cell r="C35" t="str">
            <v>10106262-1C03007LF</v>
          </cell>
          <cell r="D35" t="str">
            <v>PwrBlade+ RAH</v>
          </cell>
          <cell r="E35">
            <v>10</v>
          </cell>
          <cell r="F35">
            <v>1.9199999999999998E-2</v>
          </cell>
          <cell r="G35">
            <v>3.0000000000000001E-3</v>
          </cell>
        </row>
        <row r="36">
          <cell r="C36" t="str">
            <v>10106262-1C03012LF</v>
          </cell>
          <cell r="D36" t="str">
            <v>PwrBlade+ RAH</v>
          </cell>
          <cell r="E36">
            <v>24030</v>
          </cell>
          <cell r="F36">
            <v>2.9760000000000002E-2</v>
          </cell>
          <cell r="G36">
            <v>2.7899999999999999E-3</v>
          </cell>
        </row>
        <row r="37">
          <cell r="C37" t="str">
            <v>10106262-2600004LF</v>
          </cell>
          <cell r="D37" t="str">
            <v>PwrBlade+ RAH STB</v>
          </cell>
          <cell r="E37">
            <v>3960</v>
          </cell>
          <cell r="F37">
            <v>1.95E-2</v>
          </cell>
          <cell r="G37">
            <v>8.2000000000000007E-3</v>
          </cell>
        </row>
        <row r="38">
          <cell r="C38" t="str">
            <v>10106262-2G03A01LF</v>
          </cell>
          <cell r="D38" t="str">
            <v>PwrBlade+ RAH STB</v>
          </cell>
          <cell r="E38">
            <v>10</v>
          </cell>
          <cell r="F38">
            <v>3.5000000000000003E-2</v>
          </cell>
          <cell r="G38">
            <v>4.0000000000000001E-3</v>
          </cell>
        </row>
        <row r="39">
          <cell r="C39" t="str">
            <v>10106262-5203K01LF</v>
          </cell>
          <cell r="D39" t="str">
            <v>Connector,PB+RH</v>
          </cell>
          <cell r="E39">
            <v>1188</v>
          </cell>
          <cell r="F39">
            <v>3.2000000000000001E-2</v>
          </cell>
          <cell r="G39">
            <v>3.3E-3</v>
          </cell>
        </row>
        <row r="40">
          <cell r="C40" t="str">
            <v>10106262-F000003LF</v>
          </cell>
          <cell r="D40" t="str">
            <v>PwrBlade+ RAH STB</v>
          </cell>
          <cell r="E40">
            <v>858</v>
          </cell>
          <cell r="F40">
            <v>3.5999999999999997E-2</v>
          </cell>
          <cell r="G40">
            <v>3.3E-3</v>
          </cell>
        </row>
        <row r="41">
          <cell r="C41" t="str">
            <v>10106268-0017101LF</v>
          </cell>
          <cell r="D41" t="str">
            <v>PwrBlade+ VR STB</v>
          </cell>
          <cell r="E41">
            <v>288</v>
          </cell>
          <cell r="F41">
            <v>1.0999999999999999E-2</v>
          </cell>
          <cell r="G41">
            <v>1.9E-2</v>
          </cell>
        </row>
        <row r="42">
          <cell r="C42" t="str">
            <v>10106268-0C00002LF</v>
          </cell>
          <cell r="D42" t="str">
            <v>PwrBlade+ VTR</v>
          </cell>
          <cell r="E42">
            <v>10</v>
          </cell>
          <cell r="F42">
            <v>4.297136E-2</v>
          </cell>
          <cell r="G42">
            <v>6.1000000000000004E-3</v>
          </cell>
        </row>
        <row r="43">
          <cell r="C43" t="str">
            <v>10106268-1C03002LF</v>
          </cell>
          <cell r="D43" t="str">
            <v>PwrBlade+ VTR</v>
          </cell>
          <cell r="E43">
            <v>10</v>
          </cell>
          <cell r="F43">
            <v>3.5732088000000002E-2</v>
          </cell>
          <cell r="G43">
            <v>6.103944E-3</v>
          </cell>
        </row>
        <row r="44">
          <cell r="C44" t="str">
            <v>10106268-2002005LF</v>
          </cell>
          <cell r="D44" t="str">
            <v>PwrBlade+ VR STB</v>
          </cell>
          <cell r="E44">
            <v>1408</v>
          </cell>
          <cell r="F44">
            <v>2.5000000000000001E-2</v>
          </cell>
          <cell r="G44">
            <v>3.0000000000000001E-3</v>
          </cell>
        </row>
        <row r="45">
          <cell r="C45" t="str">
            <v>10106268-2002008LF</v>
          </cell>
          <cell r="D45" t="str">
            <v>Connector,PB+VR</v>
          </cell>
          <cell r="E45">
            <v>1200</v>
          </cell>
          <cell r="F45">
            <v>3.5000000000000003E-2</v>
          </cell>
          <cell r="G45">
            <v>4.0000000000000001E-3</v>
          </cell>
        </row>
        <row r="46">
          <cell r="C46" t="str">
            <v>10106268-T006001LF</v>
          </cell>
          <cell r="D46" t="str">
            <v>PwrBlade+ VR STB</v>
          </cell>
          <cell r="E46">
            <v>936</v>
          </cell>
          <cell r="F46">
            <v>5.1700000000000003E-2</v>
          </cell>
          <cell r="G46">
            <v>6.7000000000000002E-3</v>
          </cell>
        </row>
        <row r="47">
          <cell r="C47" t="str">
            <v>10106269-3606001LF</v>
          </cell>
          <cell r="D47" t="str">
            <v>PwrBlade+ VTR</v>
          </cell>
          <cell r="E47">
            <v>3024</v>
          </cell>
          <cell r="F47">
            <v>3.6545399999999999E-2</v>
          </cell>
          <cell r="G47">
            <v>0</v>
          </cell>
        </row>
        <row r="48">
          <cell r="C48" t="str">
            <v>10106269-B006001LF</v>
          </cell>
          <cell r="D48" t="str">
            <v>Connector,PB+VR</v>
          </cell>
          <cell r="E48">
            <v>288</v>
          </cell>
          <cell r="F48">
            <v>3.9E-2</v>
          </cell>
          <cell r="G48">
            <v>6.7000000000000002E-3</v>
          </cell>
        </row>
        <row r="49">
          <cell r="C49" t="str">
            <v>10106269-B010001LF</v>
          </cell>
          <cell r="D49" t="str">
            <v>PwrBlade+ VTR</v>
          </cell>
          <cell r="E49">
            <v>576</v>
          </cell>
          <cell r="F49">
            <v>3.8300000000000001E-2</v>
          </cell>
          <cell r="G49">
            <v>1.0999999999999999E-2</v>
          </cell>
        </row>
        <row r="50">
          <cell r="C50" t="str">
            <v>10106269-D010001LF</v>
          </cell>
          <cell r="D50" t="str">
            <v>PwrBlade+ VTR</v>
          </cell>
          <cell r="E50">
            <v>576</v>
          </cell>
          <cell r="F50">
            <v>3.0028124999999999E-2</v>
          </cell>
          <cell r="G50">
            <v>1.0999999999999999E-2</v>
          </cell>
        </row>
        <row r="51">
          <cell r="C51" t="str">
            <v>10127400-01U1520LF</v>
          </cell>
          <cell r="D51" t="str">
            <v>PBU RAR CONNECTOR</v>
          </cell>
          <cell r="E51">
            <v>77120</v>
          </cell>
          <cell r="F51">
            <v>3.0028124999999999E-2</v>
          </cell>
          <cell r="G51">
            <v>1.0999999999999999E-2</v>
          </cell>
        </row>
        <row r="52">
          <cell r="C52" t="str">
            <v>10130664-9B0319HLF</v>
          </cell>
          <cell r="D52" t="str">
            <v>BARKLIP CABLE ASSEMBLY</v>
          </cell>
          <cell r="E52">
            <v>5000</v>
          </cell>
        </row>
        <row r="53">
          <cell r="C53" t="str">
            <v>10130664-9C0151QLF</v>
          </cell>
          <cell r="D53" t="str">
            <v>BARKLIP CABLEASSEMBLY-24</v>
          </cell>
          <cell r="E53">
            <v>7280</v>
          </cell>
        </row>
        <row r="54">
          <cell r="C54" t="str">
            <v>10130664-9D0354LF</v>
          </cell>
          <cell r="D54" t="str">
            <v>BARKLIP CABLE ASSY-196MM</v>
          </cell>
          <cell r="E54">
            <v>8640</v>
          </cell>
        </row>
        <row r="55">
          <cell r="C55" t="str">
            <v>10130664-9D0355LF</v>
          </cell>
          <cell r="D55" t="str">
            <v>BARKLIP CABLE ASSY-135MM</v>
          </cell>
          <cell r="E55">
            <v>7920</v>
          </cell>
        </row>
        <row r="56">
          <cell r="C56" t="str">
            <v>10130664-9D0356LF</v>
          </cell>
          <cell r="D56" t="str">
            <v>BARKLIP CABLE ASSY-82MM</v>
          </cell>
          <cell r="E56">
            <v>5760</v>
          </cell>
        </row>
        <row r="57">
          <cell r="C57" t="str">
            <v>10130664-9RF438LF</v>
          </cell>
          <cell r="D57" t="str">
            <v>BK200 I/O Cable Assembly</v>
          </cell>
          <cell r="E57">
            <v>11820</v>
          </cell>
        </row>
        <row r="58">
          <cell r="C58" t="str">
            <v>10146534-1EP061LF</v>
          </cell>
          <cell r="D58" t="str">
            <v>BK100 Cable Assembly</v>
          </cell>
          <cell r="E58">
            <v>150</v>
          </cell>
        </row>
        <row r="59">
          <cell r="C59" t="str">
            <v>10146534-1EP062LF</v>
          </cell>
          <cell r="D59" t="str">
            <v>BK100 Cable Assembly</v>
          </cell>
          <cell r="E59">
            <v>0</v>
          </cell>
        </row>
        <row r="60">
          <cell r="C60" t="str">
            <v>10146534-1EP064LF</v>
          </cell>
          <cell r="D60" t="str">
            <v>BK100 Cable Assembly</v>
          </cell>
          <cell r="E60">
            <v>0</v>
          </cell>
        </row>
        <row r="61">
          <cell r="C61" t="str">
            <v>10150562-001</v>
          </cell>
          <cell r="D61" t="str">
            <v>HOUSING RPS04HBR01F</v>
          </cell>
          <cell r="E61">
            <v>45000</v>
          </cell>
        </row>
        <row r="62">
          <cell r="C62" t="str">
            <v>10150562-002</v>
          </cell>
          <cell r="D62" t="str">
            <v>TERMINAL RPS04C1392F</v>
          </cell>
          <cell r="E62">
            <v>0</v>
          </cell>
        </row>
        <row r="63">
          <cell r="C63" t="str">
            <v>10158287-1RF057HF</v>
          </cell>
          <cell r="D63" t="str">
            <v>BK300 I/O Cable Assembly</v>
          </cell>
          <cell r="E63">
            <v>14900</v>
          </cell>
        </row>
        <row r="64">
          <cell r="C64" t="str">
            <v>10162405-1S2009LF</v>
          </cell>
          <cell r="D64" t="str">
            <v>BARKLIP CABLE ASSEMBLY</v>
          </cell>
          <cell r="E64">
            <v>46300</v>
          </cell>
        </row>
        <row r="65">
          <cell r="C65" t="str">
            <v>10162456-001</v>
          </cell>
          <cell r="D65" t="str">
            <v>RPS04B036 HSG</v>
          </cell>
          <cell r="E65">
            <v>4560</v>
          </cell>
        </row>
        <row r="66">
          <cell r="C66" t="str">
            <v>10162457-001</v>
          </cell>
          <cell r="D66" t="str">
            <v>RPS04S125-0011_Contact</v>
          </cell>
          <cell r="E66">
            <v>0</v>
          </cell>
        </row>
        <row r="67">
          <cell r="C67" t="str">
            <v>10162457-003</v>
          </cell>
          <cell r="D67" t="str">
            <v>RPS04S125-0021_Contact</v>
          </cell>
          <cell r="E67">
            <v>5000</v>
          </cell>
        </row>
        <row r="68">
          <cell r="C68" t="str">
            <v>10162457-004</v>
          </cell>
          <cell r="D68" t="str">
            <v>RPS04S124-0021_Contact</v>
          </cell>
          <cell r="E68">
            <v>3725</v>
          </cell>
        </row>
        <row r="69">
          <cell r="C69" t="str">
            <v>10162457-005</v>
          </cell>
          <cell r="D69" t="str">
            <v>RPS04S124-0011_Contact</v>
          </cell>
          <cell r="E69">
            <v>78460</v>
          </cell>
        </row>
        <row r="70">
          <cell r="C70" t="str">
            <v>10165116-001</v>
          </cell>
          <cell r="D70" t="str">
            <v>BK100 SCRW MNT HSG ENHCD</v>
          </cell>
          <cell r="E70">
            <v>0</v>
          </cell>
        </row>
        <row r="71">
          <cell r="C71" t="str">
            <v>10165117-001</v>
          </cell>
          <cell r="D71" t="str">
            <v>BK100 BarKlip TPA ENHNCD</v>
          </cell>
          <cell r="E71">
            <v>80000</v>
          </cell>
        </row>
        <row r="72">
          <cell r="C72" t="str">
            <v>10165987-101LF</v>
          </cell>
          <cell r="D72" t="str">
            <v>2POS RAPID LOCK CNR KIT</v>
          </cell>
          <cell r="E72">
            <v>100000</v>
          </cell>
        </row>
        <row r="73">
          <cell r="C73" t="str">
            <v>10170775-170501</v>
          </cell>
          <cell r="D73" t="str">
            <v>OCP AC_IN RKEY R-MALE</v>
          </cell>
          <cell r="E73">
            <v>2464</v>
          </cell>
        </row>
        <row r="74">
          <cell r="C74" t="str">
            <v>10170775-170502</v>
          </cell>
          <cell r="D74" t="str">
            <v>OCP AC_IN RKEY L-MALE</v>
          </cell>
          <cell r="E74">
            <v>3584</v>
          </cell>
        </row>
        <row r="75">
          <cell r="C75" t="str">
            <v>10170818-S01LF</v>
          </cell>
          <cell r="D75" t="str">
            <v>IPC-S75/M50 10/12HDCT</v>
          </cell>
          <cell r="E75">
            <v>40000</v>
          </cell>
        </row>
        <row r="76">
          <cell r="C76" t="str">
            <v>10170820-001LF</v>
          </cell>
          <cell r="D76" t="str">
            <v>IPC-M50 Gray Connector</v>
          </cell>
          <cell r="E76">
            <v>20000</v>
          </cell>
        </row>
        <row r="77">
          <cell r="C77" t="str">
            <v>10171426-001LF</v>
          </cell>
          <cell r="D77" t="str">
            <v>IPC-M175 Gray Connector</v>
          </cell>
          <cell r="E77">
            <v>1000</v>
          </cell>
        </row>
        <row r="78">
          <cell r="C78" t="str">
            <v>10171426-003LF</v>
          </cell>
          <cell r="D78" t="str">
            <v>IPC-M175 Red Connector</v>
          </cell>
          <cell r="E78">
            <v>1000</v>
          </cell>
        </row>
        <row r="79">
          <cell r="C79" t="str">
            <v>10172495-1F0139LF</v>
          </cell>
          <cell r="D79" t="str">
            <v>48V busbar cable assy</v>
          </cell>
          <cell r="E79">
            <v>2512</v>
          </cell>
        </row>
        <row r="80">
          <cell r="C80" t="str">
            <v>10174690-1UF026LF</v>
          </cell>
          <cell r="D80" t="str">
            <v>BK220 CABLE ASSY</v>
          </cell>
          <cell r="E80">
            <v>3620</v>
          </cell>
        </row>
        <row r="81">
          <cell r="C81" t="str">
            <v>10174780-001LF</v>
          </cell>
          <cell r="D81" t="str">
            <v>ET30 ELCON 3POS HDR CONN</v>
          </cell>
          <cell r="E81">
            <v>11600</v>
          </cell>
        </row>
        <row r="82">
          <cell r="C82" t="str">
            <v>10174781-001LF</v>
          </cell>
          <cell r="D82" t="str">
            <v>ET30 ELCON 6POS HDR CONN</v>
          </cell>
          <cell r="E82">
            <v>1950</v>
          </cell>
        </row>
        <row r="83">
          <cell r="C83" t="str">
            <v>10178161-C7A302</v>
          </cell>
          <cell r="D83" t="str">
            <v>OCP AC WHIP 35DEG 30A</v>
          </cell>
          <cell r="E83">
            <v>7660</v>
          </cell>
        </row>
        <row r="84">
          <cell r="C84" t="str">
            <v>10178161-C7A304</v>
          </cell>
          <cell r="D84" t="str">
            <v>OCP AC WHIP 35 ° 30A</v>
          </cell>
          <cell r="E84">
            <v>8110</v>
          </cell>
        </row>
        <row r="85">
          <cell r="C85" t="str">
            <v>10181063-K70001</v>
          </cell>
          <cell r="D85" t="str">
            <v>ORV3 90-90 MOLD 500mm</v>
          </cell>
          <cell r="E85">
            <v>158</v>
          </cell>
        </row>
        <row r="86">
          <cell r="C86" t="str">
            <v>10181064-K70002</v>
          </cell>
          <cell r="D86" t="str">
            <v>ORV3 90-STRAIGHT 850mm</v>
          </cell>
          <cell r="E86">
            <v>375</v>
          </cell>
        </row>
        <row r="87">
          <cell r="C87" t="str">
            <v>10181064-K70006</v>
          </cell>
          <cell r="D87" t="str">
            <v>ORV3 90-STRAIGHT 2500mm</v>
          </cell>
          <cell r="E87">
            <v>1484</v>
          </cell>
        </row>
        <row r="88">
          <cell r="C88" t="str">
            <v>10181065-K70005</v>
          </cell>
          <cell r="D88" t="str">
            <v>AC -AC WHIP  STRAIGHT</v>
          </cell>
          <cell r="E88">
            <v>2371</v>
          </cell>
        </row>
        <row r="89">
          <cell r="C89" t="str">
            <v>10181065-K70007</v>
          </cell>
          <cell r="D89" t="str">
            <v>AC -AC WHIP  STRAIGHT</v>
          </cell>
          <cell r="E89">
            <v>2307</v>
          </cell>
        </row>
        <row r="90">
          <cell r="C90" t="str">
            <v>10188304-054F01</v>
          </cell>
          <cell r="D90" t="str">
            <v>100A AC WHIP IEC C/A</v>
          </cell>
          <cell r="E90">
            <v>1000</v>
          </cell>
        </row>
        <row r="91">
          <cell r="C91" t="str">
            <v>51720-10102401AALF</v>
          </cell>
          <cell r="D91" t="str">
            <v>PwrBlade RAH</v>
          </cell>
          <cell r="E91">
            <v>660</v>
          </cell>
          <cell r="F91">
            <v>2.1000000000000001E-2</v>
          </cell>
          <cell r="G91">
            <v>1.9E-3</v>
          </cell>
        </row>
        <row r="92">
          <cell r="C92" t="str">
            <v>51720-10201202AALF</v>
          </cell>
          <cell r="D92" t="str">
            <v>PwrBlade RAH</v>
          </cell>
          <cell r="E92">
            <v>3168</v>
          </cell>
          <cell r="F92">
            <v>1.4514501000000001E-2</v>
          </cell>
          <cell r="G92">
            <v>1.9E-3</v>
          </cell>
        </row>
        <row r="93">
          <cell r="C93" t="str">
            <v>51720-10202402AALF</v>
          </cell>
          <cell r="D93" t="str">
            <v>PwrBlade RAH</v>
          </cell>
          <cell r="E93">
            <v>264</v>
          </cell>
          <cell r="F93">
            <v>0.01</v>
          </cell>
          <cell r="G93">
            <v>1.9E-3</v>
          </cell>
        </row>
        <row r="94">
          <cell r="C94" t="str">
            <v>51720-10806010AALF</v>
          </cell>
          <cell r="D94" t="str">
            <v>PwrBlade RAH STB</v>
          </cell>
          <cell r="E94">
            <v>132</v>
          </cell>
          <cell r="F94">
            <v>6.8000000000000005E-2</v>
          </cell>
          <cell r="G94">
            <v>4.0000000000000001E-3</v>
          </cell>
        </row>
        <row r="95">
          <cell r="C95" t="str">
            <v>51720-11002006AALF</v>
          </cell>
          <cell r="D95" t="str">
            <v>Connector,PBRAH</v>
          </cell>
          <cell r="E95">
            <v>16</v>
          </cell>
          <cell r="F95">
            <v>0.06</v>
          </cell>
          <cell r="G95">
            <v>2E-3</v>
          </cell>
        </row>
        <row r="96">
          <cell r="C96" t="str">
            <v>51721-10007205ABLF</v>
          </cell>
          <cell r="D96" t="str">
            <v>PwrBlade RAH</v>
          </cell>
          <cell r="E96">
            <v>10</v>
          </cell>
          <cell r="F96">
            <v>5.04E-2</v>
          </cell>
          <cell r="G96">
            <v>2E-3</v>
          </cell>
        </row>
        <row r="97">
          <cell r="C97" t="str">
            <v>51722-10602000AALF</v>
          </cell>
          <cell r="D97" t="str">
            <v>PwrBlade RAH</v>
          </cell>
          <cell r="E97">
            <v>792</v>
          </cell>
          <cell r="F97">
            <v>2.1876224E-2</v>
          </cell>
          <cell r="G97">
            <v>1.9E-3</v>
          </cell>
        </row>
        <row r="98">
          <cell r="C98" t="str">
            <v>51740-11002006AALF</v>
          </cell>
          <cell r="D98" t="str">
            <v>Connector,PBVTR</v>
          </cell>
          <cell r="E98">
            <v>288</v>
          </cell>
          <cell r="F98">
            <v>5.2999999999999999E-2</v>
          </cell>
          <cell r="G98">
            <v>3.0000000000000001E-3</v>
          </cell>
        </row>
        <row r="99">
          <cell r="C99" t="str">
            <v>51741-10002406AALF</v>
          </cell>
          <cell r="D99" t="str">
            <v>PwrBlade VR</v>
          </cell>
          <cell r="E99">
            <v>528</v>
          </cell>
          <cell r="F99">
            <v>1.1246256E-2</v>
          </cell>
          <cell r="G99">
            <v>3.0000000000000001E-3</v>
          </cell>
        </row>
        <row r="100">
          <cell r="C100" t="str">
            <v>51742-10201200CCLF</v>
          </cell>
          <cell r="D100" t="str">
            <v>PwrBlade VR PF</v>
          </cell>
          <cell r="E100">
            <v>1056</v>
          </cell>
          <cell r="F100">
            <v>4.6750000000000003E-3</v>
          </cell>
          <cell r="G100">
            <v>2E-3</v>
          </cell>
        </row>
        <row r="101">
          <cell r="C101" t="str">
            <v>51748-008000000A</v>
          </cell>
          <cell r="D101" t="str">
            <v>HSG</v>
          </cell>
          <cell r="E101">
            <v>100</v>
          </cell>
          <cell r="F101">
            <v>4.6750000000000003E-3</v>
          </cell>
          <cell r="G101">
            <v>2E-3</v>
          </cell>
        </row>
        <row r="102">
          <cell r="C102" t="str">
            <v>51939-103LF</v>
          </cell>
          <cell r="D102" t="str">
            <v>PwrBlade RAH</v>
          </cell>
          <cell r="E102">
            <v>264</v>
          </cell>
          <cell r="F102">
            <v>1.4999999999999999E-2</v>
          </cell>
          <cell r="G102">
            <v>1.9E-3</v>
          </cell>
        </row>
        <row r="103">
          <cell r="C103" t="str">
            <v>51939-1074LF</v>
          </cell>
          <cell r="D103" t="str">
            <v>PwrBlade RAH STB</v>
          </cell>
          <cell r="E103">
            <v>1260</v>
          </cell>
          <cell r="F103">
            <v>3.1E-2</v>
          </cell>
          <cell r="G103">
            <v>3.3E-3</v>
          </cell>
        </row>
        <row r="104">
          <cell r="C104" t="str">
            <v>51939-1222LHLF</v>
          </cell>
          <cell r="D104" t="str">
            <v>PwrBlade RAH</v>
          </cell>
          <cell r="E104">
            <v>38844</v>
          </cell>
          <cell r="F104">
            <v>2.6620999999999999E-2</v>
          </cell>
          <cell r="G104">
            <v>3.3E-3</v>
          </cell>
        </row>
        <row r="105">
          <cell r="C105" t="str">
            <v>51939-137LF</v>
          </cell>
          <cell r="D105" t="str">
            <v>PwrBlade RAH</v>
          </cell>
          <cell r="E105">
            <v>2640</v>
          </cell>
          <cell r="F105">
            <v>1.4668182E-2</v>
          </cell>
          <cell r="G105">
            <v>1.9E-3</v>
          </cell>
        </row>
        <row r="106">
          <cell r="C106" t="str">
            <v>51939-163LF</v>
          </cell>
          <cell r="D106" t="str">
            <v>Connector,PBRAH</v>
          </cell>
          <cell r="E106">
            <v>10000</v>
          </cell>
          <cell r="F106">
            <v>7.1000000000000004E-3</v>
          </cell>
          <cell r="G106">
            <v>1.6000000000000001E-3</v>
          </cell>
        </row>
        <row r="107">
          <cell r="C107" t="str">
            <v>51939-180LF</v>
          </cell>
          <cell r="D107" t="str">
            <v>Connector,PBRAH</v>
          </cell>
          <cell r="E107">
            <v>3564</v>
          </cell>
          <cell r="F107">
            <v>3.1800000000000002E-2</v>
          </cell>
          <cell r="G107">
            <v>1.6000000000000001E-3</v>
          </cell>
        </row>
        <row r="108">
          <cell r="C108" t="str">
            <v>51939-234LF</v>
          </cell>
          <cell r="D108" t="str">
            <v>PwrBlade RAH</v>
          </cell>
          <cell r="E108">
            <v>6270</v>
          </cell>
          <cell r="F108">
            <v>1.4097426E-2</v>
          </cell>
          <cell r="G108">
            <v>1.9E-3</v>
          </cell>
        </row>
        <row r="109">
          <cell r="C109" t="str">
            <v>51939-389LF</v>
          </cell>
          <cell r="D109" t="str">
            <v>PwrBlade RAH</v>
          </cell>
          <cell r="E109">
            <v>1056</v>
          </cell>
          <cell r="F109">
            <v>1.700424E-2</v>
          </cell>
          <cell r="G109">
            <v>0</v>
          </cell>
        </row>
        <row r="110">
          <cell r="C110" t="str">
            <v>51939-667LF</v>
          </cell>
          <cell r="D110" t="str">
            <v>PwrBlade RAH STB</v>
          </cell>
          <cell r="E110">
            <v>264</v>
          </cell>
          <cell r="F110">
            <v>3.9E-2</v>
          </cell>
          <cell r="G110">
            <v>2E-3</v>
          </cell>
        </row>
        <row r="111">
          <cell r="C111" t="str">
            <v>51939-722LF</v>
          </cell>
          <cell r="D111" t="str">
            <v>PwrBlade RAH STB</v>
          </cell>
          <cell r="E111">
            <v>396</v>
          </cell>
          <cell r="F111">
            <v>3.1E-2</v>
          </cell>
          <cell r="G111">
            <v>2E-3</v>
          </cell>
        </row>
        <row r="112">
          <cell r="C112" t="str">
            <v>51939-834LF</v>
          </cell>
          <cell r="D112" t="str">
            <v>PwrBlade RAH</v>
          </cell>
          <cell r="E112">
            <v>2916</v>
          </cell>
          <cell r="F112">
            <v>2.1984119999999999E-2</v>
          </cell>
          <cell r="G112">
            <v>5.0000000000000001E-3</v>
          </cell>
        </row>
        <row r="113">
          <cell r="C113" t="str">
            <v>51939-927LF</v>
          </cell>
          <cell r="D113" t="str">
            <v>PwrBlade RAH STB</v>
          </cell>
          <cell r="E113">
            <v>3300</v>
          </cell>
          <cell r="F113">
            <v>2.3800000000000002E-2</v>
          </cell>
          <cell r="G113">
            <v>2E-3</v>
          </cell>
        </row>
        <row r="114">
          <cell r="C114" t="str">
            <v>51940-175LF</v>
          </cell>
          <cell r="D114" t="str">
            <v>PwrBlade VR</v>
          </cell>
          <cell r="E114">
            <v>176</v>
          </cell>
          <cell r="F114">
            <v>2.8202478999999999E-2</v>
          </cell>
          <cell r="G114">
            <v>3.0000000000000001E-3</v>
          </cell>
        </row>
        <row r="115">
          <cell r="C115" t="str">
            <v>51940-488LF</v>
          </cell>
          <cell r="D115" t="str">
            <v>PwrBlade VR</v>
          </cell>
          <cell r="E115">
            <v>864</v>
          </cell>
          <cell r="F115">
            <v>3.2000000000000001E-2</v>
          </cell>
          <cell r="G115">
            <v>3.0000000000000001E-3</v>
          </cell>
        </row>
        <row r="116">
          <cell r="C116" t="str">
            <v>51940-535LF</v>
          </cell>
          <cell r="D116" t="str">
            <v>PwrBlade VTR</v>
          </cell>
          <cell r="E116">
            <v>2520</v>
          </cell>
          <cell r="F116">
            <v>0.02</v>
          </cell>
          <cell r="G116">
            <v>3.0000000000000001E-3</v>
          </cell>
        </row>
        <row r="117">
          <cell r="C117" t="str">
            <v>51940-650LF</v>
          </cell>
          <cell r="D117" t="str">
            <v>PwrBlade VR</v>
          </cell>
          <cell r="E117">
            <v>528</v>
          </cell>
          <cell r="F117">
            <v>4.7E-2</v>
          </cell>
          <cell r="G117">
            <v>1.3299999999999999E-2</v>
          </cell>
        </row>
        <row r="118">
          <cell r="C118" t="str">
            <v>51940-735PLF</v>
          </cell>
          <cell r="D118" t="str">
            <v>PwrBlade VTR</v>
          </cell>
          <cell r="E118">
            <v>1944</v>
          </cell>
          <cell r="F118">
            <v>2.9000000000000001E-2</v>
          </cell>
          <cell r="G118">
            <v>0.04</v>
          </cell>
        </row>
        <row r="119">
          <cell r="C119" t="str">
            <v>51966-10006000ABLF</v>
          </cell>
          <cell r="D119" t="str">
            <v>PwrBlade RAH STB</v>
          </cell>
          <cell r="E119">
            <v>1056</v>
          </cell>
          <cell r="F119">
            <v>2.1999999999999999E-2</v>
          </cell>
          <cell r="G119">
            <v>2E-3</v>
          </cell>
        </row>
        <row r="120">
          <cell r="C120" t="str">
            <v>51966-10006400AALF</v>
          </cell>
          <cell r="D120" t="str">
            <v>Connector,PBRAH</v>
          </cell>
          <cell r="E120">
            <v>792</v>
          </cell>
          <cell r="F120">
            <v>2.1999999999999999E-2</v>
          </cell>
          <cell r="G120">
            <v>2E-3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Data"/>
      <sheetName val="Search Conditions"/>
      <sheetName val="Info"/>
      <sheetName val="MasterS.F"/>
      <sheetName val="MasterF"/>
      <sheetName val="MasterF (2)"/>
    </sheetNames>
    <sheetDataSet>
      <sheetData sheetId="0"/>
      <sheetData sheetId="1"/>
      <sheetData sheetId="2"/>
      <sheetData sheetId="3"/>
      <sheetData sheetId="4">
        <row r="5">
          <cell r="A5" t="str">
            <v>10011570-001LF</v>
          </cell>
          <cell r="B5"/>
          <cell r="C5"/>
          <cell r="D5"/>
          <cell r="E5"/>
          <cell r="F5"/>
          <cell r="G5">
            <v>1.0200000000000001E-2</v>
          </cell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>
            <v>6.1000000000000004E-3</v>
          </cell>
        </row>
        <row r="6">
          <cell r="A6" t="str">
            <v>10011575-001LF</v>
          </cell>
          <cell r="B6"/>
          <cell r="C6"/>
          <cell r="D6"/>
          <cell r="E6"/>
          <cell r="F6"/>
          <cell r="G6">
            <v>1.4E-2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>
            <v>6.1000000000000004E-3</v>
          </cell>
        </row>
        <row r="7">
          <cell r="A7" t="str">
            <v>10011575-002LF</v>
          </cell>
          <cell r="B7"/>
          <cell r="C7"/>
          <cell r="D7"/>
          <cell r="E7"/>
          <cell r="F7"/>
          <cell r="G7">
            <v>1.4E-2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>
            <v>6.1000000000000004E-3</v>
          </cell>
        </row>
        <row r="8">
          <cell r="A8" t="str">
            <v>10066439-038LF</v>
          </cell>
          <cell r="B8"/>
          <cell r="C8"/>
          <cell r="D8"/>
          <cell r="E8"/>
          <cell r="F8"/>
          <cell r="G8">
            <v>0.02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>
            <v>6.1000000000000004E-3</v>
          </cell>
        </row>
        <row r="9">
          <cell r="A9" t="str">
            <v>10066441-002</v>
          </cell>
          <cell r="B9"/>
          <cell r="C9"/>
          <cell r="D9"/>
          <cell r="E9"/>
          <cell r="F9">
            <v>1.0417E-3</v>
          </cell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</row>
        <row r="10">
          <cell r="A10" t="str">
            <v>10071628-001LF</v>
          </cell>
          <cell r="B10"/>
          <cell r="C10"/>
          <cell r="D10"/>
          <cell r="E10"/>
          <cell r="F10"/>
          <cell r="G10">
            <v>2.3E-2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>
            <v>3.3E-3</v>
          </cell>
        </row>
        <row r="11">
          <cell r="A11" t="str">
            <v>10073097-007</v>
          </cell>
          <cell r="B11"/>
          <cell r="C11"/>
          <cell r="D11"/>
          <cell r="E11"/>
          <cell r="F11">
            <v>4.5140000000000002E-4</v>
          </cell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</row>
        <row r="12">
          <cell r="A12" t="str">
            <v>10089267-018</v>
          </cell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>
            <v>1.1806E-3</v>
          </cell>
          <cell r="R12"/>
          <cell r="S12"/>
          <cell r="T12"/>
          <cell r="U12"/>
          <cell r="V12"/>
          <cell r="W12"/>
        </row>
        <row r="13">
          <cell r="A13" t="str">
            <v>10089857-001A</v>
          </cell>
          <cell r="B13"/>
          <cell r="C13"/>
          <cell r="D13"/>
          <cell r="E13"/>
          <cell r="F13"/>
          <cell r="G13">
            <v>0.03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>
            <v>1.4E-3</v>
          </cell>
        </row>
        <row r="14">
          <cell r="A14" t="str">
            <v>10106116-2000002LF</v>
          </cell>
          <cell r="B14"/>
          <cell r="C14"/>
          <cell r="D14"/>
          <cell r="E14"/>
          <cell r="F14"/>
          <cell r="G14">
            <v>2.8000000000000001E-2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>
            <v>6.1000000000000004E-3</v>
          </cell>
        </row>
        <row r="15">
          <cell r="A15" t="str">
            <v>10106116-2000502LF</v>
          </cell>
          <cell r="B15"/>
          <cell r="C15"/>
          <cell r="D15"/>
          <cell r="E15"/>
          <cell r="F15"/>
          <cell r="G15">
            <v>1.7999999999999999E-2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>
            <v>3.0000000000000001E-3</v>
          </cell>
        </row>
        <row r="16">
          <cell r="A16" t="str">
            <v>10106116-2002401LF</v>
          </cell>
          <cell r="B16"/>
          <cell r="C16"/>
          <cell r="D16"/>
          <cell r="E16"/>
          <cell r="F16"/>
          <cell r="G16">
            <v>2.5000000000000001E-2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>
            <v>3.3E-3</v>
          </cell>
        </row>
        <row r="17">
          <cell r="A17" t="str">
            <v>10106116-2005001LF</v>
          </cell>
          <cell r="B17"/>
          <cell r="C17"/>
          <cell r="D17"/>
          <cell r="E17"/>
          <cell r="F17"/>
          <cell r="G17">
            <v>2.1000000000000001E-2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>
            <v>3.0000000000000001E-3</v>
          </cell>
        </row>
        <row r="18">
          <cell r="A18" t="str">
            <v>10106116-3000001LF</v>
          </cell>
          <cell r="B18"/>
          <cell r="C18"/>
          <cell r="D18"/>
          <cell r="E18"/>
          <cell r="F18"/>
          <cell r="G18">
            <v>0.03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>
            <v>6.1000000000000004E-3</v>
          </cell>
        </row>
        <row r="19">
          <cell r="A19" t="str">
            <v>10106116-3000003LF</v>
          </cell>
          <cell r="B19"/>
          <cell r="C19"/>
          <cell r="D19"/>
          <cell r="E19"/>
          <cell r="F19"/>
          <cell r="G19">
            <v>2.1999999999999999E-2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>
            <v>6.1000000000000004E-3</v>
          </cell>
        </row>
        <row r="20">
          <cell r="A20" t="str">
            <v>10106116-3000K01LF</v>
          </cell>
          <cell r="B20"/>
          <cell r="C20"/>
          <cell r="D20"/>
          <cell r="E20"/>
          <cell r="F20"/>
          <cell r="G20">
            <v>1.7000000000000001E-2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>
            <v>3.0000000000000001E-3</v>
          </cell>
        </row>
        <row r="21">
          <cell r="A21" t="str">
            <v>10106116-3000K02LF</v>
          </cell>
          <cell r="B21"/>
          <cell r="C21"/>
          <cell r="D21"/>
          <cell r="E21"/>
          <cell r="F21"/>
          <cell r="G21">
            <v>1.9E-2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>
            <v>3.0000000000000001E-3</v>
          </cell>
        </row>
        <row r="22">
          <cell r="A22" t="str">
            <v>10106116-3002001LF</v>
          </cell>
          <cell r="B22"/>
          <cell r="C22"/>
          <cell r="D22"/>
          <cell r="E22"/>
          <cell r="F22"/>
          <cell r="G22">
            <v>3.5000000000000001E-3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>
            <v>3.3E-3</v>
          </cell>
        </row>
        <row r="23">
          <cell r="A23" t="str">
            <v>10106116-3002K01LF</v>
          </cell>
          <cell r="B23"/>
          <cell r="C23"/>
          <cell r="D23"/>
          <cell r="E23"/>
          <cell r="F23"/>
          <cell r="G23">
            <v>2.5000000000000001E-2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>
            <v>3.0000000000000001E-3</v>
          </cell>
        </row>
        <row r="24">
          <cell r="A24" t="str">
            <v>10106116-3003002LF</v>
          </cell>
          <cell r="B24"/>
          <cell r="C24"/>
          <cell r="D24"/>
          <cell r="E24"/>
          <cell r="F24"/>
          <cell r="G24">
            <v>3.2000000000000001E-2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>
            <v>3.3E-3</v>
          </cell>
        </row>
        <row r="25">
          <cell r="A25" t="str">
            <v>10106116-3006001LF</v>
          </cell>
          <cell r="B25"/>
          <cell r="C25"/>
          <cell r="D25"/>
          <cell r="E25"/>
          <cell r="F25"/>
          <cell r="G25">
            <v>3.2000000000000001E-2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>
            <v>3.3E-3</v>
          </cell>
        </row>
        <row r="26">
          <cell r="A26" t="str">
            <v>10106116-3007K01LF</v>
          </cell>
          <cell r="B26"/>
          <cell r="C26"/>
          <cell r="D26"/>
          <cell r="E26"/>
          <cell r="F26"/>
          <cell r="G26">
            <v>3.2000000000000001E-2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>
            <v>3.3E-3</v>
          </cell>
        </row>
        <row r="27">
          <cell r="A27" t="str">
            <v>10106116-4000002LF</v>
          </cell>
          <cell r="B27"/>
          <cell r="C27"/>
          <cell r="D27"/>
          <cell r="E27"/>
          <cell r="F27"/>
          <cell r="G27">
            <v>3.0000000000000001E-3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>
            <v>1.6999999999999999E-3</v>
          </cell>
        </row>
        <row r="28">
          <cell r="A28" t="str">
            <v>10106116-4001001LF</v>
          </cell>
          <cell r="B28"/>
          <cell r="C28"/>
          <cell r="D28"/>
          <cell r="E28"/>
          <cell r="F28"/>
          <cell r="G28">
            <v>2.8000000000000001E-2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>
            <v>3.3E-3</v>
          </cell>
        </row>
        <row r="29">
          <cell r="A29" t="str">
            <v>10106116-4003001LF</v>
          </cell>
          <cell r="B29"/>
          <cell r="C29"/>
          <cell r="D29"/>
          <cell r="E29"/>
          <cell r="F29"/>
          <cell r="G29">
            <v>4.3999999999999997E-2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>
            <v>3.3E-3</v>
          </cell>
        </row>
        <row r="30">
          <cell r="A30" t="str">
            <v>10106116-4003K01LF</v>
          </cell>
          <cell r="B30"/>
          <cell r="C30"/>
          <cell r="D30"/>
          <cell r="E30"/>
          <cell r="F30"/>
          <cell r="G30">
            <v>3.5000000000000003E-2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>
            <v>3.3E-3</v>
          </cell>
        </row>
        <row r="31">
          <cell r="A31" t="str">
            <v>10106116-4004501LF</v>
          </cell>
          <cell r="B31"/>
          <cell r="C31"/>
          <cell r="D31"/>
          <cell r="E31"/>
          <cell r="F31"/>
          <cell r="G31">
            <v>2.8000000000000001E-2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>
            <v>3.3E-3</v>
          </cell>
        </row>
        <row r="32">
          <cell r="A32" t="str">
            <v>10106116-4004503LF</v>
          </cell>
          <cell r="B32"/>
          <cell r="C32"/>
          <cell r="D32"/>
          <cell r="E32"/>
          <cell r="F32"/>
          <cell r="G32">
            <v>4.2000000000000003E-2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>
            <v>5.0000000000000001E-3</v>
          </cell>
        </row>
        <row r="33">
          <cell r="A33" t="str">
            <v>10106116-4004K01LF</v>
          </cell>
          <cell r="B33"/>
          <cell r="C33"/>
          <cell r="D33"/>
          <cell r="E33"/>
          <cell r="F33"/>
          <cell r="G33">
            <v>3.5000000000000003E-2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>
            <v>4.0000000000000001E-3</v>
          </cell>
        </row>
        <row r="34">
          <cell r="A34" t="str">
            <v>10106116-4005002LF</v>
          </cell>
          <cell r="B34"/>
          <cell r="C34"/>
          <cell r="D34"/>
          <cell r="E34"/>
          <cell r="F34"/>
          <cell r="G34">
            <v>3.5000000000000003E-2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>
            <v>3.3E-3</v>
          </cell>
        </row>
        <row r="35">
          <cell r="A35" t="str">
            <v>10106116-4008001LF</v>
          </cell>
          <cell r="B35"/>
          <cell r="C35"/>
          <cell r="D35"/>
          <cell r="E35"/>
          <cell r="F35"/>
          <cell r="G35">
            <v>3.9E-2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>
            <v>3.0000000000000001E-3</v>
          </cell>
        </row>
        <row r="36">
          <cell r="A36" t="str">
            <v>10106116-4009002LF</v>
          </cell>
          <cell r="B36"/>
          <cell r="C36"/>
          <cell r="D36"/>
          <cell r="E36"/>
          <cell r="F36"/>
          <cell r="G36">
            <v>5.1999999999999998E-2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>
            <v>3.3E-3</v>
          </cell>
        </row>
        <row r="37">
          <cell r="A37" t="str">
            <v>10106116-4011001LF</v>
          </cell>
          <cell r="B37"/>
          <cell r="C37"/>
          <cell r="D37"/>
          <cell r="E37"/>
          <cell r="F37"/>
          <cell r="G37">
            <v>5.1999999999999998E-2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>
            <v>3.3E-3</v>
          </cell>
        </row>
        <row r="38">
          <cell r="A38" t="str">
            <v>10106116-4011101LF</v>
          </cell>
          <cell r="B38"/>
          <cell r="C38"/>
          <cell r="D38"/>
          <cell r="E38"/>
          <cell r="F38"/>
          <cell r="G38">
            <v>5.1999999999999998E-2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>
            <v>3.3E-3</v>
          </cell>
        </row>
        <row r="39">
          <cell r="A39" t="str">
            <v>10106116-5002001LF</v>
          </cell>
          <cell r="B39"/>
          <cell r="C39"/>
          <cell r="D39"/>
          <cell r="E39"/>
          <cell r="F39"/>
          <cell r="G39">
            <v>2.9000000000000001E-2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>
            <v>3.3E-3</v>
          </cell>
        </row>
        <row r="40">
          <cell r="A40" t="str">
            <v>10106116-5004001LF</v>
          </cell>
          <cell r="B40"/>
          <cell r="C40"/>
          <cell r="D40"/>
          <cell r="E40"/>
          <cell r="F40"/>
          <cell r="G40">
            <v>3.2000000000000001E-2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>
            <v>3.3E-3</v>
          </cell>
        </row>
        <row r="41">
          <cell r="A41" t="str">
            <v>10106116-5007K01LF</v>
          </cell>
          <cell r="B41"/>
          <cell r="C41"/>
          <cell r="D41"/>
          <cell r="E41"/>
          <cell r="F41"/>
          <cell r="G41">
            <v>3.5000000000000003E-2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>
            <v>3.3E-3</v>
          </cell>
        </row>
        <row r="42">
          <cell r="A42" t="str">
            <v>10106116-6000001LF</v>
          </cell>
          <cell r="B42"/>
          <cell r="C42"/>
          <cell r="D42"/>
          <cell r="E42"/>
          <cell r="F42"/>
          <cell r="G42">
            <v>2.7E-2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>
            <v>3.3E-3</v>
          </cell>
        </row>
        <row r="43">
          <cell r="A43" t="str">
            <v>10106116-6000501LF</v>
          </cell>
          <cell r="B43"/>
          <cell r="C43"/>
          <cell r="D43"/>
          <cell r="E43"/>
          <cell r="F43"/>
          <cell r="G43">
            <v>2.1000000000000001E-2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>
            <v>3.0000000000000001E-3</v>
          </cell>
        </row>
        <row r="44">
          <cell r="A44" t="str">
            <v>10106116-6002001LF</v>
          </cell>
          <cell r="B44"/>
          <cell r="C44"/>
          <cell r="D44"/>
          <cell r="E44"/>
          <cell r="F44"/>
          <cell r="G44">
            <v>3.6999999999999998E-2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>
            <v>3.3E-3</v>
          </cell>
        </row>
        <row r="45">
          <cell r="A45" t="str">
            <v>10106116-6005K01LF</v>
          </cell>
          <cell r="B45"/>
          <cell r="C45"/>
          <cell r="D45"/>
          <cell r="E45"/>
          <cell r="F45"/>
          <cell r="G45">
            <v>2.5999999999999999E-2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>
            <v>3.3E-3</v>
          </cell>
        </row>
        <row r="46">
          <cell r="A46" t="str">
            <v>10106116-6005K02LF</v>
          </cell>
          <cell r="B46"/>
          <cell r="C46"/>
          <cell r="D46"/>
          <cell r="E46"/>
          <cell r="F46"/>
          <cell r="G46">
            <v>2.4E-2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>
            <v>3.0000000000000001E-3</v>
          </cell>
        </row>
        <row r="47">
          <cell r="A47" t="str">
            <v>10106116-6006K01LF</v>
          </cell>
          <cell r="B47"/>
          <cell r="C47"/>
          <cell r="D47"/>
          <cell r="E47"/>
          <cell r="F47"/>
          <cell r="G47">
            <v>2.8000000000000001E-2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>
            <v>3.0000000000000001E-3</v>
          </cell>
        </row>
        <row r="48">
          <cell r="A48" t="str">
            <v>10106116-6016K01LF</v>
          </cell>
          <cell r="B48"/>
          <cell r="C48"/>
          <cell r="D48"/>
          <cell r="E48"/>
          <cell r="F48"/>
          <cell r="G48">
            <v>4.4999999999999998E-2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>
            <v>5.0000000000000001E-3</v>
          </cell>
        </row>
        <row r="49">
          <cell r="A49" t="str">
            <v>10106116-7000004LF</v>
          </cell>
          <cell r="B49"/>
          <cell r="C49"/>
          <cell r="D49"/>
          <cell r="E49"/>
          <cell r="F49"/>
          <cell r="G49">
            <v>3.1E-2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>
            <v>6.1000000000000004E-3</v>
          </cell>
        </row>
        <row r="50">
          <cell r="A50" t="str">
            <v>10106116-7000401LF</v>
          </cell>
          <cell r="B50"/>
          <cell r="C50"/>
          <cell r="D50"/>
          <cell r="E50"/>
          <cell r="F50"/>
          <cell r="G50">
            <v>2.3E-2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>
            <v>6.1000000000000004E-3</v>
          </cell>
        </row>
        <row r="51">
          <cell r="A51" t="str">
            <v>10106116-7000K01LF</v>
          </cell>
          <cell r="B51"/>
          <cell r="C51"/>
          <cell r="D51"/>
          <cell r="E51"/>
          <cell r="F51"/>
          <cell r="G51">
            <v>2.5000000000000001E-2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>
            <v>3.0000000000000001E-3</v>
          </cell>
        </row>
        <row r="52">
          <cell r="A52" t="str">
            <v>10106116-7003001LF</v>
          </cell>
          <cell r="B52"/>
          <cell r="C52"/>
          <cell r="D52"/>
          <cell r="E52"/>
          <cell r="F52"/>
          <cell r="G52">
            <v>3.2000000000000001E-2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>
            <v>6.1000000000000004E-3</v>
          </cell>
        </row>
        <row r="53">
          <cell r="A53" t="str">
            <v>10106116-7005001LF</v>
          </cell>
          <cell r="B53"/>
          <cell r="C53"/>
          <cell r="D53"/>
          <cell r="E53"/>
          <cell r="F53"/>
          <cell r="G53">
            <v>4.3999999999999997E-2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>
            <v>3.3E-3</v>
          </cell>
        </row>
        <row r="54">
          <cell r="A54" t="str">
            <v>10106116-8000K01LF</v>
          </cell>
          <cell r="B54"/>
          <cell r="C54"/>
          <cell r="D54"/>
          <cell r="E54"/>
          <cell r="F54"/>
          <cell r="G54">
            <v>2.5000000000000001E-2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>
            <v>3.0000000000000001E-3</v>
          </cell>
        </row>
        <row r="55">
          <cell r="A55" t="str">
            <v>10106116-8001K01LF</v>
          </cell>
          <cell r="B55"/>
          <cell r="C55"/>
          <cell r="D55"/>
          <cell r="E55"/>
          <cell r="F55"/>
          <cell r="G55">
            <v>3.6999999999999998E-2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>
            <v>3.3E-3</v>
          </cell>
        </row>
        <row r="56">
          <cell r="A56" t="str">
            <v>10106116-8004002LF</v>
          </cell>
          <cell r="B56"/>
          <cell r="C56"/>
          <cell r="D56"/>
          <cell r="E56"/>
          <cell r="F56"/>
          <cell r="G56">
            <v>3.5000000000000003E-2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>
            <v>3.3E-3</v>
          </cell>
        </row>
        <row r="57">
          <cell r="A57" t="str">
            <v>10106116-8005001LF</v>
          </cell>
          <cell r="B57"/>
          <cell r="C57"/>
          <cell r="D57"/>
          <cell r="E57"/>
          <cell r="F57"/>
          <cell r="G57">
            <v>4.3999999999999997E-2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>
            <v>3.3E-3</v>
          </cell>
        </row>
        <row r="58">
          <cell r="A58" t="str">
            <v>10106116-8005501LF</v>
          </cell>
          <cell r="B58"/>
          <cell r="C58"/>
          <cell r="D58"/>
          <cell r="E58"/>
          <cell r="F58"/>
          <cell r="G58">
            <v>2.3888900000000001E-2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>
            <v>2.7778E-3</v>
          </cell>
        </row>
        <row r="59">
          <cell r="A59" t="str">
            <v>10106116-8005K01LF</v>
          </cell>
          <cell r="B59"/>
          <cell r="C59"/>
          <cell r="D59"/>
          <cell r="E59"/>
          <cell r="F59"/>
          <cell r="G59">
            <v>2.3888900000000001E-2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>
            <v>2.7778E-3</v>
          </cell>
        </row>
        <row r="60">
          <cell r="A60" t="str">
            <v>10106116-8007001LF</v>
          </cell>
          <cell r="B60"/>
          <cell r="C60"/>
          <cell r="D60"/>
          <cell r="E60"/>
          <cell r="F60"/>
          <cell r="G60">
            <v>4.2000000000000003E-2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>
            <v>3.3E-3</v>
          </cell>
        </row>
        <row r="61">
          <cell r="A61" t="str">
            <v>10106116-8007003LF</v>
          </cell>
          <cell r="B61"/>
          <cell r="C61"/>
          <cell r="D61"/>
          <cell r="E61"/>
          <cell r="F61"/>
          <cell r="G61">
            <v>3.5999999999999997E-2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>
            <v>3.3E-3</v>
          </cell>
        </row>
        <row r="62">
          <cell r="A62" t="str">
            <v>10106116-8007004LF</v>
          </cell>
          <cell r="B62"/>
          <cell r="C62"/>
          <cell r="D62"/>
          <cell r="E62"/>
          <cell r="F62"/>
          <cell r="G62">
            <v>3.7999999999999999E-2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>
            <v>3.3E-3</v>
          </cell>
        </row>
        <row r="63">
          <cell r="A63" t="str">
            <v>10106116-8008K01LF</v>
          </cell>
          <cell r="B63"/>
          <cell r="C63"/>
          <cell r="D63"/>
          <cell r="E63"/>
          <cell r="F63"/>
          <cell r="G63">
            <v>3.5000000000000003E-2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>
            <v>3.3E-3</v>
          </cell>
        </row>
        <row r="64">
          <cell r="A64" t="str">
            <v>10106116-9000K01LF</v>
          </cell>
          <cell r="B64"/>
          <cell r="C64"/>
          <cell r="D64"/>
          <cell r="E64"/>
          <cell r="F64"/>
          <cell r="G64">
            <v>3.2000000000000001E-2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>
            <v>4.0000000000000001E-3</v>
          </cell>
        </row>
        <row r="65">
          <cell r="A65" t="str">
            <v>10106116-9003001LF</v>
          </cell>
          <cell r="B65"/>
          <cell r="C65"/>
          <cell r="D65"/>
          <cell r="E65"/>
          <cell r="F65"/>
          <cell r="G65">
            <v>3.7999999999999999E-2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>
            <v>3.3E-3</v>
          </cell>
        </row>
        <row r="66">
          <cell r="A66" t="str">
            <v>10106116-9003003LF</v>
          </cell>
          <cell r="B66"/>
          <cell r="C66"/>
          <cell r="D66"/>
          <cell r="E66"/>
          <cell r="F66"/>
          <cell r="G66">
            <v>3.7999999999999999E-2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>
            <v>3.0000000000000001E-3</v>
          </cell>
        </row>
        <row r="67">
          <cell r="A67" t="str">
            <v>10106116-A000001LF</v>
          </cell>
          <cell r="B67"/>
          <cell r="C67"/>
          <cell r="D67"/>
          <cell r="E67"/>
          <cell r="F67"/>
          <cell r="G67">
            <v>3.1E-2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>
            <v>6.1000000000000004E-3</v>
          </cell>
        </row>
        <row r="68">
          <cell r="A68" t="str">
            <v>10106116-A002401LF</v>
          </cell>
          <cell r="B68"/>
          <cell r="C68"/>
          <cell r="D68"/>
          <cell r="E68"/>
          <cell r="F68"/>
          <cell r="G68">
            <v>3.2000000000000001E-2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>
            <v>3.3E-3</v>
          </cell>
        </row>
        <row r="69">
          <cell r="A69" t="str">
            <v>10106116-A003K01LF</v>
          </cell>
          <cell r="B69"/>
          <cell r="C69"/>
          <cell r="D69"/>
          <cell r="E69"/>
          <cell r="F69"/>
          <cell r="G69">
            <v>0.03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>
            <v>3.0000000000000001E-3</v>
          </cell>
        </row>
        <row r="70">
          <cell r="A70" t="str">
            <v>10106116-A004K01LF</v>
          </cell>
          <cell r="B70"/>
          <cell r="C70"/>
          <cell r="D70"/>
          <cell r="E70"/>
          <cell r="F70"/>
          <cell r="G70">
            <v>4.1000000000000002E-2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>
            <v>4.0000000000000001E-3</v>
          </cell>
        </row>
        <row r="71">
          <cell r="A71" t="str">
            <v>10106116-A006K01LF</v>
          </cell>
          <cell r="B71"/>
          <cell r="C71"/>
          <cell r="D71"/>
          <cell r="E71"/>
          <cell r="F71"/>
          <cell r="G71">
            <v>3.1E-2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>
            <v>3.0000000000000001E-3</v>
          </cell>
        </row>
        <row r="72">
          <cell r="A72" t="str">
            <v>10106116-B000001LF</v>
          </cell>
          <cell r="B72"/>
          <cell r="C72"/>
          <cell r="D72"/>
          <cell r="E72"/>
          <cell r="F72"/>
          <cell r="G72">
            <v>3.5999999999999997E-2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>
            <v>6.1000000000000004E-3</v>
          </cell>
        </row>
        <row r="73">
          <cell r="A73" t="str">
            <v>10106116-B004001LF</v>
          </cell>
          <cell r="B73"/>
          <cell r="C73"/>
          <cell r="D73"/>
          <cell r="E73"/>
          <cell r="F73"/>
          <cell r="G73">
            <v>4.8000000000000001E-2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>
            <v>3.0000000000000001E-3</v>
          </cell>
        </row>
        <row r="74">
          <cell r="A74" t="str">
            <v>10106116-C009001LF</v>
          </cell>
          <cell r="B74"/>
          <cell r="C74"/>
          <cell r="D74"/>
          <cell r="E74"/>
          <cell r="F74"/>
          <cell r="G74">
            <v>4.2799999999999998E-2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>
            <v>3.3E-3</v>
          </cell>
        </row>
        <row r="75">
          <cell r="A75" t="str">
            <v>10106116-D000001LF</v>
          </cell>
          <cell r="B75"/>
          <cell r="C75"/>
          <cell r="D75"/>
          <cell r="E75"/>
          <cell r="F75"/>
          <cell r="G75">
            <v>3.5000000000000003E-2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>
            <v>6.1000000000000004E-3</v>
          </cell>
        </row>
        <row r="76">
          <cell r="A76" t="str">
            <v>10106116-L002001LF</v>
          </cell>
          <cell r="B76"/>
          <cell r="C76"/>
          <cell r="D76"/>
          <cell r="E76"/>
          <cell r="F76"/>
          <cell r="G76">
            <v>3.5000000000000003E-2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>
            <v>3.3E-3</v>
          </cell>
        </row>
        <row r="77">
          <cell r="A77" t="str">
            <v>10106117-5005001LF</v>
          </cell>
          <cell r="B77"/>
          <cell r="C77"/>
          <cell r="D77"/>
          <cell r="E77"/>
          <cell r="F77"/>
          <cell r="G77">
            <v>3.2000000000000001E-2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>
            <v>3.3E-3</v>
          </cell>
        </row>
        <row r="78">
          <cell r="A78" t="str">
            <v>10106117-7000001LF</v>
          </cell>
          <cell r="B78"/>
          <cell r="C78"/>
          <cell r="D78"/>
          <cell r="E78"/>
          <cell r="F78"/>
          <cell r="G78">
            <v>3.5000000000000003E-2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</row>
        <row r="79">
          <cell r="A79" t="str">
            <v>10106117-A009001LF</v>
          </cell>
          <cell r="B79"/>
          <cell r="C79"/>
          <cell r="D79"/>
          <cell r="E79"/>
          <cell r="F79"/>
          <cell r="G79">
            <v>9.8000000000000004E-2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>
            <v>0.01</v>
          </cell>
        </row>
        <row r="80">
          <cell r="A80" t="str">
            <v>10106118-6000K01LF</v>
          </cell>
          <cell r="B80"/>
          <cell r="C80"/>
          <cell r="D80"/>
          <cell r="E80"/>
          <cell r="F80"/>
          <cell r="G80">
            <v>2.8000000000000001E-2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>
            <v>4.0000000000000001E-3</v>
          </cell>
        </row>
        <row r="81">
          <cell r="A81" t="str">
            <v>10106122-3000001LF</v>
          </cell>
          <cell r="B81"/>
          <cell r="C81"/>
          <cell r="D81"/>
          <cell r="E81"/>
          <cell r="F81"/>
          <cell r="G81">
            <v>3.1E-2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>
            <v>6.1000000000000004E-3</v>
          </cell>
        </row>
        <row r="82">
          <cell r="A82" t="str">
            <v>10106122-3000K01LF</v>
          </cell>
          <cell r="B82"/>
          <cell r="C82"/>
          <cell r="D82"/>
          <cell r="E82"/>
          <cell r="F82"/>
          <cell r="G82">
            <v>1.7000000000000001E-2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>
            <v>3.0000000000000001E-3</v>
          </cell>
        </row>
        <row r="83">
          <cell r="A83" t="str">
            <v>10106122-3003K02LF</v>
          </cell>
          <cell r="B83"/>
          <cell r="C83"/>
          <cell r="D83"/>
          <cell r="E83"/>
          <cell r="F83"/>
          <cell r="G83">
            <v>3.1E-2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>
            <v>5.0000000000000001E-3</v>
          </cell>
        </row>
        <row r="84">
          <cell r="A84" t="str">
            <v>10106122-3006001LF</v>
          </cell>
          <cell r="B84"/>
          <cell r="C84"/>
          <cell r="D84"/>
          <cell r="E84"/>
          <cell r="F84"/>
          <cell r="G84">
            <v>2.5000000000000001E-2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>
            <v>6.7000000000000002E-3</v>
          </cell>
        </row>
        <row r="85">
          <cell r="A85" t="str">
            <v>10106122-4000401LF</v>
          </cell>
          <cell r="B85"/>
          <cell r="C85"/>
          <cell r="D85"/>
          <cell r="E85"/>
          <cell r="F85"/>
          <cell r="G85">
            <v>2.1000000000000001E-2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>
            <v>6.1000000000000004E-3</v>
          </cell>
        </row>
        <row r="86">
          <cell r="A86" t="str">
            <v>10106122-4003001LF</v>
          </cell>
          <cell r="B86"/>
          <cell r="C86"/>
          <cell r="D86"/>
          <cell r="E86"/>
          <cell r="F86"/>
          <cell r="G86">
            <v>3.5000000000000003E-2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>
            <v>3.3E-3</v>
          </cell>
        </row>
        <row r="87">
          <cell r="A87" t="str">
            <v>10106122-4003401LF</v>
          </cell>
          <cell r="B87"/>
          <cell r="C87"/>
          <cell r="D87"/>
          <cell r="E87"/>
          <cell r="F87"/>
          <cell r="G87">
            <v>2.1000000000000001E-2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>
            <v>3.3E-3</v>
          </cell>
        </row>
        <row r="88">
          <cell r="A88" t="str">
            <v>10106122-4003K01LF</v>
          </cell>
          <cell r="B88"/>
          <cell r="C88"/>
          <cell r="D88"/>
          <cell r="E88"/>
          <cell r="F88"/>
          <cell r="G88">
            <v>3.2000000000000001E-2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>
            <v>5.0000000000000001E-3</v>
          </cell>
        </row>
        <row r="89">
          <cell r="A89" t="str">
            <v>10106122-4008002LF</v>
          </cell>
          <cell r="B89"/>
          <cell r="C89"/>
          <cell r="D89"/>
          <cell r="E89"/>
          <cell r="F89"/>
          <cell r="G89">
            <v>3.1E-2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>
            <v>8.0000000000000002E-3</v>
          </cell>
        </row>
        <row r="90">
          <cell r="A90" t="str">
            <v>10106122-5000002LF</v>
          </cell>
          <cell r="B90"/>
          <cell r="C90"/>
          <cell r="D90"/>
          <cell r="E90"/>
          <cell r="F90"/>
          <cell r="G90">
            <v>0.03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>
            <v>6.1000000000000004E-3</v>
          </cell>
        </row>
        <row r="91">
          <cell r="A91" t="str">
            <v>10106122-5004001LF</v>
          </cell>
          <cell r="B91"/>
          <cell r="C91"/>
          <cell r="D91"/>
          <cell r="E91"/>
          <cell r="F91"/>
          <cell r="G91">
            <v>1.9875E-2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>
            <v>5.0000000000000001E-3</v>
          </cell>
        </row>
        <row r="92">
          <cell r="A92" t="str">
            <v>10106122-6000001LF</v>
          </cell>
          <cell r="B92"/>
          <cell r="C92"/>
          <cell r="D92"/>
          <cell r="E92"/>
          <cell r="F92"/>
          <cell r="G92">
            <v>2.7E-2</v>
          </cell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>
            <v>3.3E-3</v>
          </cell>
        </row>
        <row r="93">
          <cell r="A93" t="str">
            <v>10106122-6006K01LF</v>
          </cell>
          <cell r="B93"/>
          <cell r="C93"/>
          <cell r="D93"/>
          <cell r="E93"/>
          <cell r="F93"/>
          <cell r="G93">
            <v>2.7E-2</v>
          </cell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>
            <v>6.0000000000000001E-3</v>
          </cell>
        </row>
        <row r="94">
          <cell r="A94" t="str">
            <v>10106122-6008001LF</v>
          </cell>
          <cell r="B94"/>
          <cell r="C94"/>
          <cell r="D94"/>
          <cell r="E94"/>
          <cell r="F94"/>
          <cell r="G94">
            <v>2.9000000000000001E-2</v>
          </cell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>
            <v>8.5000000000000006E-3</v>
          </cell>
        </row>
        <row r="95">
          <cell r="A95" t="str">
            <v>10106122-8001K01LF</v>
          </cell>
          <cell r="B95"/>
          <cell r="C95"/>
          <cell r="D95"/>
          <cell r="E95"/>
          <cell r="F95"/>
          <cell r="G95">
            <v>3.2000000000000001E-2</v>
          </cell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>
            <v>3.0000000000000001E-3</v>
          </cell>
        </row>
        <row r="96">
          <cell r="A96" t="str">
            <v>10106122-8003401LF</v>
          </cell>
          <cell r="B96"/>
          <cell r="C96"/>
          <cell r="D96"/>
          <cell r="E96"/>
          <cell r="F96"/>
          <cell r="G96">
            <v>2.9000000000000001E-2</v>
          </cell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>
            <v>3.3E-3</v>
          </cell>
        </row>
        <row r="97">
          <cell r="A97" t="str">
            <v>10106122-8004002LF</v>
          </cell>
          <cell r="B97"/>
          <cell r="C97"/>
          <cell r="D97"/>
          <cell r="E97"/>
          <cell r="F97"/>
          <cell r="G97">
            <v>4.2000000000000003E-2</v>
          </cell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>
            <v>1.4E-2</v>
          </cell>
        </row>
        <row r="98">
          <cell r="A98" t="str">
            <v>10106122-8004401LF</v>
          </cell>
          <cell r="B98"/>
          <cell r="C98"/>
          <cell r="D98"/>
          <cell r="E98"/>
          <cell r="F98"/>
          <cell r="G98">
            <v>3.4000000000000002E-2</v>
          </cell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>
            <v>4.4000000000000003E-3</v>
          </cell>
        </row>
        <row r="99">
          <cell r="A99" t="str">
            <v>10106122-8008K01LF</v>
          </cell>
          <cell r="B99"/>
          <cell r="C99"/>
          <cell r="D99"/>
          <cell r="E99"/>
          <cell r="F99"/>
          <cell r="G99">
            <v>3.2000000000000001E-2</v>
          </cell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>
            <v>5.0000000000000001E-3</v>
          </cell>
        </row>
        <row r="100">
          <cell r="A100" t="str">
            <v>10106122-9003001LF</v>
          </cell>
          <cell r="B100"/>
          <cell r="C100"/>
          <cell r="D100"/>
          <cell r="E100"/>
          <cell r="F100"/>
          <cell r="G100">
            <v>0.03</v>
          </cell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>
            <v>5.0000000000000001E-3</v>
          </cell>
        </row>
        <row r="101">
          <cell r="A101" t="str">
            <v>10106122-A003K01LF</v>
          </cell>
          <cell r="B101"/>
          <cell r="C101"/>
          <cell r="D101"/>
          <cell r="E101"/>
          <cell r="F101"/>
          <cell r="G101">
            <v>2.8000000000000001E-2</v>
          </cell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>
            <v>4.0000000000000001E-3</v>
          </cell>
        </row>
        <row r="102">
          <cell r="A102" t="str">
            <v>10106122-A004K01LF</v>
          </cell>
          <cell r="B102"/>
          <cell r="C102"/>
          <cell r="D102"/>
          <cell r="E102"/>
          <cell r="F102"/>
          <cell r="G102">
            <v>3.5999999999999997E-2</v>
          </cell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>
            <v>5.0000000000000001E-3</v>
          </cell>
        </row>
        <row r="103">
          <cell r="A103" t="str">
            <v>10106122-A006K01LF</v>
          </cell>
          <cell r="B103"/>
          <cell r="C103"/>
          <cell r="D103"/>
          <cell r="E103"/>
          <cell r="F103"/>
          <cell r="G103">
            <v>2.8000000000000001E-2</v>
          </cell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>
            <v>5.0000000000000001E-3</v>
          </cell>
        </row>
        <row r="104">
          <cell r="A104" t="str">
            <v>10106122-C009001LF</v>
          </cell>
          <cell r="B104"/>
          <cell r="C104"/>
          <cell r="D104"/>
          <cell r="E104"/>
          <cell r="F104"/>
          <cell r="G104">
            <v>5.6000000000000001E-2</v>
          </cell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>
            <v>2.93E-2</v>
          </cell>
        </row>
        <row r="105">
          <cell r="A105" t="str">
            <v>10106123-2000001LF</v>
          </cell>
          <cell r="B105"/>
          <cell r="C105"/>
          <cell r="D105"/>
          <cell r="E105"/>
          <cell r="F105"/>
          <cell r="G105">
            <v>2.4E-2</v>
          </cell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>
            <v>3.0000000000000001E-3</v>
          </cell>
        </row>
        <row r="106">
          <cell r="A106" t="str">
            <v>10106123-3000001LF</v>
          </cell>
          <cell r="B106"/>
          <cell r="C106"/>
          <cell r="D106"/>
          <cell r="E106"/>
          <cell r="F106"/>
          <cell r="G106">
            <v>0.02</v>
          </cell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>
            <v>6.1000000000000004E-3</v>
          </cell>
        </row>
        <row r="107">
          <cell r="A107" t="str">
            <v>10106123-3000K02LF</v>
          </cell>
          <cell r="B107"/>
          <cell r="C107"/>
          <cell r="D107"/>
          <cell r="E107"/>
          <cell r="F107"/>
          <cell r="G107">
            <v>1.7999999999999999E-2</v>
          </cell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>
            <v>3.0000000000000001E-3</v>
          </cell>
        </row>
        <row r="108">
          <cell r="A108" t="str">
            <v>10106123-3002K01LF</v>
          </cell>
          <cell r="B108"/>
          <cell r="C108"/>
          <cell r="D108"/>
          <cell r="E108"/>
          <cell r="F108"/>
          <cell r="G108">
            <v>2.8000000000000001E-2</v>
          </cell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>
            <v>4.0000000000000001E-3</v>
          </cell>
        </row>
        <row r="109">
          <cell r="A109" t="str">
            <v>10106123-3003K01LF</v>
          </cell>
          <cell r="B109"/>
          <cell r="C109"/>
          <cell r="D109"/>
          <cell r="E109"/>
          <cell r="F109"/>
          <cell r="G109">
            <v>3.1E-2</v>
          </cell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>
            <v>5.0000000000000001E-3</v>
          </cell>
        </row>
        <row r="110">
          <cell r="A110" t="str">
            <v>10106123-3007K01LF</v>
          </cell>
          <cell r="B110"/>
          <cell r="C110"/>
          <cell r="D110"/>
          <cell r="E110"/>
          <cell r="F110"/>
          <cell r="G110">
            <v>2.8000000000000001E-2</v>
          </cell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>
            <v>7.0000000000000001E-3</v>
          </cell>
        </row>
        <row r="111">
          <cell r="A111" t="str">
            <v>10106123-4006001LF</v>
          </cell>
          <cell r="B111"/>
          <cell r="C111"/>
          <cell r="D111"/>
          <cell r="E111"/>
          <cell r="F111"/>
          <cell r="G111">
            <v>2.9000000000000001E-2</v>
          </cell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>
            <v>6.7000000000000002E-3</v>
          </cell>
        </row>
        <row r="112">
          <cell r="A112" t="str">
            <v>10106123-5000001LF</v>
          </cell>
          <cell r="B112"/>
          <cell r="C112"/>
          <cell r="D112"/>
          <cell r="E112"/>
          <cell r="F112"/>
          <cell r="G112">
            <v>2.9000000000000001E-2</v>
          </cell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>
            <v>6.1000000000000004E-3</v>
          </cell>
        </row>
        <row r="113">
          <cell r="A113" t="str">
            <v>10106123-500000ELF</v>
          </cell>
          <cell r="B113"/>
          <cell r="C113"/>
          <cell r="D113"/>
          <cell r="E113"/>
          <cell r="F113"/>
          <cell r="G113">
            <v>2.9000000000000001E-2</v>
          </cell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>
            <v>6.1000000000000004E-3</v>
          </cell>
        </row>
        <row r="114">
          <cell r="A114" t="str">
            <v>10106123-5003K01LF</v>
          </cell>
          <cell r="B114"/>
          <cell r="C114"/>
          <cell r="D114"/>
          <cell r="E114"/>
          <cell r="F114"/>
          <cell r="G114">
            <v>3.5000000000000003E-2</v>
          </cell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>
            <v>5.0000000000000001E-3</v>
          </cell>
        </row>
        <row r="115">
          <cell r="A115" t="str">
            <v>10106123-5004001LF</v>
          </cell>
          <cell r="B115"/>
          <cell r="C115"/>
          <cell r="D115"/>
          <cell r="E115"/>
          <cell r="F115"/>
          <cell r="G115">
            <v>2.7E-2</v>
          </cell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>
            <v>4.4000000000000003E-3</v>
          </cell>
        </row>
        <row r="116">
          <cell r="A116" t="str">
            <v>10106123-5005001LF</v>
          </cell>
          <cell r="B116"/>
          <cell r="C116"/>
          <cell r="D116"/>
          <cell r="E116"/>
          <cell r="F116"/>
          <cell r="G116">
            <v>3.7999999999999999E-2</v>
          </cell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>
            <v>1.7000000000000001E-2</v>
          </cell>
        </row>
        <row r="117">
          <cell r="A117" t="str">
            <v>10106123-5007K02LF</v>
          </cell>
          <cell r="B117"/>
          <cell r="C117"/>
          <cell r="D117"/>
          <cell r="E117"/>
          <cell r="F117"/>
          <cell r="G117">
            <v>3.2000000000000001E-2</v>
          </cell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>
            <v>7.0000000000000001E-3</v>
          </cell>
        </row>
        <row r="118">
          <cell r="A118" t="str">
            <v>10106123-6000K01LF</v>
          </cell>
          <cell r="B118"/>
          <cell r="C118"/>
          <cell r="D118"/>
          <cell r="E118"/>
          <cell r="F118"/>
          <cell r="G118">
            <v>1.7999999999999999E-2</v>
          </cell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>
            <v>3.0000000000000001E-3</v>
          </cell>
        </row>
        <row r="119">
          <cell r="A119" t="str">
            <v>10106123-7000001LF</v>
          </cell>
          <cell r="B119"/>
          <cell r="C119"/>
          <cell r="D119"/>
          <cell r="E119"/>
          <cell r="F119"/>
          <cell r="G119">
            <v>3.6999999999999998E-2</v>
          </cell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>
            <v>6.1000000000000004E-3</v>
          </cell>
        </row>
        <row r="120">
          <cell r="A120" t="str">
            <v>10106123-7000002LF</v>
          </cell>
          <cell r="B120"/>
          <cell r="C120"/>
          <cell r="D120"/>
          <cell r="E120"/>
          <cell r="F120"/>
          <cell r="G120">
            <v>2.8000000000000001E-2</v>
          </cell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>
            <v>4.0000000000000001E-3</v>
          </cell>
        </row>
        <row r="121">
          <cell r="A121" t="str">
            <v>10106123-8004001LF</v>
          </cell>
          <cell r="B121"/>
          <cell r="C121"/>
          <cell r="D121"/>
          <cell r="E121"/>
          <cell r="F121"/>
          <cell r="G121">
            <v>2.5000000000000001E-2</v>
          </cell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>
            <v>3.3E-3</v>
          </cell>
        </row>
        <row r="122">
          <cell r="A122" t="str">
            <v>10106123-8038001LF</v>
          </cell>
          <cell r="B122"/>
          <cell r="C122"/>
          <cell r="D122"/>
          <cell r="E122"/>
          <cell r="F122"/>
          <cell r="G122">
            <v>5.7000000000000002E-2</v>
          </cell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>
            <v>1.7999999999999999E-2</v>
          </cell>
        </row>
        <row r="123">
          <cell r="A123" t="str">
            <v>10106123-A009001LF</v>
          </cell>
          <cell r="B123"/>
          <cell r="C123"/>
          <cell r="D123"/>
          <cell r="E123"/>
          <cell r="F123"/>
          <cell r="G123">
            <v>5.0999999999999997E-2</v>
          </cell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>
            <v>3.4000000000000002E-2</v>
          </cell>
        </row>
        <row r="124">
          <cell r="A124" t="str">
            <v>10106124-2000001LF</v>
          </cell>
          <cell r="B124"/>
          <cell r="C124"/>
          <cell r="D124"/>
          <cell r="E124"/>
          <cell r="F124"/>
          <cell r="G124">
            <v>2.5000000000000001E-2</v>
          </cell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>
            <v>6.1000000000000004E-3</v>
          </cell>
        </row>
        <row r="125">
          <cell r="A125" t="str">
            <v>10106124-2000003LF</v>
          </cell>
          <cell r="B125"/>
          <cell r="C125"/>
          <cell r="D125"/>
          <cell r="E125"/>
          <cell r="F125"/>
          <cell r="G125">
            <v>2.1999999999999999E-2</v>
          </cell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>
            <v>6.1000000000000004E-3</v>
          </cell>
        </row>
        <row r="126">
          <cell r="A126" t="str">
            <v>10106124-2000006LF</v>
          </cell>
          <cell r="B126"/>
          <cell r="C126"/>
          <cell r="D126"/>
          <cell r="E126"/>
          <cell r="F126"/>
          <cell r="G126">
            <v>2.1000000000000001E-2</v>
          </cell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>
            <v>6.1000000000000004E-3</v>
          </cell>
        </row>
        <row r="127">
          <cell r="A127" t="str">
            <v>10106124-2001001LF</v>
          </cell>
          <cell r="B127"/>
          <cell r="C127"/>
          <cell r="D127"/>
          <cell r="E127"/>
          <cell r="F127"/>
          <cell r="G127">
            <v>3.1E-2</v>
          </cell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>
            <v>3.3E-3</v>
          </cell>
        </row>
        <row r="128">
          <cell r="A128" t="str">
            <v>10106124-2001401LF</v>
          </cell>
          <cell r="B128"/>
          <cell r="C128"/>
          <cell r="D128"/>
          <cell r="E128"/>
          <cell r="F128"/>
          <cell r="G128">
            <v>3.2000000000000001E-2</v>
          </cell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>
            <v>6.0000000000000001E-3</v>
          </cell>
        </row>
        <row r="129">
          <cell r="A129" t="str">
            <v>10106124-2002001LF</v>
          </cell>
          <cell r="B129"/>
          <cell r="C129"/>
          <cell r="D129"/>
          <cell r="E129"/>
          <cell r="F129"/>
          <cell r="G129">
            <v>2.7E-2</v>
          </cell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>
            <v>3.3E-3</v>
          </cell>
        </row>
        <row r="130">
          <cell r="A130" t="str">
            <v>10106124-2002003LF</v>
          </cell>
          <cell r="B130"/>
          <cell r="C130"/>
          <cell r="D130"/>
          <cell r="E130"/>
          <cell r="F130"/>
          <cell r="G130">
            <v>2.8000000000000001E-2</v>
          </cell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>
            <v>3.3E-3</v>
          </cell>
        </row>
        <row r="131">
          <cell r="A131" t="str">
            <v>10106124-2002K02LF</v>
          </cell>
          <cell r="B131"/>
          <cell r="C131"/>
          <cell r="D131"/>
          <cell r="E131"/>
          <cell r="F131"/>
          <cell r="G131">
            <v>2.7E-2</v>
          </cell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>
            <v>5.0000000000000001E-3</v>
          </cell>
        </row>
        <row r="132">
          <cell r="A132" t="str">
            <v>10106124-2003001LF</v>
          </cell>
          <cell r="B132"/>
          <cell r="C132"/>
          <cell r="D132"/>
          <cell r="E132"/>
          <cell r="F132"/>
          <cell r="G132">
            <v>3.9E-2</v>
          </cell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>
            <v>3.3E-3</v>
          </cell>
        </row>
        <row r="133">
          <cell r="A133" t="str">
            <v>10106124-2003006LF</v>
          </cell>
          <cell r="B133"/>
          <cell r="C133"/>
          <cell r="D133"/>
          <cell r="E133"/>
          <cell r="F133"/>
          <cell r="G133">
            <v>3.7999999999999999E-2</v>
          </cell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>
            <v>5.0000000000000001E-3</v>
          </cell>
        </row>
        <row r="134">
          <cell r="A134" t="str">
            <v>10106124-2003007LF</v>
          </cell>
          <cell r="B134"/>
          <cell r="C134"/>
          <cell r="D134"/>
          <cell r="E134"/>
          <cell r="F134"/>
          <cell r="G134">
            <v>3.5000000000000003E-2</v>
          </cell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>
            <v>5.0000000000000001E-3</v>
          </cell>
        </row>
        <row r="135">
          <cell r="A135" t="str">
            <v>10106124-2003404LF</v>
          </cell>
          <cell r="B135"/>
          <cell r="C135"/>
          <cell r="D135"/>
          <cell r="E135"/>
          <cell r="F135"/>
          <cell r="G135">
            <v>2.9000000000000001E-2</v>
          </cell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>
            <v>3.3E-3</v>
          </cell>
        </row>
        <row r="136">
          <cell r="A136" t="str">
            <v>10106124-2004001LF</v>
          </cell>
          <cell r="B136"/>
          <cell r="C136"/>
          <cell r="D136"/>
          <cell r="E136"/>
          <cell r="F136"/>
          <cell r="G136">
            <v>2.8000000000000001E-2</v>
          </cell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>
            <v>3.3E-3</v>
          </cell>
        </row>
        <row r="137">
          <cell r="A137" t="str">
            <v>10106124-2005001LF</v>
          </cell>
          <cell r="B137"/>
          <cell r="C137"/>
          <cell r="D137"/>
          <cell r="E137"/>
          <cell r="F137"/>
          <cell r="G137">
            <v>4.1000000000000002E-2</v>
          </cell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>
            <v>3.3E-3</v>
          </cell>
        </row>
        <row r="138">
          <cell r="A138" t="str">
            <v>10106124-2006001LF</v>
          </cell>
          <cell r="B138"/>
          <cell r="C138"/>
          <cell r="D138"/>
          <cell r="E138"/>
          <cell r="F138"/>
          <cell r="G138">
            <v>2.8000000000000001E-2</v>
          </cell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>
            <v>3.3E-3</v>
          </cell>
        </row>
        <row r="139">
          <cell r="A139" t="str">
            <v>10106124-2202001LF</v>
          </cell>
          <cell r="B139"/>
          <cell r="C139"/>
          <cell r="D139"/>
          <cell r="E139"/>
          <cell r="F139"/>
          <cell r="G139">
            <v>3.3418181999999998E-2</v>
          </cell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>
            <v>3.3999999999999998E-3</v>
          </cell>
        </row>
        <row r="140">
          <cell r="A140" t="str">
            <v>10106124-3000002LF</v>
          </cell>
          <cell r="B140"/>
          <cell r="C140"/>
          <cell r="D140"/>
          <cell r="E140"/>
          <cell r="F140"/>
          <cell r="G140">
            <v>0.03</v>
          </cell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>
            <v>6.1000000000000004E-3</v>
          </cell>
        </row>
        <row r="141">
          <cell r="A141" t="str">
            <v>10106124-4000001LF</v>
          </cell>
          <cell r="B141"/>
          <cell r="C141"/>
          <cell r="D141"/>
          <cell r="E141"/>
          <cell r="F141"/>
          <cell r="G141">
            <v>3.1E-2</v>
          </cell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>
            <v>6.1000000000000004E-3</v>
          </cell>
        </row>
        <row r="142">
          <cell r="A142" t="str">
            <v>10106124-4000002LF</v>
          </cell>
          <cell r="B142"/>
          <cell r="C142"/>
          <cell r="D142"/>
          <cell r="E142"/>
          <cell r="F142"/>
          <cell r="G142">
            <v>3.2000000000000001E-2</v>
          </cell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>
            <v>6.1000000000000004E-3</v>
          </cell>
        </row>
        <row r="143">
          <cell r="A143" t="str">
            <v>10106124-4001001LF</v>
          </cell>
          <cell r="B143"/>
          <cell r="C143"/>
          <cell r="D143"/>
          <cell r="E143"/>
          <cell r="F143"/>
          <cell r="G143">
            <v>3.5000000000000003E-2</v>
          </cell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>
            <v>3.3E-3</v>
          </cell>
        </row>
        <row r="144">
          <cell r="A144" t="str">
            <v>10106124-4001002LF</v>
          </cell>
          <cell r="B144"/>
          <cell r="C144"/>
          <cell r="D144"/>
          <cell r="E144"/>
          <cell r="F144"/>
          <cell r="G144">
            <v>3.2000000000000001E-2</v>
          </cell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>
            <v>3.3E-3</v>
          </cell>
        </row>
        <row r="145">
          <cell r="A145" t="str">
            <v>10106124-4002001LF</v>
          </cell>
          <cell r="B145"/>
          <cell r="C145"/>
          <cell r="D145"/>
          <cell r="E145"/>
          <cell r="F145"/>
          <cell r="G145">
            <v>4.5999999999999999E-2</v>
          </cell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>
            <v>3.3E-3</v>
          </cell>
        </row>
        <row r="146">
          <cell r="A146" t="str">
            <v>10106124-4002401LF</v>
          </cell>
          <cell r="B146"/>
          <cell r="C146"/>
          <cell r="D146"/>
          <cell r="E146"/>
          <cell r="F146"/>
          <cell r="G146">
            <v>3.1E-2</v>
          </cell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>
            <v>3.3E-3</v>
          </cell>
        </row>
        <row r="147">
          <cell r="A147" t="str">
            <v>10106124-4003K01LF</v>
          </cell>
          <cell r="B147"/>
          <cell r="C147"/>
          <cell r="D147"/>
          <cell r="E147"/>
          <cell r="F147"/>
          <cell r="G147">
            <v>3.2000000000000001E-2</v>
          </cell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>
            <v>3.3E-3</v>
          </cell>
        </row>
        <row r="148">
          <cell r="A148" t="str">
            <v>10106124-4004001LF</v>
          </cell>
          <cell r="B148"/>
          <cell r="C148"/>
          <cell r="D148"/>
          <cell r="E148"/>
          <cell r="F148"/>
          <cell r="G148">
            <v>1.5800000000000002E-2</v>
          </cell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>
            <v>2E-3</v>
          </cell>
        </row>
        <row r="149">
          <cell r="A149" t="str">
            <v>10106124-4004002LF</v>
          </cell>
          <cell r="B149"/>
          <cell r="C149"/>
          <cell r="D149"/>
          <cell r="E149"/>
          <cell r="F149"/>
          <cell r="G149">
            <v>4.4999999999999998E-2</v>
          </cell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>
            <v>3.3E-3</v>
          </cell>
        </row>
        <row r="150">
          <cell r="A150" t="str">
            <v>10106124-4004004LF</v>
          </cell>
          <cell r="B150"/>
          <cell r="C150"/>
          <cell r="D150"/>
          <cell r="E150"/>
          <cell r="F150"/>
          <cell r="G150">
            <v>1.7614999999999999E-2</v>
          </cell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>
            <v>3.0000000000000001E-3</v>
          </cell>
        </row>
        <row r="151">
          <cell r="A151" t="str">
            <v>10106124-4004006LF</v>
          </cell>
          <cell r="B151"/>
          <cell r="C151"/>
          <cell r="D151"/>
          <cell r="E151"/>
          <cell r="F151"/>
          <cell r="G151">
            <v>3.5999999999999997E-2</v>
          </cell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>
            <v>3.3E-3</v>
          </cell>
        </row>
        <row r="152">
          <cell r="A152" t="str">
            <v>10106124-4004K02LF</v>
          </cell>
          <cell r="B152"/>
          <cell r="C152"/>
          <cell r="D152"/>
          <cell r="E152"/>
          <cell r="F152"/>
          <cell r="G152">
            <v>3.7999999999999999E-2</v>
          </cell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>
            <v>4.0000000000000001E-3</v>
          </cell>
        </row>
        <row r="153">
          <cell r="A153" t="str">
            <v>10106124-4006001LF</v>
          </cell>
          <cell r="B153"/>
          <cell r="C153"/>
          <cell r="D153"/>
          <cell r="E153"/>
          <cell r="F153"/>
          <cell r="G153">
            <v>0.04</v>
          </cell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>
            <v>3.0000000000000001E-3</v>
          </cell>
        </row>
        <row r="154">
          <cell r="A154" t="str">
            <v>10106124-4006002LF</v>
          </cell>
          <cell r="B154"/>
          <cell r="C154"/>
          <cell r="D154"/>
          <cell r="E154"/>
          <cell r="F154"/>
          <cell r="G154">
            <v>2.2800000000000001E-2</v>
          </cell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>
            <v>3.3E-3</v>
          </cell>
        </row>
        <row r="155">
          <cell r="A155" t="str">
            <v>10106124-4006003LF</v>
          </cell>
          <cell r="B155"/>
          <cell r="C155"/>
          <cell r="D155"/>
          <cell r="E155"/>
          <cell r="F155"/>
          <cell r="G155">
            <v>3.7699999999999997E-2</v>
          </cell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>
            <v>3.3E-3</v>
          </cell>
        </row>
        <row r="156">
          <cell r="A156" t="str">
            <v>10106124-4006005LF</v>
          </cell>
          <cell r="B156"/>
          <cell r="C156"/>
          <cell r="D156"/>
          <cell r="E156"/>
          <cell r="F156"/>
          <cell r="G156">
            <v>2.7E-2</v>
          </cell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>
            <v>3.3E-3</v>
          </cell>
        </row>
        <row r="157">
          <cell r="A157" t="str">
            <v>10106124-4006007LF</v>
          </cell>
          <cell r="B157"/>
          <cell r="C157"/>
          <cell r="D157"/>
          <cell r="E157"/>
          <cell r="F157"/>
          <cell r="G157">
            <v>3.4000000000000002E-2</v>
          </cell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>
            <v>3.3E-3</v>
          </cell>
        </row>
        <row r="158">
          <cell r="A158" t="str">
            <v>10106124-4006008LF</v>
          </cell>
          <cell r="B158"/>
          <cell r="C158"/>
          <cell r="D158"/>
          <cell r="E158"/>
          <cell r="F158"/>
          <cell r="G158">
            <v>3.7999999999999999E-2</v>
          </cell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>
            <v>3.3E-3</v>
          </cell>
        </row>
        <row r="159">
          <cell r="A159" t="str">
            <v>10106124-4006009LF</v>
          </cell>
          <cell r="B159"/>
          <cell r="C159"/>
          <cell r="D159"/>
          <cell r="E159"/>
          <cell r="F159"/>
          <cell r="G159">
            <v>3.3000000000000002E-2</v>
          </cell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>
            <v>3.3E-3</v>
          </cell>
        </row>
        <row r="160">
          <cell r="A160" t="str">
            <v>10106124-4006010LF</v>
          </cell>
          <cell r="B160"/>
          <cell r="C160"/>
          <cell r="D160"/>
          <cell r="E160"/>
          <cell r="F160"/>
          <cell r="G160">
            <v>2.7400000000000001E-2</v>
          </cell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>
            <v>3.3E-3</v>
          </cell>
        </row>
        <row r="161">
          <cell r="A161" t="str">
            <v>10106124-4006012LF</v>
          </cell>
          <cell r="B161"/>
          <cell r="C161"/>
          <cell r="D161"/>
          <cell r="E161"/>
          <cell r="F161"/>
          <cell r="G161">
            <v>4.1000000000000002E-2</v>
          </cell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>
            <v>3.3E-3</v>
          </cell>
        </row>
        <row r="162">
          <cell r="A162" t="str">
            <v>10106124-4006013LF</v>
          </cell>
          <cell r="B162"/>
          <cell r="C162"/>
          <cell r="D162"/>
          <cell r="E162"/>
          <cell r="F162"/>
          <cell r="G162">
            <v>3.5000000000000003E-2</v>
          </cell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>
            <v>3.3E-3</v>
          </cell>
        </row>
        <row r="163">
          <cell r="A163" t="str">
            <v>10106124-4006015LF</v>
          </cell>
          <cell r="B163"/>
          <cell r="C163"/>
          <cell r="D163"/>
          <cell r="E163"/>
          <cell r="F163"/>
          <cell r="G163">
            <v>3.7999999999999999E-2</v>
          </cell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>
            <v>3.3E-3</v>
          </cell>
        </row>
        <row r="164">
          <cell r="A164" t="str">
            <v>10106124-4006016LF</v>
          </cell>
          <cell r="B164"/>
          <cell r="C164"/>
          <cell r="D164"/>
          <cell r="E164"/>
          <cell r="F164"/>
          <cell r="G164">
            <v>4.2000000000000003E-2</v>
          </cell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>
            <v>6.1000000000000004E-3</v>
          </cell>
        </row>
        <row r="165">
          <cell r="A165" t="str">
            <v>10106124-4006K01LF</v>
          </cell>
          <cell r="B165"/>
          <cell r="C165"/>
          <cell r="D165"/>
          <cell r="E165"/>
          <cell r="F165"/>
          <cell r="G165">
            <v>2.7E-2</v>
          </cell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>
            <v>3.0000000000000001E-3</v>
          </cell>
        </row>
        <row r="166">
          <cell r="A166" t="str">
            <v>10106124-4006K02LF</v>
          </cell>
          <cell r="B166"/>
          <cell r="C166"/>
          <cell r="D166"/>
          <cell r="E166"/>
          <cell r="F166"/>
          <cell r="G166">
            <v>2.8000000000000001E-2</v>
          </cell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>
            <v>3.3E-3</v>
          </cell>
        </row>
        <row r="167">
          <cell r="A167" t="str">
            <v>10106124-4008001LF</v>
          </cell>
          <cell r="B167"/>
          <cell r="C167"/>
          <cell r="D167"/>
          <cell r="E167"/>
          <cell r="F167"/>
          <cell r="G167">
            <v>3.7999999999999999E-2</v>
          </cell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>
            <v>3.3E-3</v>
          </cell>
        </row>
        <row r="168">
          <cell r="A168" t="str">
            <v>10106124-4009K01LF</v>
          </cell>
          <cell r="B168"/>
          <cell r="C168"/>
          <cell r="D168"/>
          <cell r="E168"/>
          <cell r="F168"/>
          <cell r="G168">
            <v>4.2000000000000003E-2</v>
          </cell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>
            <v>3.3E-3</v>
          </cell>
        </row>
        <row r="169">
          <cell r="A169" t="str">
            <v>10106124-4017002LF</v>
          </cell>
          <cell r="B169"/>
          <cell r="C169"/>
          <cell r="D169"/>
          <cell r="E169"/>
          <cell r="F169"/>
          <cell r="G169">
            <v>0.05</v>
          </cell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>
            <v>6.7000000000000002E-3</v>
          </cell>
        </row>
        <row r="170">
          <cell r="A170" t="str">
            <v>10106124-4403001LF</v>
          </cell>
          <cell r="B170"/>
          <cell r="C170"/>
          <cell r="D170"/>
          <cell r="E170"/>
          <cell r="F170"/>
          <cell r="G170">
            <v>4.4999999999999998E-2</v>
          </cell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>
            <v>3.0000000000000001E-3</v>
          </cell>
        </row>
        <row r="171">
          <cell r="A171" t="str">
            <v>10106124-5002K01LF</v>
          </cell>
          <cell r="B171"/>
          <cell r="C171"/>
          <cell r="D171"/>
          <cell r="E171"/>
          <cell r="F171"/>
          <cell r="G171">
            <v>2.7E-2</v>
          </cell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>
            <v>3.0000000000000001E-3</v>
          </cell>
        </row>
        <row r="172">
          <cell r="A172" t="str">
            <v>10106124-5003001LF</v>
          </cell>
          <cell r="B172"/>
          <cell r="C172"/>
          <cell r="D172"/>
          <cell r="E172"/>
          <cell r="F172"/>
          <cell r="G172">
            <v>3.2000000000000001E-2</v>
          </cell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>
            <v>3.3E-3</v>
          </cell>
        </row>
        <row r="173">
          <cell r="A173" t="str">
            <v>10106124-5004001LF</v>
          </cell>
          <cell r="B173"/>
          <cell r="C173"/>
          <cell r="D173"/>
          <cell r="E173"/>
          <cell r="F173"/>
          <cell r="G173">
            <v>3.6999999999999998E-2</v>
          </cell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>
            <v>3.3E-3</v>
          </cell>
        </row>
        <row r="174">
          <cell r="A174" t="str">
            <v>10106124-5004101LF</v>
          </cell>
          <cell r="B174"/>
          <cell r="C174"/>
          <cell r="D174"/>
          <cell r="E174"/>
          <cell r="F174"/>
          <cell r="G174">
            <v>3.6999999999999998E-2</v>
          </cell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>
            <v>3.3E-3</v>
          </cell>
        </row>
        <row r="175">
          <cell r="A175" t="str">
            <v>10106124-5005001LF</v>
          </cell>
          <cell r="B175"/>
          <cell r="C175"/>
          <cell r="D175"/>
          <cell r="E175"/>
          <cell r="F175"/>
          <cell r="G175">
            <v>3.1E-2</v>
          </cell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>
            <v>3.0000000000000001E-3</v>
          </cell>
        </row>
        <row r="176">
          <cell r="A176" t="str">
            <v>10106124-5005101LF</v>
          </cell>
          <cell r="B176"/>
          <cell r="C176"/>
          <cell r="D176"/>
          <cell r="E176"/>
          <cell r="F176"/>
          <cell r="G176">
            <v>4.8000000000000001E-2</v>
          </cell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>
            <v>3.3E-3</v>
          </cell>
        </row>
        <row r="177">
          <cell r="A177" t="str">
            <v>10106124-6000004LF</v>
          </cell>
          <cell r="B177"/>
          <cell r="C177"/>
          <cell r="D177"/>
          <cell r="E177"/>
          <cell r="F177"/>
          <cell r="G177">
            <v>3.2300000000000002E-2</v>
          </cell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>
            <v>6.1000000000000004E-3</v>
          </cell>
        </row>
        <row r="178">
          <cell r="A178" t="str">
            <v>10106124-6000A01LF</v>
          </cell>
          <cell r="B178"/>
          <cell r="C178"/>
          <cell r="D178"/>
          <cell r="E178"/>
          <cell r="F178"/>
          <cell r="G178">
            <v>3.2000000000000001E-2</v>
          </cell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>
            <v>6.1000000000000004E-3</v>
          </cell>
        </row>
        <row r="179">
          <cell r="A179" t="str">
            <v>10106124-6000A02LF</v>
          </cell>
          <cell r="B179"/>
          <cell r="C179"/>
          <cell r="D179"/>
          <cell r="E179"/>
          <cell r="F179"/>
          <cell r="G179">
            <v>2.5000000000000001E-2</v>
          </cell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>
            <v>6.1000000000000004E-3</v>
          </cell>
        </row>
        <row r="180">
          <cell r="A180" t="str">
            <v>10106124-6004001LF</v>
          </cell>
          <cell r="B180"/>
          <cell r="C180"/>
          <cell r="D180"/>
          <cell r="E180"/>
          <cell r="F180"/>
          <cell r="G180">
            <v>3.0300000000000001E-2</v>
          </cell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>
            <v>2E-3</v>
          </cell>
        </row>
        <row r="181">
          <cell r="A181" t="str">
            <v>10106124-6004002LF</v>
          </cell>
          <cell r="B181"/>
          <cell r="C181"/>
          <cell r="D181"/>
          <cell r="E181"/>
          <cell r="F181"/>
          <cell r="G181">
            <v>4.9000000000000002E-2</v>
          </cell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>
            <v>3.3E-3</v>
          </cell>
        </row>
        <row r="182">
          <cell r="A182" t="str">
            <v>10106124-6004K01LF</v>
          </cell>
          <cell r="B182"/>
          <cell r="C182"/>
          <cell r="D182"/>
          <cell r="E182"/>
          <cell r="F182"/>
          <cell r="G182">
            <v>2.9000000000000001E-2</v>
          </cell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>
            <v>4.0000000000000001E-3</v>
          </cell>
        </row>
        <row r="183">
          <cell r="A183" t="str">
            <v>10106124-6004K02LF</v>
          </cell>
          <cell r="B183"/>
          <cell r="C183"/>
          <cell r="D183"/>
          <cell r="E183"/>
          <cell r="F183"/>
          <cell r="G183">
            <v>3.7999999999999999E-2</v>
          </cell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>
            <v>4.0000000000000001E-3</v>
          </cell>
        </row>
        <row r="184">
          <cell r="A184" t="str">
            <v>10106124-6005003LF</v>
          </cell>
          <cell r="B184"/>
          <cell r="C184"/>
          <cell r="D184"/>
          <cell r="E184"/>
          <cell r="F184"/>
          <cell r="G184">
            <v>3.2000000000000001E-2</v>
          </cell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>
            <v>3.3E-3</v>
          </cell>
        </row>
        <row r="185">
          <cell r="A185" t="str">
            <v>10106124-6005A01LF</v>
          </cell>
          <cell r="B185"/>
          <cell r="C185"/>
          <cell r="D185"/>
          <cell r="E185"/>
          <cell r="F185"/>
          <cell r="G185">
            <v>3.5000000000000003E-2</v>
          </cell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>
            <v>3.3E-3</v>
          </cell>
        </row>
        <row r="186">
          <cell r="A186" t="str">
            <v>10106124-6006001LF</v>
          </cell>
          <cell r="B186"/>
          <cell r="C186"/>
          <cell r="D186"/>
          <cell r="E186"/>
          <cell r="F186"/>
          <cell r="G186">
            <v>3.5999999999999997E-2</v>
          </cell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>
            <v>2E-3</v>
          </cell>
        </row>
        <row r="187">
          <cell r="A187" t="str">
            <v>10106124-6006008LF</v>
          </cell>
          <cell r="B187"/>
          <cell r="C187"/>
          <cell r="D187"/>
          <cell r="E187"/>
          <cell r="F187"/>
          <cell r="G187">
            <v>5.0999999999999997E-2</v>
          </cell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>
            <v>3.3E-3</v>
          </cell>
        </row>
        <row r="188">
          <cell r="A188" t="str">
            <v>10106124-6006009LF</v>
          </cell>
          <cell r="B188"/>
          <cell r="C188"/>
          <cell r="D188"/>
          <cell r="E188"/>
          <cell r="F188"/>
          <cell r="G188">
            <v>3.2000000000000001E-2</v>
          </cell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>
            <v>3.3E-3</v>
          </cell>
        </row>
        <row r="189">
          <cell r="A189" t="str">
            <v>10106124-6006010LF</v>
          </cell>
          <cell r="B189"/>
          <cell r="C189"/>
          <cell r="D189"/>
          <cell r="E189"/>
          <cell r="F189"/>
          <cell r="G189">
            <v>3.7999999999999999E-2</v>
          </cell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>
            <v>3.3E-3</v>
          </cell>
        </row>
        <row r="190">
          <cell r="A190" t="str">
            <v>10106124-6006011LF</v>
          </cell>
          <cell r="B190"/>
          <cell r="C190"/>
          <cell r="D190"/>
          <cell r="E190"/>
          <cell r="F190"/>
          <cell r="G190">
            <v>2.9000000000000001E-2</v>
          </cell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>
            <v>1.0999999999999999E-2</v>
          </cell>
        </row>
        <row r="191">
          <cell r="A191" t="str">
            <v>10106124-6007001LF</v>
          </cell>
          <cell r="B191"/>
          <cell r="C191"/>
          <cell r="D191"/>
          <cell r="E191"/>
          <cell r="F191"/>
          <cell r="G191">
            <v>4.4999999999999998E-2</v>
          </cell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>
            <v>3.3E-3</v>
          </cell>
        </row>
        <row r="192">
          <cell r="A192" t="str">
            <v>10106124-6007A02LF</v>
          </cell>
          <cell r="B192"/>
          <cell r="C192"/>
          <cell r="D192"/>
          <cell r="E192"/>
          <cell r="F192"/>
          <cell r="G192">
            <v>3.7999999999999999E-2</v>
          </cell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>
            <v>3.3E-3</v>
          </cell>
        </row>
        <row r="193">
          <cell r="A193" t="str">
            <v>10106124-6008K01LF</v>
          </cell>
          <cell r="B193"/>
          <cell r="C193"/>
          <cell r="D193"/>
          <cell r="E193"/>
          <cell r="F193"/>
          <cell r="G193">
            <v>3.7999999999999999E-2</v>
          </cell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>
            <v>4.0000000000000001E-3</v>
          </cell>
        </row>
        <row r="194">
          <cell r="A194" t="str">
            <v>10106124-7000A01LF</v>
          </cell>
          <cell r="B194"/>
          <cell r="C194"/>
          <cell r="D194"/>
          <cell r="E194"/>
          <cell r="F194"/>
          <cell r="G194">
            <v>2.5000000000000001E-2</v>
          </cell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>
            <v>3.3E-3</v>
          </cell>
        </row>
        <row r="195">
          <cell r="A195" t="str">
            <v>10106124-7005001LF</v>
          </cell>
          <cell r="B195"/>
          <cell r="C195"/>
          <cell r="D195"/>
          <cell r="E195"/>
          <cell r="F195"/>
          <cell r="G195">
            <v>3.9E-2</v>
          </cell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>
            <v>3.0000000000000001E-3</v>
          </cell>
        </row>
        <row r="196">
          <cell r="A196" t="str">
            <v>10106124-7006001LF</v>
          </cell>
          <cell r="B196"/>
          <cell r="C196"/>
          <cell r="D196"/>
          <cell r="E196"/>
          <cell r="F196"/>
          <cell r="G196">
            <v>4.8000000000000001E-2</v>
          </cell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>
            <v>3.3E-3</v>
          </cell>
        </row>
        <row r="197">
          <cell r="A197" t="str">
            <v>10106124-7007001LF</v>
          </cell>
          <cell r="B197"/>
          <cell r="C197"/>
          <cell r="D197"/>
          <cell r="E197"/>
          <cell r="F197"/>
          <cell r="G197">
            <v>5.9685000000000002E-2</v>
          </cell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>
            <v>3.3E-3</v>
          </cell>
        </row>
        <row r="198">
          <cell r="A198" t="str">
            <v>10106124-8000001LF</v>
          </cell>
          <cell r="B198"/>
          <cell r="C198"/>
          <cell r="D198"/>
          <cell r="E198"/>
          <cell r="F198"/>
          <cell r="G198">
            <v>2.8000000000000001E-2</v>
          </cell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>
            <v>6.1000000000000004E-3</v>
          </cell>
        </row>
        <row r="199">
          <cell r="A199" t="str">
            <v>10106124-8000403LF</v>
          </cell>
          <cell r="B199"/>
          <cell r="C199"/>
          <cell r="D199"/>
          <cell r="E199"/>
          <cell r="F199"/>
          <cell r="G199">
            <v>2.7E-2</v>
          </cell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>
            <v>6.1000000000000004E-3</v>
          </cell>
        </row>
        <row r="200">
          <cell r="A200" t="str">
            <v>10106124-8000K01LF</v>
          </cell>
          <cell r="B200"/>
          <cell r="C200"/>
          <cell r="D200"/>
          <cell r="E200"/>
          <cell r="F200"/>
          <cell r="G200">
            <v>2.8000000000000001E-2</v>
          </cell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>
            <v>4.0000000000000001E-3</v>
          </cell>
        </row>
        <row r="201">
          <cell r="A201" t="str">
            <v>10106124-8002001LF</v>
          </cell>
          <cell r="B201"/>
          <cell r="C201"/>
          <cell r="D201"/>
          <cell r="E201"/>
          <cell r="F201"/>
          <cell r="G201">
            <v>4.3999999999999997E-2</v>
          </cell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>
            <v>3.3E-3</v>
          </cell>
        </row>
        <row r="202">
          <cell r="A202" t="str">
            <v>10106124-8004001LF</v>
          </cell>
          <cell r="B202"/>
          <cell r="C202"/>
          <cell r="D202"/>
          <cell r="E202"/>
          <cell r="F202"/>
          <cell r="G202">
            <v>0.05</v>
          </cell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>
            <v>3.0000000000000001E-3</v>
          </cell>
        </row>
        <row r="203">
          <cell r="A203" t="str">
            <v>10106124-8004002LF</v>
          </cell>
          <cell r="B203"/>
          <cell r="C203"/>
          <cell r="D203"/>
          <cell r="E203"/>
          <cell r="F203"/>
          <cell r="G203">
            <v>4.4999999999999998E-2</v>
          </cell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>
            <v>3.3E-3</v>
          </cell>
        </row>
        <row r="204">
          <cell r="A204" t="str">
            <v>10106124-8004004LF</v>
          </cell>
          <cell r="B204"/>
          <cell r="C204"/>
          <cell r="D204"/>
          <cell r="E204"/>
          <cell r="F204"/>
          <cell r="G204">
            <v>4.2000000000000003E-2</v>
          </cell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>
            <v>3.3E-3</v>
          </cell>
        </row>
        <row r="205">
          <cell r="A205" t="str">
            <v>10106124-8004005LF</v>
          </cell>
          <cell r="B205"/>
          <cell r="C205"/>
          <cell r="D205"/>
          <cell r="E205"/>
          <cell r="F205"/>
          <cell r="G205">
            <v>3.7999999999999999E-2</v>
          </cell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>
            <v>3.3E-3</v>
          </cell>
        </row>
        <row r="206">
          <cell r="A206" t="str">
            <v>10106124-8004A01LF</v>
          </cell>
          <cell r="B206"/>
          <cell r="C206"/>
          <cell r="D206"/>
          <cell r="E206"/>
          <cell r="F206"/>
          <cell r="G206">
            <v>4.7E-2</v>
          </cell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>
            <v>3.3E-3</v>
          </cell>
        </row>
        <row r="207">
          <cell r="A207" t="str">
            <v>10106124-8005001LF</v>
          </cell>
          <cell r="B207"/>
          <cell r="C207"/>
          <cell r="D207"/>
          <cell r="E207"/>
          <cell r="F207"/>
          <cell r="G207">
            <v>4.4999999999999998E-2</v>
          </cell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>
            <v>3.0000000000000001E-3</v>
          </cell>
        </row>
        <row r="208">
          <cell r="A208" t="str">
            <v>10106124-8005003LF</v>
          </cell>
          <cell r="B208"/>
          <cell r="C208"/>
          <cell r="D208"/>
          <cell r="E208"/>
          <cell r="F208"/>
          <cell r="G208">
            <v>1.3086E-2</v>
          </cell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>
            <v>2.1810000000000002E-3</v>
          </cell>
        </row>
        <row r="209">
          <cell r="A209" t="str">
            <v>10106124-8005K01LF</v>
          </cell>
          <cell r="B209"/>
          <cell r="C209"/>
          <cell r="D209"/>
          <cell r="E209"/>
          <cell r="F209"/>
          <cell r="G209">
            <v>1.7999999999999999E-2</v>
          </cell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>
            <v>3.0000000000000001E-3</v>
          </cell>
        </row>
        <row r="210">
          <cell r="A210" t="str">
            <v>10106124-8006002LF</v>
          </cell>
          <cell r="B210"/>
          <cell r="C210"/>
          <cell r="D210"/>
          <cell r="E210"/>
          <cell r="F210"/>
          <cell r="G210">
            <v>4.9000000000000002E-2</v>
          </cell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>
            <v>3.3E-3</v>
          </cell>
        </row>
        <row r="211">
          <cell r="A211" t="str">
            <v>10106124-8006003LF</v>
          </cell>
          <cell r="B211"/>
          <cell r="C211"/>
          <cell r="D211"/>
          <cell r="E211"/>
          <cell r="F211"/>
          <cell r="G211">
            <v>4.4999999999999998E-2</v>
          </cell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>
            <v>3.3E-3</v>
          </cell>
        </row>
        <row r="212">
          <cell r="A212" t="str">
            <v>10106124-8006005LF</v>
          </cell>
          <cell r="B212"/>
          <cell r="C212"/>
          <cell r="D212"/>
          <cell r="E212"/>
          <cell r="F212"/>
          <cell r="G212">
            <v>5.6000000000000001E-2</v>
          </cell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>
            <v>3.3E-3</v>
          </cell>
        </row>
        <row r="213">
          <cell r="A213" t="str">
            <v>10106124-8006006LF</v>
          </cell>
          <cell r="B213"/>
          <cell r="C213"/>
          <cell r="D213"/>
          <cell r="E213"/>
          <cell r="F213"/>
          <cell r="G213">
            <v>4.2000000000000003E-2</v>
          </cell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>
            <v>3.3E-3</v>
          </cell>
        </row>
        <row r="214">
          <cell r="A214" t="str">
            <v>10106124-8006007LF</v>
          </cell>
          <cell r="B214"/>
          <cell r="C214"/>
          <cell r="D214"/>
          <cell r="E214"/>
          <cell r="F214"/>
          <cell r="G214">
            <v>5.0999999999999997E-2</v>
          </cell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>
            <v>3.3E-3</v>
          </cell>
        </row>
        <row r="215">
          <cell r="A215" t="str">
            <v>10106124-8007001LF</v>
          </cell>
          <cell r="B215"/>
          <cell r="C215"/>
          <cell r="D215"/>
          <cell r="E215"/>
          <cell r="F215"/>
          <cell r="G215">
            <v>3.5000000000000003E-2</v>
          </cell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>
            <v>3.3E-3</v>
          </cell>
        </row>
        <row r="216">
          <cell r="A216" t="str">
            <v>10106124-8008001LF</v>
          </cell>
          <cell r="B216"/>
          <cell r="C216"/>
          <cell r="D216"/>
          <cell r="E216"/>
          <cell r="F216"/>
          <cell r="G216">
            <v>5.0999999999999997E-2</v>
          </cell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>
            <v>3.3E-3</v>
          </cell>
        </row>
        <row r="217">
          <cell r="A217" t="str">
            <v>10106124-9000001LF</v>
          </cell>
          <cell r="B217"/>
          <cell r="C217"/>
          <cell r="D217"/>
          <cell r="E217"/>
          <cell r="F217"/>
          <cell r="G217">
            <v>3.4000000000000002E-2</v>
          </cell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>
            <v>6.1000000000000004E-3</v>
          </cell>
        </row>
        <row r="218">
          <cell r="A218" t="str">
            <v>10106124-9000002LF</v>
          </cell>
          <cell r="B218"/>
          <cell r="C218"/>
          <cell r="D218"/>
          <cell r="E218"/>
          <cell r="F218"/>
          <cell r="G218">
            <v>1.9444400000000001E-2</v>
          </cell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>
            <v>3.3333E-3</v>
          </cell>
        </row>
        <row r="219">
          <cell r="A219" t="str">
            <v>10106124-9002001LF</v>
          </cell>
          <cell r="B219"/>
          <cell r="C219"/>
          <cell r="D219"/>
          <cell r="E219"/>
          <cell r="F219"/>
          <cell r="G219">
            <v>3.5000000000000003E-2</v>
          </cell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>
            <v>2.2000000000000001E-3</v>
          </cell>
        </row>
        <row r="220">
          <cell r="A220" t="str">
            <v>10106124-9014001LF</v>
          </cell>
          <cell r="B220"/>
          <cell r="C220"/>
          <cell r="D220"/>
          <cell r="E220"/>
          <cell r="F220"/>
          <cell r="G220">
            <v>4.2000000000000003E-2</v>
          </cell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>
            <v>5.0000000000000001E-3</v>
          </cell>
        </row>
        <row r="221">
          <cell r="A221" t="str">
            <v>10106124-9014002LF</v>
          </cell>
          <cell r="B221"/>
          <cell r="C221"/>
          <cell r="D221"/>
          <cell r="E221"/>
          <cell r="F221"/>
          <cell r="G221">
            <v>4.2000000000000003E-2</v>
          </cell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>
            <v>7.0000000000000001E-3</v>
          </cell>
        </row>
        <row r="222">
          <cell r="A222" t="str">
            <v>10106124-A000001LF</v>
          </cell>
          <cell r="B222"/>
          <cell r="C222"/>
          <cell r="D222"/>
          <cell r="E222"/>
          <cell r="F222"/>
          <cell r="G222">
            <v>3.9E-2</v>
          </cell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>
            <v>6.1000000000000004E-3</v>
          </cell>
        </row>
        <row r="223">
          <cell r="A223" t="str">
            <v>10106124-A000501LF</v>
          </cell>
          <cell r="B223"/>
          <cell r="C223"/>
          <cell r="D223"/>
          <cell r="E223"/>
          <cell r="F223"/>
          <cell r="G223">
            <v>1.9800000000000002E-2</v>
          </cell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>
            <v>6.1000000000000004E-3</v>
          </cell>
        </row>
        <row r="224">
          <cell r="A224" t="str">
            <v>10106124-A004001LF</v>
          </cell>
          <cell r="B224"/>
          <cell r="C224"/>
          <cell r="D224"/>
          <cell r="E224"/>
          <cell r="F224"/>
          <cell r="G224">
            <v>3.4000000000000002E-2</v>
          </cell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>
            <v>2E-3</v>
          </cell>
        </row>
        <row r="225">
          <cell r="A225" t="str">
            <v>10106124-A004003LF</v>
          </cell>
          <cell r="B225"/>
          <cell r="C225"/>
          <cell r="D225"/>
          <cell r="E225"/>
          <cell r="F225"/>
          <cell r="G225">
            <v>4.1000000000000002E-2</v>
          </cell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>
            <v>3.3E-3</v>
          </cell>
        </row>
        <row r="226">
          <cell r="A226" t="str">
            <v>10106124-A004101LF</v>
          </cell>
          <cell r="B226"/>
          <cell r="C226"/>
          <cell r="D226"/>
          <cell r="E226"/>
          <cell r="F226"/>
          <cell r="G226">
            <v>4.4999999999999998E-2</v>
          </cell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>
            <v>3.3E-3</v>
          </cell>
        </row>
        <row r="227">
          <cell r="A227" t="str">
            <v>10106124-A006002LF</v>
          </cell>
          <cell r="B227"/>
          <cell r="C227"/>
          <cell r="D227"/>
          <cell r="E227"/>
          <cell r="F227"/>
          <cell r="G227">
            <v>4.4999999999999998E-2</v>
          </cell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>
            <v>3.3E-3</v>
          </cell>
        </row>
        <row r="228">
          <cell r="A228" t="str">
            <v>10106124-A908001LF</v>
          </cell>
          <cell r="B228"/>
          <cell r="C228"/>
          <cell r="D228"/>
          <cell r="E228"/>
          <cell r="F228"/>
          <cell r="G228">
            <v>6.8000000000000005E-2</v>
          </cell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>
            <v>6.7000000000000002E-3</v>
          </cell>
        </row>
        <row r="229">
          <cell r="A229" t="str">
            <v>10106124-B002K01LF</v>
          </cell>
          <cell r="B229"/>
          <cell r="C229"/>
          <cell r="D229"/>
          <cell r="E229"/>
          <cell r="F229"/>
          <cell r="G229">
            <v>3.5000000000000003E-2</v>
          </cell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>
            <v>3.3E-3</v>
          </cell>
        </row>
        <row r="230">
          <cell r="A230" t="str">
            <v>10106124-B006001LF</v>
          </cell>
          <cell r="B230"/>
          <cell r="C230"/>
          <cell r="D230"/>
          <cell r="E230"/>
          <cell r="F230"/>
          <cell r="G230">
            <v>4.7E-2</v>
          </cell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>
            <v>3.3E-3</v>
          </cell>
        </row>
        <row r="231">
          <cell r="A231" t="str">
            <v>10106124-C004001LF</v>
          </cell>
          <cell r="B231"/>
          <cell r="C231"/>
          <cell r="D231"/>
          <cell r="E231"/>
          <cell r="F231"/>
          <cell r="G231">
            <v>3.5000000000000003E-2</v>
          </cell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>
            <v>2E-3</v>
          </cell>
        </row>
        <row r="232">
          <cell r="A232" t="str">
            <v>10106124-C006001LF</v>
          </cell>
          <cell r="B232"/>
          <cell r="C232"/>
          <cell r="D232"/>
          <cell r="E232"/>
          <cell r="F232"/>
          <cell r="G232">
            <v>4.7335000000000002E-2</v>
          </cell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>
            <v>3.3E-3</v>
          </cell>
        </row>
        <row r="233">
          <cell r="A233" t="str">
            <v>10106124-C012001LF</v>
          </cell>
          <cell r="B233"/>
          <cell r="C233"/>
          <cell r="D233"/>
          <cell r="E233"/>
          <cell r="F233"/>
          <cell r="G233">
            <v>5.5E-2</v>
          </cell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>
            <v>3.3000000000000002E-2</v>
          </cell>
        </row>
        <row r="234">
          <cell r="A234" t="str">
            <v>10106124-E000K01LF</v>
          </cell>
          <cell r="B234"/>
          <cell r="C234"/>
          <cell r="D234"/>
          <cell r="E234"/>
          <cell r="F234"/>
          <cell r="G234">
            <v>3.2000000000000001E-2</v>
          </cell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>
            <v>5.0000000000000001E-3</v>
          </cell>
        </row>
        <row r="235">
          <cell r="A235" t="str">
            <v>10106124-E006001LF</v>
          </cell>
          <cell r="B235"/>
          <cell r="C235"/>
          <cell r="D235"/>
          <cell r="E235"/>
          <cell r="F235"/>
          <cell r="G235">
            <v>0.06</v>
          </cell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>
            <v>3.3E-3</v>
          </cell>
        </row>
        <row r="236">
          <cell r="A236" t="str">
            <v>10106124-E008001LF</v>
          </cell>
          <cell r="B236"/>
          <cell r="C236"/>
          <cell r="D236"/>
          <cell r="E236"/>
          <cell r="F236"/>
          <cell r="G236">
            <v>1.7999999999999999E-2</v>
          </cell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>
            <v>2E-3</v>
          </cell>
        </row>
        <row r="237">
          <cell r="A237" t="str">
            <v>10106124-E012001LF</v>
          </cell>
          <cell r="B237"/>
          <cell r="C237"/>
          <cell r="D237"/>
          <cell r="E237"/>
          <cell r="F237"/>
          <cell r="G237">
            <v>5.3999999999999999E-2</v>
          </cell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>
            <v>5.0000000000000001E-3</v>
          </cell>
        </row>
        <row r="238">
          <cell r="A238" t="str">
            <v>10106124-F005K01LF</v>
          </cell>
          <cell r="B238"/>
          <cell r="C238"/>
          <cell r="D238"/>
          <cell r="E238"/>
          <cell r="F238"/>
          <cell r="G238">
            <v>3.5000000000000003E-2</v>
          </cell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>
            <v>3.0000000000000001E-3</v>
          </cell>
        </row>
        <row r="239">
          <cell r="A239" t="str">
            <v>10106124-F006001LF</v>
          </cell>
          <cell r="B239"/>
          <cell r="C239"/>
          <cell r="D239"/>
          <cell r="E239"/>
          <cell r="F239"/>
          <cell r="G239">
            <v>5.3999999999999999E-2</v>
          </cell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>
            <v>3.3E-3</v>
          </cell>
        </row>
        <row r="240">
          <cell r="A240" t="str">
            <v>10106124-F006002LF</v>
          </cell>
          <cell r="B240"/>
          <cell r="C240"/>
          <cell r="D240"/>
          <cell r="E240"/>
          <cell r="F240"/>
          <cell r="G240">
            <v>5.1999999999999998E-2</v>
          </cell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>
            <v>3.3E-3</v>
          </cell>
        </row>
        <row r="241">
          <cell r="A241" t="str">
            <v>10106124-G003001LF</v>
          </cell>
          <cell r="B241"/>
          <cell r="C241"/>
          <cell r="D241"/>
          <cell r="E241"/>
          <cell r="F241"/>
          <cell r="G241">
            <v>2.9600000000000001E-2</v>
          </cell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>
            <v>3.3E-3</v>
          </cell>
        </row>
        <row r="242">
          <cell r="A242" t="str">
            <v>10106124-G003002LF</v>
          </cell>
          <cell r="B242"/>
          <cell r="C242"/>
          <cell r="D242"/>
          <cell r="E242"/>
          <cell r="F242"/>
          <cell r="G242">
            <v>3.1600000000000003E-2</v>
          </cell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>
            <v>3.3E-3</v>
          </cell>
        </row>
        <row r="243">
          <cell r="A243" t="str">
            <v>10106125-2004001LF</v>
          </cell>
          <cell r="B243"/>
          <cell r="C243"/>
          <cell r="D243"/>
          <cell r="E243"/>
          <cell r="F243"/>
          <cell r="G243">
            <v>3.7999999999999999E-2</v>
          </cell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>
            <v>3.3E-3</v>
          </cell>
        </row>
        <row r="244">
          <cell r="A244" t="str">
            <v>10106125-4000003LF</v>
          </cell>
          <cell r="B244"/>
          <cell r="C244"/>
          <cell r="D244"/>
          <cell r="E244"/>
          <cell r="F244"/>
          <cell r="G244">
            <v>2.5000000000000001E-2</v>
          </cell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</row>
        <row r="245">
          <cell r="A245" t="str">
            <v>10106125-4006002LF</v>
          </cell>
          <cell r="B245"/>
          <cell r="C245"/>
          <cell r="D245"/>
          <cell r="E245"/>
          <cell r="F245"/>
          <cell r="G245">
            <v>4.5999999999999999E-2</v>
          </cell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>
            <v>3.3E-3</v>
          </cell>
        </row>
        <row r="246">
          <cell r="A246" t="str">
            <v>10106125-4006004LF</v>
          </cell>
          <cell r="B246"/>
          <cell r="C246"/>
          <cell r="D246"/>
          <cell r="E246"/>
          <cell r="F246"/>
          <cell r="G246">
            <v>2.9000000000000001E-2</v>
          </cell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>
            <v>3.3E-3</v>
          </cell>
        </row>
        <row r="247">
          <cell r="A247" t="str">
            <v>10106125-8000002LF</v>
          </cell>
          <cell r="B247"/>
          <cell r="C247"/>
          <cell r="D247"/>
          <cell r="E247"/>
          <cell r="F247"/>
          <cell r="G247">
            <v>3.5999999999999997E-2</v>
          </cell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</row>
        <row r="248">
          <cell r="A248" t="str">
            <v>10106125-8004001LF</v>
          </cell>
          <cell r="B248"/>
          <cell r="C248"/>
          <cell r="D248"/>
          <cell r="E248"/>
          <cell r="F248"/>
          <cell r="G248">
            <v>2.6624999999999999E-2</v>
          </cell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>
            <v>3.3E-3</v>
          </cell>
        </row>
        <row r="249">
          <cell r="A249" t="str">
            <v>10106125-8015001LF</v>
          </cell>
          <cell r="B249"/>
          <cell r="C249"/>
          <cell r="D249"/>
          <cell r="E249"/>
          <cell r="F249"/>
          <cell r="G249">
            <v>8.6999999999999994E-2</v>
          </cell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>
            <v>1.2E-2</v>
          </cell>
        </row>
        <row r="250">
          <cell r="A250" t="str">
            <v>10106125-C812101LF</v>
          </cell>
          <cell r="B250"/>
          <cell r="C250"/>
          <cell r="D250"/>
          <cell r="E250"/>
          <cell r="F250"/>
          <cell r="G250">
            <v>5.0634999999999999E-2</v>
          </cell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</row>
        <row r="251">
          <cell r="A251" t="str">
            <v>10106125-G018001LF</v>
          </cell>
          <cell r="B251"/>
          <cell r="C251"/>
          <cell r="D251"/>
          <cell r="E251"/>
          <cell r="F251"/>
          <cell r="G251">
            <v>6.5000000000000002E-2</v>
          </cell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>
            <v>3.3E-3</v>
          </cell>
        </row>
        <row r="252">
          <cell r="A252" t="str">
            <v>10106126-8000K01LF</v>
          </cell>
          <cell r="B252"/>
          <cell r="C252"/>
          <cell r="D252"/>
          <cell r="E252"/>
          <cell r="F252"/>
          <cell r="G252">
            <v>2.8000000000000001E-2</v>
          </cell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>
            <v>4.0000000000000001E-3</v>
          </cell>
        </row>
        <row r="253">
          <cell r="A253" t="str">
            <v>10106126-E000K01LF</v>
          </cell>
          <cell r="B253"/>
          <cell r="C253"/>
          <cell r="D253"/>
          <cell r="E253"/>
          <cell r="F253"/>
          <cell r="G253">
            <v>3.2000000000000001E-2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>
            <v>5.0000000000000001E-3</v>
          </cell>
        </row>
        <row r="254">
          <cell r="A254" t="str">
            <v>10106130-2000001LF</v>
          </cell>
          <cell r="B254"/>
          <cell r="C254"/>
          <cell r="D254"/>
          <cell r="E254"/>
          <cell r="F254"/>
          <cell r="G254">
            <v>1.9E-2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>
            <v>6.1000000000000004E-3</v>
          </cell>
        </row>
        <row r="255">
          <cell r="A255" t="str">
            <v>10106130-2001001LF</v>
          </cell>
          <cell r="B255"/>
          <cell r="C255"/>
          <cell r="D255"/>
          <cell r="E255"/>
          <cell r="F255"/>
          <cell r="G255">
            <v>1.67E-2</v>
          </cell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>
            <v>3.3E-3</v>
          </cell>
        </row>
        <row r="256">
          <cell r="A256" t="str">
            <v>10106130-2002001LF</v>
          </cell>
          <cell r="B256"/>
          <cell r="C256"/>
          <cell r="D256"/>
          <cell r="E256"/>
          <cell r="F256"/>
          <cell r="G256">
            <v>2.1999999999999999E-2</v>
          </cell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>
            <v>2.2000000000000001E-3</v>
          </cell>
        </row>
        <row r="257">
          <cell r="A257" t="str">
            <v>10106130-2003001LF</v>
          </cell>
          <cell r="B257"/>
          <cell r="C257"/>
          <cell r="D257"/>
          <cell r="E257"/>
          <cell r="F257"/>
          <cell r="G257">
            <v>3.2000000000000001E-2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>
            <v>3.3E-3</v>
          </cell>
        </row>
        <row r="258">
          <cell r="A258" t="str">
            <v>10106130-2004001LF</v>
          </cell>
          <cell r="B258"/>
          <cell r="C258"/>
          <cell r="D258"/>
          <cell r="E258"/>
          <cell r="F258"/>
          <cell r="G258">
            <v>2.1999999999999999E-2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>
            <v>3.3E-3</v>
          </cell>
        </row>
        <row r="259">
          <cell r="A259" t="str">
            <v>10106130-2005001LF</v>
          </cell>
          <cell r="B259"/>
          <cell r="C259"/>
          <cell r="D259"/>
          <cell r="E259"/>
          <cell r="F259"/>
          <cell r="G259">
            <v>2.3E-2</v>
          </cell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>
            <v>6.7000000000000002E-3</v>
          </cell>
        </row>
        <row r="260">
          <cell r="A260" t="str">
            <v>10106130-3002001LF</v>
          </cell>
          <cell r="B260"/>
          <cell r="C260"/>
          <cell r="D260"/>
          <cell r="E260"/>
          <cell r="F260"/>
          <cell r="G260">
            <v>1.7885000000000002E-2</v>
          </cell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>
            <v>3.3E-3</v>
          </cell>
        </row>
        <row r="261">
          <cell r="A261" t="str">
            <v>10106130-4000K01LF</v>
          </cell>
          <cell r="B261"/>
          <cell r="C261"/>
          <cell r="D261"/>
          <cell r="E261"/>
          <cell r="F261"/>
          <cell r="G261">
            <v>2.3E-2</v>
          </cell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>
            <v>3.0000000000000001E-3</v>
          </cell>
        </row>
        <row r="262">
          <cell r="A262" t="str">
            <v>10106130-4001001LF</v>
          </cell>
          <cell r="B262"/>
          <cell r="C262"/>
          <cell r="D262"/>
          <cell r="E262"/>
          <cell r="F262"/>
          <cell r="G262">
            <v>2.1000000000000001E-2</v>
          </cell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>
            <v>3.0000000000000001E-3</v>
          </cell>
        </row>
        <row r="263">
          <cell r="A263" t="str">
            <v>10106130-4001002LF</v>
          </cell>
          <cell r="B263"/>
          <cell r="C263"/>
          <cell r="D263"/>
          <cell r="E263"/>
          <cell r="F263"/>
          <cell r="G263">
            <v>2.7E-2</v>
          </cell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>
            <v>3.3E-3</v>
          </cell>
        </row>
        <row r="264">
          <cell r="A264" t="str">
            <v>10106130-4001004LF</v>
          </cell>
          <cell r="B264"/>
          <cell r="C264"/>
          <cell r="D264"/>
          <cell r="E264"/>
          <cell r="F264"/>
          <cell r="G264">
            <v>2.3E-2</v>
          </cell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>
            <v>3.0000000000000001E-3</v>
          </cell>
        </row>
        <row r="265">
          <cell r="A265" t="str">
            <v>10106130-4002001LF</v>
          </cell>
          <cell r="B265"/>
          <cell r="C265"/>
          <cell r="D265"/>
          <cell r="E265"/>
          <cell r="F265"/>
          <cell r="G265">
            <v>2.7E-2</v>
          </cell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>
            <v>3.3E-3</v>
          </cell>
        </row>
        <row r="266">
          <cell r="A266" t="str">
            <v>10106130-4003001LF</v>
          </cell>
          <cell r="B266"/>
          <cell r="C266"/>
          <cell r="D266"/>
          <cell r="E266"/>
          <cell r="F266"/>
          <cell r="G266">
            <v>2.7E-2</v>
          </cell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>
            <v>3.3E-3</v>
          </cell>
        </row>
        <row r="267">
          <cell r="A267" t="str">
            <v>10106130-4004001LF</v>
          </cell>
          <cell r="B267"/>
          <cell r="C267"/>
          <cell r="D267"/>
          <cell r="E267"/>
          <cell r="F267"/>
          <cell r="G267">
            <v>3.2000000000000001E-2</v>
          </cell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>
            <v>4.4000000000000003E-3</v>
          </cell>
        </row>
        <row r="268">
          <cell r="A268" t="str">
            <v>10106130-4004002LF</v>
          </cell>
          <cell r="B268"/>
          <cell r="C268"/>
          <cell r="D268"/>
          <cell r="E268"/>
          <cell r="F268"/>
          <cell r="G268">
            <v>3.2000000000000001E-2</v>
          </cell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>
            <v>5.0000000000000001E-3</v>
          </cell>
        </row>
        <row r="269">
          <cell r="A269" t="str">
            <v>10106130-4004K01LF</v>
          </cell>
          <cell r="B269"/>
          <cell r="C269"/>
          <cell r="D269"/>
          <cell r="E269"/>
          <cell r="F269"/>
          <cell r="G269">
            <v>2.8000000000000001E-2</v>
          </cell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>
            <v>5.0000000000000001E-3</v>
          </cell>
        </row>
        <row r="270">
          <cell r="A270" t="str">
            <v>10106130-4006004LF</v>
          </cell>
          <cell r="B270"/>
          <cell r="C270"/>
          <cell r="D270"/>
          <cell r="E270"/>
          <cell r="F270"/>
          <cell r="G270">
            <v>2.1000000000000001E-2</v>
          </cell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>
            <v>3.3E-3</v>
          </cell>
        </row>
        <row r="271">
          <cell r="A271" t="str">
            <v>10106130-4007001LF</v>
          </cell>
          <cell r="B271"/>
          <cell r="C271"/>
          <cell r="D271"/>
          <cell r="E271"/>
          <cell r="F271"/>
          <cell r="G271">
            <v>3.2000000000000001E-2</v>
          </cell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>
            <v>6.0000000000000001E-3</v>
          </cell>
        </row>
        <row r="272">
          <cell r="A272" t="str">
            <v>10106130-4008K01LF</v>
          </cell>
          <cell r="B272"/>
          <cell r="C272"/>
          <cell r="D272"/>
          <cell r="E272"/>
          <cell r="F272"/>
          <cell r="G272">
            <v>2.8000000000000001E-2</v>
          </cell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>
            <v>8.0000000000000002E-3</v>
          </cell>
        </row>
        <row r="273">
          <cell r="A273" t="str">
            <v>10106130-4009K01LF</v>
          </cell>
          <cell r="B273"/>
          <cell r="C273"/>
          <cell r="D273"/>
          <cell r="E273"/>
          <cell r="F273"/>
          <cell r="G273">
            <v>3.6999999999999998E-2</v>
          </cell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>
            <v>6.0000000000000001E-3</v>
          </cell>
        </row>
        <row r="274">
          <cell r="A274" t="str">
            <v>10106130-4017002LF</v>
          </cell>
          <cell r="B274"/>
          <cell r="C274"/>
          <cell r="D274"/>
          <cell r="E274"/>
          <cell r="F274"/>
          <cell r="G274">
            <v>1.4999999999999999E-2</v>
          </cell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>
            <v>2.5000000000000001E-2</v>
          </cell>
        </row>
        <row r="275">
          <cell r="A275" t="str">
            <v>10106130-4403001LF</v>
          </cell>
          <cell r="B275"/>
          <cell r="C275"/>
          <cell r="D275"/>
          <cell r="E275"/>
          <cell r="F275"/>
          <cell r="G275">
            <v>3.7282999999999997E-2</v>
          </cell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>
            <v>5.2529999999999999E-3</v>
          </cell>
        </row>
        <row r="276">
          <cell r="A276" t="str">
            <v>10106130-5003001LF</v>
          </cell>
          <cell r="B276"/>
          <cell r="C276"/>
          <cell r="D276"/>
          <cell r="E276"/>
          <cell r="F276"/>
          <cell r="G276">
            <v>2.3E-2</v>
          </cell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>
            <v>4.4000000000000003E-3</v>
          </cell>
        </row>
        <row r="277">
          <cell r="A277" t="str">
            <v>10106130-5004001LF</v>
          </cell>
          <cell r="B277"/>
          <cell r="C277"/>
          <cell r="D277"/>
          <cell r="E277"/>
          <cell r="F277"/>
          <cell r="G277">
            <v>3.5000000000000003E-2</v>
          </cell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>
            <v>4.4000000000000003E-3</v>
          </cell>
        </row>
        <row r="278">
          <cell r="A278" t="str">
            <v>10106130-5004101LF</v>
          </cell>
          <cell r="B278"/>
          <cell r="C278"/>
          <cell r="D278"/>
          <cell r="E278"/>
          <cell r="F278"/>
          <cell r="G278">
            <v>3.5000000000000003E-2</v>
          </cell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>
            <v>4.4000000000000003E-3</v>
          </cell>
        </row>
        <row r="279">
          <cell r="A279" t="str">
            <v>10106130-5005101LF</v>
          </cell>
          <cell r="B279"/>
          <cell r="C279"/>
          <cell r="D279"/>
          <cell r="E279"/>
          <cell r="F279"/>
          <cell r="G279">
            <v>3.6999999999999998E-2</v>
          </cell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>
            <v>5.5999999999999999E-3</v>
          </cell>
        </row>
        <row r="280">
          <cell r="A280" t="str">
            <v>10106130-6003K01LF</v>
          </cell>
          <cell r="B280"/>
          <cell r="C280"/>
          <cell r="D280"/>
          <cell r="E280"/>
          <cell r="F280"/>
          <cell r="G280">
            <v>2.8000000000000001E-2</v>
          </cell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>
            <v>5.0000000000000001E-3</v>
          </cell>
        </row>
        <row r="281">
          <cell r="A281" t="str">
            <v>10106130-6004K01LF</v>
          </cell>
          <cell r="B281"/>
          <cell r="C281"/>
          <cell r="D281"/>
          <cell r="E281"/>
          <cell r="F281"/>
          <cell r="G281">
            <v>2.9000000000000001E-2</v>
          </cell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>
            <v>4.0000000000000001E-3</v>
          </cell>
        </row>
        <row r="282">
          <cell r="A282" t="str">
            <v>10106130-6007001LF</v>
          </cell>
          <cell r="B282"/>
          <cell r="C282"/>
          <cell r="D282"/>
          <cell r="E282"/>
          <cell r="F282"/>
          <cell r="G282">
            <v>3.5000000000000003E-2</v>
          </cell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>
            <v>7.7999999999999996E-3</v>
          </cell>
        </row>
        <row r="283">
          <cell r="A283" t="str">
            <v>10106130-6008K01LF</v>
          </cell>
          <cell r="B283"/>
          <cell r="C283"/>
          <cell r="D283"/>
          <cell r="E283"/>
          <cell r="F283"/>
          <cell r="G283">
            <v>3.2000000000000001E-2</v>
          </cell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>
            <v>6.0000000000000001E-3</v>
          </cell>
        </row>
        <row r="284">
          <cell r="A284" t="str">
            <v>10106130-7000A01LF</v>
          </cell>
          <cell r="B284"/>
          <cell r="C284"/>
          <cell r="D284"/>
          <cell r="E284"/>
          <cell r="F284"/>
          <cell r="G284">
            <v>2.5000000000000001E-2</v>
          </cell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>
            <v>3.3E-3</v>
          </cell>
        </row>
        <row r="285">
          <cell r="A285" t="str">
            <v>10106130-7000A02LF</v>
          </cell>
          <cell r="B285"/>
          <cell r="C285"/>
          <cell r="D285"/>
          <cell r="E285"/>
          <cell r="F285"/>
          <cell r="G285">
            <v>2.5000000000000001E-2</v>
          </cell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>
            <v>3.3E-3</v>
          </cell>
        </row>
        <row r="286">
          <cell r="A286" t="str">
            <v>10106130-7006001LF</v>
          </cell>
          <cell r="B286"/>
          <cell r="C286"/>
          <cell r="D286"/>
          <cell r="E286"/>
          <cell r="F286"/>
          <cell r="G286">
            <v>3.1E-2</v>
          </cell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>
            <v>6.7000000000000002E-3</v>
          </cell>
        </row>
        <row r="287">
          <cell r="A287" t="str">
            <v>10106130-8000001LF</v>
          </cell>
          <cell r="B287"/>
          <cell r="C287"/>
          <cell r="D287"/>
          <cell r="E287"/>
          <cell r="F287"/>
          <cell r="G287">
            <v>3.5999999999999997E-2</v>
          </cell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>
            <v>6.1000000000000004E-3</v>
          </cell>
        </row>
        <row r="288">
          <cell r="A288" t="str">
            <v>10106130-8002K01LF</v>
          </cell>
          <cell r="B288"/>
          <cell r="C288"/>
          <cell r="D288"/>
          <cell r="E288"/>
          <cell r="F288"/>
          <cell r="G288">
            <v>2.8000000000000001E-2</v>
          </cell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>
            <v>4.0000000000000001E-3</v>
          </cell>
        </row>
        <row r="289">
          <cell r="A289" t="str">
            <v>10106130-8004001LF</v>
          </cell>
          <cell r="B289"/>
          <cell r="C289"/>
          <cell r="D289"/>
          <cell r="E289"/>
          <cell r="F289"/>
          <cell r="G289">
            <v>4.2000000000000003E-2</v>
          </cell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>
            <v>1.4E-2</v>
          </cell>
        </row>
        <row r="290">
          <cell r="A290" t="str">
            <v>10106130-8004002LF</v>
          </cell>
          <cell r="B290"/>
          <cell r="C290"/>
          <cell r="D290"/>
          <cell r="E290"/>
          <cell r="F290"/>
          <cell r="G290">
            <v>4.5999999999999999E-2</v>
          </cell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>
            <v>1.4E-2</v>
          </cell>
        </row>
        <row r="291">
          <cell r="A291" t="str">
            <v>10106130-8005001LF</v>
          </cell>
          <cell r="B291"/>
          <cell r="C291"/>
          <cell r="D291"/>
          <cell r="E291"/>
          <cell r="F291"/>
          <cell r="G291">
            <v>4.2999999999999997E-2</v>
          </cell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>
            <v>1.7999999999999999E-2</v>
          </cell>
        </row>
        <row r="292">
          <cell r="A292" t="str">
            <v>10106130-8005002LF</v>
          </cell>
          <cell r="B292"/>
          <cell r="C292"/>
          <cell r="D292"/>
          <cell r="E292"/>
          <cell r="F292"/>
          <cell r="G292">
            <v>4.5999999999999999E-2</v>
          </cell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>
            <v>1.7000000000000001E-2</v>
          </cell>
        </row>
        <row r="293">
          <cell r="A293" t="str">
            <v>10106130-8006001LF</v>
          </cell>
          <cell r="B293"/>
          <cell r="C293"/>
          <cell r="D293"/>
          <cell r="E293"/>
          <cell r="F293"/>
          <cell r="G293">
            <v>4.7E-2</v>
          </cell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>
            <v>0.02</v>
          </cell>
        </row>
        <row r="294">
          <cell r="A294" t="str">
            <v>10106130-8006002LF</v>
          </cell>
          <cell r="B294"/>
          <cell r="C294"/>
          <cell r="D294"/>
          <cell r="E294"/>
          <cell r="F294"/>
          <cell r="G294">
            <v>2.9000000000000001E-2</v>
          </cell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>
            <v>6.7000000000000002E-3</v>
          </cell>
        </row>
        <row r="295">
          <cell r="A295" t="str">
            <v>10106130-8007001LF</v>
          </cell>
          <cell r="B295"/>
          <cell r="C295"/>
          <cell r="D295"/>
          <cell r="E295"/>
          <cell r="F295"/>
          <cell r="G295">
            <v>2.9000000000000001E-2</v>
          </cell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>
            <v>8.9999999999999993E-3</v>
          </cell>
        </row>
        <row r="296">
          <cell r="A296" t="str">
            <v>10106130-9000001LF</v>
          </cell>
          <cell r="B296"/>
          <cell r="C296"/>
          <cell r="D296"/>
          <cell r="E296"/>
          <cell r="F296"/>
          <cell r="G296">
            <v>3.5000000000000003E-2</v>
          </cell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>
            <v>6.1000000000000004E-3</v>
          </cell>
        </row>
        <row r="297">
          <cell r="A297" t="str">
            <v>10106130-9016001LF</v>
          </cell>
          <cell r="B297"/>
          <cell r="C297"/>
          <cell r="D297"/>
          <cell r="E297"/>
          <cell r="F297"/>
          <cell r="G297">
            <v>4.2000000000000003E-2</v>
          </cell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>
            <v>7.0000000000000001E-3</v>
          </cell>
        </row>
        <row r="298">
          <cell r="A298" t="str">
            <v>10106130-A004002LF</v>
          </cell>
          <cell r="B298"/>
          <cell r="C298"/>
          <cell r="D298"/>
          <cell r="E298"/>
          <cell r="F298"/>
          <cell r="G298">
            <v>0.03</v>
          </cell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>
            <v>4.4000000000000003E-3</v>
          </cell>
        </row>
        <row r="299">
          <cell r="A299" t="str">
            <v>10106130-A004101LF</v>
          </cell>
          <cell r="B299"/>
          <cell r="C299"/>
          <cell r="D299"/>
          <cell r="E299"/>
          <cell r="F299"/>
          <cell r="G299">
            <v>5.0999999999999997E-2</v>
          </cell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>
            <v>1.4E-2</v>
          </cell>
        </row>
        <row r="300">
          <cell r="A300" t="str">
            <v>10106130-A908001LF</v>
          </cell>
          <cell r="B300"/>
          <cell r="C300"/>
          <cell r="D300"/>
          <cell r="E300"/>
          <cell r="F300"/>
          <cell r="G300">
            <v>4.9000000000000002E-2</v>
          </cell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>
            <v>8.8999999999999999E-3</v>
          </cell>
        </row>
        <row r="301">
          <cell r="A301" t="str">
            <v>10106130-E006001LF</v>
          </cell>
          <cell r="B301"/>
          <cell r="C301"/>
          <cell r="D301"/>
          <cell r="E301"/>
          <cell r="F301"/>
          <cell r="G301">
            <v>3.1E-2</v>
          </cell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>
            <v>6.7000000000000002E-3</v>
          </cell>
        </row>
        <row r="302">
          <cell r="A302" t="str">
            <v>10106130-E008001LF</v>
          </cell>
          <cell r="B302"/>
          <cell r="C302"/>
          <cell r="D302"/>
          <cell r="E302"/>
          <cell r="F302"/>
          <cell r="G302">
            <v>1.92172E-2</v>
          </cell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>
            <v>4.4900000000000001E-3</v>
          </cell>
        </row>
        <row r="303">
          <cell r="A303" t="str">
            <v>10106131-2002001LF</v>
          </cell>
          <cell r="B303"/>
          <cell r="C303"/>
          <cell r="D303"/>
          <cell r="E303"/>
          <cell r="F303"/>
          <cell r="G303">
            <v>2.4E-2</v>
          </cell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>
            <v>3.3E-3</v>
          </cell>
        </row>
        <row r="304">
          <cell r="A304" t="str">
            <v>10106131-2003001LF</v>
          </cell>
          <cell r="B304"/>
          <cell r="C304"/>
          <cell r="D304"/>
          <cell r="E304"/>
          <cell r="F304"/>
          <cell r="G304">
            <v>2.5000000000000001E-2</v>
          </cell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>
            <v>3.3E-3</v>
          </cell>
        </row>
        <row r="305">
          <cell r="A305" t="str">
            <v>10106131-2003002LF</v>
          </cell>
          <cell r="B305"/>
          <cell r="C305"/>
          <cell r="D305"/>
          <cell r="E305"/>
          <cell r="F305"/>
          <cell r="G305">
            <v>3.7999999999999999E-2</v>
          </cell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>
            <v>5.0000000000000001E-3</v>
          </cell>
        </row>
        <row r="306">
          <cell r="A306" t="str">
            <v>10106131-2003003LF</v>
          </cell>
          <cell r="B306"/>
          <cell r="C306"/>
          <cell r="D306"/>
          <cell r="E306"/>
          <cell r="F306"/>
          <cell r="G306">
            <v>3.5000000000000003E-2</v>
          </cell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>
            <v>5.0000000000000001E-3</v>
          </cell>
        </row>
        <row r="307">
          <cell r="A307" t="str">
            <v>10106131-2003501LF</v>
          </cell>
          <cell r="B307"/>
          <cell r="C307"/>
          <cell r="D307"/>
          <cell r="E307"/>
          <cell r="F307"/>
          <cell r="G307">
            <v>2.1000000000000001E-2</v>
          </cell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>
            <v>3.0000000000000001E-3</v>
          </cell>
        </row>
        <row r="308">
          <cell r="A308" t="str">
            <v>10106131-2004001LF</v>
          </cell>
          <cell r="B308"/>
          <cell r="C308"/>
          <cell r="D308"/>
          <cell r="E308"/>
          <cell r="F308"/>
          <cell r="G308">
            <v>2.1600000000000001E-2</v>
          </cell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>
            <v>1.41E-2</v>
          </cell>
        </row>
        <row r="309">
          <cell r="A309" t="str">
            <v>10106131-2004201LF</v>
          </cell>
          <cell r="B309"/>
          <cell r="C309"/>
          <cell r="D309"/>
          <cell r="E309"/>
          <cell r="F309"/>
          <cell r="G309">
            <v>7.0000000000000001E-3</v>
          </cell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>
            <v>6.3E-3</v>
          </cell>
        </row>
        <row r="310">
          <cell r="A310" t="str">
            <v>10106131-2004202LF</v>
          </cell>
          <cell r="B310"/>
          <cell r="C310"/>
          <cell r="D310"/>
          <cell r="E310"/>
          <cell r="F310"/>
          <cell r="G310">
            <v>2.1000000000000001E-2</v>
          </cell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>
            <v>3.3E-3</v>
          </cell>
        </row>
        <row r="311">
          <cell r="A311" t="str">
            <v>10106131-2202001LF</v>
          </cell>
          <cell r="B311"/>
          <cell r="C311"/>
          <cell r="D311"/>
          <cell r="E311"/>
          <cell r="F311"/>
          <cell r="G311">
            <v>1.2699999999999999E-2</v>
          </cell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>
            <v>6.0000000000000001E-3</v>
          </cell>
        </row>
        <row r="312">
          <cell r="A312" t="str">
            <v>10106131-4000002LF</v>
          </cell>
          <cell r="B312"/>
          <cell r="C312"/>
          <cell r="D312"/>
          <cell r="E312"/>
          <cell r="F312"/>
          <cell r="G312">
            <v>3.1E-2</v>
          </cell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>
            <v>6.1000000000000004E-3</v>
          </cell>
        </row>
        <row r="313">
          <cell r="A313" t="str">
            <v>10106131-4001001LF</v>
          </cell>
          <cell r="B313"/>
          <cell r="C313"/>
          <cell r="D313"/>
          <cell r="E313"/>
          <cell r="F313"/>
          <cell r="G313">
            <v>2.7E-2</v>
          </cell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>
            <v>3.3E-3</v>
          </cell>
        </row>
        <row r="314">
          <cell r="A314" t="str">
            <v>10106131-4001K01LF</v>
          </cell>
          <cell r="B314"/>
          <cell r="C314"/>
          <cell r="D314"/>
          <cell r="E314"/>
          <cell r="F314"/>
          <cell r="G314">
            <v>2.8000000000000001E-2</v>
          </cell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>
            <v>3.0000000000000001E-3</v>
          </cell>
        </row>
        <row r="315">
          <cell r="A315" t="str">
            <v>10106131-4002004LF</v>
          </cell>
          <cell r="B315"/>
          <cell r="C315"/>
          <cell r="D315"/>
          <cell r="E315"/>
          <cell r="F315"/>
          <cell r="G315">
            <v>2.1000000000000001E-2</v>
          </cell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>
            <v>3.3E-3</v>
          </cell>
        </row>
        <row r="316">
          <cell r="A316" t="str">
            <v>10106131-4004001LF</v>
          </cell>
          <cell r="B316"/>
          <cell r="C316"/>
          <cell r="D316"/>
          <cell r="E316"/>
          <cell r="F316"/>
          <cell r="G316">
            <v>1.44175E-2</v>
          </cell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>
            <v>3.3E-3</v>
          </cell>
        </row>
        <row r="317">
          <cell r="A317" t="str">
            <v>10106131-4004002LF</v>
          </cell>
          <cell r="B317"/>
          <cell r="C317"/>
          <cell r="D317"/>
          <cell r="E317"/>
          <cell r="F317"/>
          <cell r="G317">
            <v>2.7E-2</v>
          </cell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>
            <v>6.6E-3</v>
          </cell>
        </row>
        <row r="318">
          <cell r="A318" t="str">
            <v>10106131-4004003LF</v>
          </cell>
          <cell r="B318"/>
          <cell r="C318"/>
          <cell r="D318"/>
          <cell r="E318"/>
          <cell r="F318"/>
          <cell r="G318">
            <v>2.8000000000000001E-2</v>
          </cell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>
            <v>4.4000000000000003E-3</v>
          </cell>
        </row>
        <row r="319">
          <cell r="A319" t="str">
            <v>10106131-4006001LF</v>
          </cell>
          <cell r="B319"/>
          <cell r="C319"/>
          <cell r="D319"/>
          <cell r="E319"/>
          <cell r="F319"/>
          <cell r="G319">
            <v>3.5999999999999997E-2</v>
          </cell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>
            <v>2.1999999999999999E-2</v>
          </cell>
        </row>
        <row r="320">
          <cell r="A320" t="str">
            <v>10106131-4006003LF</v>
          </cell>
          <cell r="B320"/>
          <cell r="C320"/>
          <cell r="D320"/>
          <cell r="E320"/>
          <cell r="F320"/>
          <cell r="G320">
            <v>3.5999999999999997E-2</v>
          </cell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>
            <v>2.1000000000000001E-2</v>
          </cell>
        </row>
        <row r="321">
          <cell r="A321" t="str">
            <v>10106131-4006005LF</v>
          </cell>
          <cell r="B321"/>
          <cell r="C321"/>
          <cell r="D321"/>
          <cell r="E321"/>
          <cell r="F321"/>
          <cell r="G321">
            <v>2.6275799999999998E-2</v>
          </cell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>
            <v>2.1000000000000001E-2</v>
          </cell>
        </row>
        <row r="322">
          <cell r="A322" t="str">
            <v>10106131-4006009LF</v>
          </cell>
          <cell r="B322"/>
          <cell r="C322"/>
          <cell r="D322"/>
          <cell r="E322"/>
          <cell r="F322"/>
          <cell r="G322">
            <v>2.5999999999999999E-2</v>
          </cell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>
            <v>6.7000000000000002E-3</v>
          </cell>
        </row>
        <row r="323">
          <cell r="A323" t="str">
            <v>10106131-4006011LF</v>
          </cell>
          <cell r="B323"/>
          <cell r="C323"/>
          <cell r="D323"/>
          <cell r="E323"/>
          <cell r="F323"/>
          <cell r="G323">
            <v>0.03</v>
          </cell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>
            <v>8.0000000000000002E-3</v>
          </cell>
        </row>
        <row r="324">
          <cell r="A324" t="str">
            <v>10106131-4006012LF</v>
          </cell>
          <cell r="B324"/>
          <cell r="C324"/>
          <cell r="D324"/>
          <cell r="E324"/>
          <cell r="F324"/>
          <cell r="G324">
            <v>3.5000000000000003E-2</v>
          </cell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>
            <v>6.0000000000000001E-3</v>
          </cell>
        </row>
        <row r="325">
          <cell r="A325" t="str">
            <v>10106131-4006201LF</v>
          </cell>
          <cell r="B325"/>
          <cell r="C325"/>
          <cell r="D325"/>
          <cell r="E325"/>
          <cell r="F325"/>
          <cell r="G325">
            <v>2.2200000000000001E-2</v>
          </cell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>
            <v>1.7899999999999999E-2</v>
          </cell>
        </row>
        <row r="326">
          <cell r="A326" t="str">
            <v>10106131-4006202LF</v>
          </cell>
          <cell r="B326"/>
          <cell r="C326"/>
          <cell r="D326"/>
          <cell r="E326"/>
          <cell r="F326"/>
          <cell r="G326">
            <v>3.5999999999999997E-2</v>
          </cell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>
            <v>2.1000000000000001E-2</v>
          </cell>
        </row>
        <row r="327">
          <cell r="A327" t="str">
            <v>10106131-4008001LF</v>
          </cell>
          <cell r="B327"/>
          <cell r="C327"/>
          <cell r="D327"/>
          <cell r="E327"/>
          <cell r="F327"/>
          <cell r="G327">
            <v>3.6999999999999998E-2</v>
          </cell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>
            <v>2.63E-2</v>
          </cell>
        </row>
        <row r="328">
          <cell r="A328" t="str">
            <v>10106131-4008201LF</v>
          </cell>
          <cell r="B328"/>
          <cell r="C328"/>
          <cell r="D328"/>
          <cell r="E328"/>
          <cell r="F328"/>
          <cell r="G328">
            <v>3.6999999999999998E-2</v>
          </cell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>
            <v>2.63E-2</v>
          </cell>
        </row>
        <row r="329">
          <cell r="A329" t="str">
            <v>10106131-4008401LF</v>
          </cell>
          <cell r="B329"/>
          <cell r="C329"/>
          <cell r="D329"/>
          <cell r="E329"/>
          <cell r="F329"/>
          <cell r="G329">
            <v>2.5000000000000001E-2</v>
          </cell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>
            <v>8.8999999999999999E-3</v>
          </cell>
        </row>
        <row r="330">
          <cell r="A330" t="str">
            <v>10106131-4012001LF</v>
          </cell>
          <cell r="B330"/>
          <cell r="C330"/>
          <cell r="D330"/>
          <cell r="E330"/>
          <cell r="F330"/>
          <cell r="G330">
            <v>3.9E-2</v>
          </cell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>
            <v>3.8399999999999997E-2</v>
          </cell>
        </row>
        <row r="331">
          <cell r="A331" t="str">
            <v>10106131-4012201LF</v>
          </cell>
          <cell r="B331"/>
          <cell r="C331"/>
          <cell r="D331"/>
          <cell r="E331"/>
          <cell r="F331"/>
          <cell r="G331">
            <v>3.5099999999999999E-2</v>
          </cell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>
            <v>3.8399999999999997E-2</v>
          </cell>
        </row>
        <row r="332">
          <cell r="A332" t="str">
            <v>10106131-5005001LF</v>
          </cell>
          <cell r="B332"/>
          <cell r="C332"/>
          <cell r="D332"/>
          <cell r="E332"/>
          <cell r="F332"/>
          <cell r="G332">
            <v>2.41E-2</v>
          </cell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>
            <v>7.1999999999999998E-3</v>
          </cell>
        </row>
        <row r="333">
          <cell r="A333" t="str">
            <v>10106131-5005002LF</v>
          </cell>
          <cell r="B333"/>
          <cell r="C333"/>
          <cell r="D333"/>
          <cell r="E333"/>
          <cell r="F333"/>
          <cell r="G333">
            <v>3.5200000000000002E-2</v>
          </cell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>
            <v>1.7999999999999999E-2</v>
          </cell>
        </row>
        <row r="334">
          <cell r="A334" t="str">
            <v>10106131-6000001LF</v>
          </cell>
          <cell r="B334"/>
          <cell r="C334"/>
          <cell r="D334"/>
          <cell r="E334"/>
          <cell r="F334"/>
          <cell r="G334">
            <v>3.1E-2</v>
          </cell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>
            <v>6.1000000000000004E-3</v>
          </cell>
        </row>
        <row r="335">
          <cell r="A335" t="str">
            <v>10106131-6000002LF</v>
          </cell>
          <cell r="B335"/>
          <cell r="C335"/>
          <cell r="D335"/>
          <cell r="E335"/>
          <cell r="F335"/>
          <cell r="G335">
            <v>2.5000000000000001E-2</v>
          </cell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>
            <v>3.0000000000000001E-3</v>
          </cell>
        </row>
        <row r="336">
          <cell r="A336" t="str">
            <v>10106131-6000A01LF</v>
          </cell>
          <cell r="B336"/>
          <cell r="C336"/>
          <cell r="D336"/>
          <cell r="E336"/>
          <cell r="F336"/>
          <cell r="G336">
            <v>3.2000000000000001E-2</v>
          </cell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>
            <v>6.1000000000000004E-3</v>
          </cell>
        </row>
        <row r="337">
          <cell r="A337" t="str">
            <v>10106131-6002001LF</v>
          </cell>
          <cell r="B337"/>
          <cell r="C337"/>
          <cell r="D337"/>
          <cell r="E337"/>
          <cell r="F337"/>
          <cell r="G337">
            <v>3.9E-2</v>
          </cell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>
            <v>8.0999999999999996E-3</v>
          </cell>
        </row>
        <row r="338">
          <cell r="A338" t="str">
            <v>10106131-6004004LF</v>
          </cell>
          <cell r="B338"/>
          <cell r="C338"/>
          <cell r="D338"/>
          <cell r="E338"/>
          <cell r="F338"/>
          <cell r="G338">
            <v>2.4E-2</v>
          </cell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>
            <v>4.4000000000000003E-3</v>
          </cell>
        </row>
        <row r="339">
          <cell r="A339" t="str">
            <v>10106131-6006003LF</v>
          </cell>
          <cell r="B339"/>
          <cell r="C339"/>
          <cell r="D339"/>
          <cell r="E339"/>
          <cell r="F339"/>
          <cell r="G339">
            <v>3.5999999999999997E-2</v>
          </cell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>
            <v>6.6E-3</v>
          </cell>
        </row>
        <row r="340">
          <cell r="A340" t="str">
            <v>10106131-6006004LF</v>
          </cell>
          <cell r="B340"/>
          <cell r="C340"/>
          <cell r="D340"/>
          <cell r="E340"/>
          <cell r="F340"/>
          <cell r="G340">
            <v>3.5000000000000003E-2</v>
          </cell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>
            <v>6.7000000000000002E-3</v>
          </cell>
        </row>
        <row r="341">
          <cell r="A341" t="str">
            <v>10106131-6006006LF</v>
          </cell>
          <cell r="B341"/>
          <cell r="C341"/>
          <cell r="D341"/>
          <cell r="E341"/>
          <cell r="F341"/>
          <cell r="G341">
            <v>3.1E-2</v>
          </cell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>
            <v>8.0000000000000002E-3</v>
          </cell>
        </row>
        <row r="342">
          <cell r="A342" t="str">
            <v>10106131-7005001LF</v>
          </cell>
          <cell r="B342"/>
          <cell r="C342"/>
          <cell r="D342"/>
          <cell r="E342"/>
          <cell r="F342"/>
          <cell r="G342">
            <v>2.8199999999999999E-2</v>
          </cell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>
            <v>7.1999999999999998E-3</v>
          </cell>
        </row>
        <row r="343">
          <cell r="A343" t="str">
            <v>10106131-8000001LF</v>
          </cell>
          <cell r="B343"/>
          <cell r="C343"/>
          <cell r="D343"/>
          <cell r="E343"/>
          <cell r="F343"/>
          <cell r="G343">
            <v>3.7999999999999999E-2</v>
          </cell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>
            <v>6.1000000000000004E-3</v>
          </cell>
        </row>
        <row r="344">
          <cell r="A344" t="str">
            <v>10106131-8004003LF</v>
          </cell>
          <cell r="B344"/>
          <cell r="C344"/>
          <cell r="D344"/>
          <cell r="E344"/>
          <cell r="F344"/>
          <cell r="G344">
            <v>2.1999999999999999E-2</v>
          </cell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>
            <v>4.4000000000000003E-3</v>
          </cell>
        </row>
        <row r="345">
          <cell r="A345" t="str">
            <v>10106131-8005003LF</v>
          </cell>
          <cell r="B345"/>
          <cell r="C345"/>
          <cell r="D345"/>
          <cell r="E345"/>
          <cell r="F345"/>
          <cell r="G345">
            <v>2.7E-2</v>
          </cell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>
            <v>5.0000000000000001E-3</v>
          </cell>
        </row>
        <row r="346">
          <cell r="A346" t="str">
            <v>10106131-8005004LF</v>
          </cell>
          <cell r="B346"/>
          <cell r="C346"/>
          <cell r="D346"/>
          <cell r="E346"/>
          <cell r="F346"/>
          <cell r="G346">
            <v>2.7E-2</v>
          </cell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>
            <v>5.0000000000000001E-3</v>
          </cell>
        </row>
        <row r="347">
          <cell r="A347" t="str">
            <v>10106131-8008002LF</v>
          </cell>
          <cell r="B347"/>
          <cell r="C347"/>
          <cell r="D347"/>
          <cell r="E347"/>
          <cell r="F347"/>
          <cell r="G347">
            <v>2.8049999999999999E-2</v>
          </cell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>
            <v>8.8999999999999999E-3</v>
          </cell>
        </row>
        <row r="348">
          <cell r="A348" t="str">
            <v>10106131-8009003LF</v>
          </cell>
          <cell r="B348"/>
          <cell r="C348"/>
          <cell r="D348"/>
          <cell r="E348"/>
          <cell r="F348"/>
          <cell r="G348">
            <v>3.5000000000000003E-2</v>
          </cell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>
            <v>8.0000000000000002E-3</v>
          </cell>
        </row>
        <row r="349">
          <cell r="A349" t="str">
            <v>10106131-9014001LF</v>
          </cell>
          <cell r="B349"/>
          <cell r="C349"/>
          <cell r="D349"/>
          <cell r="E349"/>
          <cell r="F349"/>
          <cell r="G349">
            <v>2.8000000000000001E-2</v>
          </cell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>
            <v>1.2E-2</v>
          </cell>
        </row>
        <row r="350">
          <cell r="A350" t="str">
            <v>10106131-A000001LF</v>
          </cell>
          <cell r="B350"/>
          <cell r="C350"/>
          <cell r="D350"/>
          <cell r="E350"/>
          <cell r="F350"/>
          <cell r="G350">
            <v>3.6999999999999998E-2</v>
          </cell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>
            <v>6.1000000000000004E-3</v>
          </cell>
        </row>
        <row r="351">
          <cell r="A351" t="str">
            <v>10106131-A004001LF</v>
          </cell>
          <cell r="B351"/>
          <cell r="C351"/>
          <cell r="D351"/>
          <cell r="E351"/>
          <cell r="F351"/>
          <cell r="G351">
            <v>3.2000000000000001E-2</v>
          </cell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>
            <v>3.0000000000000001E-3</v>
          </cell>
        </row>
        <row r="352">
          <cell r="A352" t="str">
            <v>10106131-A006001LF</v>
          </cell>
          <cell r="B352"/>
          <cell r="C352"/>
          <cell r="D352"/>
          <cell r="E352"/>
          <cell r="F352"/>
          <cell r="G352">
            <v>3.7999999999999999E-2</v>
          </cell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>
            <v>8.0000000000000002E-3</v>
          </cell>
        </row>
        <row r="353">
          <cell r="A353" t="str">
            <v>10106131-C000001LF</v>
          </cell>
          <cell r="B353"/>
          <cell r="C353"/>
          <cell r="D353"/>
          <cell r="E353"/>
          <cell r="F353"/>
          <cell r="G353">
            <v>5.8000000000000003E-2</v>
          </cell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>
            <v>6.1000000000000004E-3</v>
          </cell>
        </row>
        <row r="354">
          <cell r="A354" t="str">
            <v>10106131-C000002LF</v>
          </cell>
          <cell r="B354"/>
          <cell r="C354"/>
          <cell r="D354"/>
          <cell r="E354"/>
          <cell r="F354"/>
          <cell r="G354">
            <v>0.10440000000000001</v>
          </cell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>
            <v>6.1000000000000004E-3</v>
          </cell>
        </row>
        <row r="355">
          <cell r="A355" t="str">
            <v>10106131-C004001LF</v>
          </cell>
          <cell r="B355"/>
          <cell r="C355"/>
          <cell r="D355"/>
          <cell r="E355"/>
          <cell r="F355"/>
          <cell r="G355">
            <v>2.35E-2</v>
          </cell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>
            <v>5.0000000000000001E-3</v>
          </cell>
        </row>
        <row r="356">
          <cell r="A356" t="str">
            <v>10106131-C006001LF</v>
          </cell>
          <cell r="B356"/>
          <cell r="C356"/>
          <cell r="D356"/>
          <cell r="E356"/>
          <cell r="F356"/>
          <cell r="G356">
            <v>3.1699999999999999E-2</v>
          </cell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>
            <v>7.0000000000000001E-3</v>
          </cell>
        </row>
        <row r="357">
          <cell r="A357" t="str">
            <v>10106131-C010K01LF</v>
          </cell>
          <cell r="B357"/>
          <cell r="C357"/>
          <cell r="D357"/>
          <cell r="E357"/>
          <cell r="F357"/>
          <cell r="G357">
            <v>3.2000000000000001E-2</v>
          </cell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>
            <v>0.01</v>
          </cell>
        </row>
        <row r="358">
          <cell r="A358" t="str">
            <v>10106131-C812001LF</v>
          </cell>
          <cell r="B358"/>
          <cell r="C358"/>
          <cell r="D358"/>
          <cell r="E358"/>
          <cell r="F358"/>
          <cell r="G358">
            <v>7.46E-2</v>
          </cell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>
            <v>3.8300000000000001E-2</v>
          </cell>
        </row>
        <row r="359">
          <cell r="A359" t="str">
            <v>10106131-E005001LF</v>
          </cell>
          <cell r="B359"/>
          <cell r="C359"/>
          <cell r="D359"/>
          <cell r="E359"/>
          <cell r="F359"/>
          <cell r="G359">
            <v>3.5000000000000003E-2</v>
          </cell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>
            <v>6.7000000000000002E-3</v>
          </cell>
        </row>
        <row r="360">
          <cell r="A360" t="str">
            <v>10106131-E006001LF</v>
          </cell>
          <cell r="B360"/>
          <cell r="C360"/>
          <cell r="D360"/>
          <cell r="E360"/>
          <cell r="F360"/>
          <cell r="G360">
            <v>4.2000000000000003E-2</v>
          </cell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>
            <v>6.7000000000000002E-3</v>
          </cell>
        </row>
        <row r="361">
          <cell r="A361" t="str">
            <v>10106131-G018001LF</v>
          </cell>
          <cell r="B361"/>
          <cell r="C361"/>
          <cell r="D361"/>
          <cell r="E361"/>
          <cell r="F361"/>
          <cell r="G361">
            <v>7.4999999999999997E-2</v>
          </cell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>
            <v>5.7000000000000002E-2</v>
          </cell>
        </row>
        <row r="362">
          <cell r="A362" t="str">
            <v>10106131-G018002LF</v>
          </cell>
          <cell r="B362"/>
          <cell r="C362"/>
          <cell r="D362"/>
          <cell r="E362"/>
          <cell r="F362"/>
          <cell r="G362">
            <v>7.9439999999999997E-2</v>
          </cell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>
            <v>5.7000000000000002E-2</v>
          </cell>
        </row>
        <row r="363">
          <cell r="A363" t="str">
            <v>10106132-2000004LF</v>
          </cell>
          <cell r="B363"/>
          <cell r="C363"/>
          <cell r="D363"/>
          <cell r="E363"/>
          <cell r="F363"/>
          <cell r="G363">
            <v>4.3999999999999997E-2</v>
          </cell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>
            <v>9.1000000000000004E-3</v>
          </cell>
        </row>
        <row r="364">
          <cell r="A364" t="str">
            <v>10106132-2004001LF</v>
          </cell>
          <cell r="B364"/>
          <cell r="C364"/>
          <cell r="D364"/>
          <cell r="E364"/>
          <cell r="F364"/>
          <cell r="G364">
            <v>3.2000000000000001E-2</v>
          </cell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>
            <v>3.3E-3</v>
          </cell>
        </row>
        <row r="365">
          <cell r="A365" t="str">
            <v>10106132-2005K01LF</v>
          </cell>
          <cell r="B365"/>
          <cell r="C365"/>
          <cell r="D365"/>
          <cell r="E365"/>
          <cell r="F365"/>
          <cell r="G365">
            <v>3.6999999999999998E-2</v>
          </cell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>
            <v>3.3E-3</v>
          </cell>
        </row>
        <row r="366">
          <cell r="A366" t="str">
            <v>10106132-4000001LF</v>
          </cell>
          <cell r="B366"/>
          <cell r="C366"/>
          <cell r="D366"/>
          <cell r="E366"/>
          <cell r="F366"/>
          <cell r="G366">
            <v>2.3E-2</v>
          </cell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>
            <v>6.1000000000000004E-3</v>
          </cell>
        </row>
        <row r="367">
          <cell r="A367" t="str">
            <v>10106132-4002001LF</v>
          </cell>
          <cell r="B367"/>
          <cell r="C367"/>
          <cell r="D367"/>
          <cell r="E367"/>
          <cell r="F367"/>
          <cell r="G367">
            <v>2.5000000000000001E-2</v>
          </cell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>
            <v>3.3E-3</v>
          </cell>
        </row>
        <row r="368">
          <cell r="A368" t="str">
            <v>10106132-4003002LF</v>
          </cell>
          <cell r="B368"/>
          <cell r="C368"/>
          <cell r="D368"/>
          <cell r="E368"/>
          <cell r="F368"/>
          <cell r="G368">
            <v>3.4000000000000002E-2</v>
          </cell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>
            <v>1.0999999999999999E-2</v>
          </cell>
        </row>
        <row r="369">
          <cell r="A369" t="str">
            <v>10106132-4003003LF</v>
          </cell>
          <cell r="B369"/>
          <cell r="C369"/>
          <cell r="D369"/>
          <cell r="E369"/>
          <cell r="F369"/>
          <cell r="G369">
            <v>3.2000000000000001E-2</v>
          </cell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>
            <v>3.3E-3</v>
          </cell>
        </row>
        <row r="370">
          <cell r="A370" t="str">
            <v>10106132-4004K02LF</v>
          </cell>
          <cell r="B370"/>
          <cell r="C370"/>
          <cell r="D370"/>
          <cell r="E370"/>
          <cell r="F370"/>
          <cell r="G370">
            <v>3.1E-2</v>
          </cell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>
            <v>3.0000000000000001E-3</v>
          </cell>
        </row>
        <row r="371">
          <cell r="A371" t="str">
            <v>10106132-4004K03LF</v>
          </cell>
          <cell r="B371"/>
          <cell r="C371"/>
          <cell r="D371"/>
          <cell r="E371"/>
          <cell r="F371"/>
          <cell r="G371">
            <v>3.5000000000000003E-2</v>
          </cell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>
            <v>4.0000000000000001E-3</v>
          </cell>
        </row>
        <row r="372">
          <cell r="A372" t="str">
            <v>10106132-4005001LF</v>
          </cell>
          <cell r="B372"/>
          <cell r="C372"/>
          <cell r="D372"/>
          <cell r="E372"/>
          <cell r="F372"/>
          <cell r="G372">
            <v>4.1000000000000002E-2</v>
          </cell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>
            <v>3.3E-3</v>
          </cell>
        </row>
        <row r="373">
          <cell r="A373" t="str">
            <v>10106132-4006004LF</v>
          </cell>
          <cell r="B373"/>
          <cell r="C373"/>
          <cell r="D373"/>
          <cell r="E373"/>
          <cell r="F373"/>
          <cell r="G373">
            <v>5.2999999999999999E-2</v>
          </cell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>
            <v>6.7000000000000002E-3</v>
          </cell>
        </row>
        <row r="374">
          <cell r="A374" t="str">
            <v>10106132-4006005LF</v>
          </cell>
          <cell r="B374"/>
          <cell r="C374"/>
          <cell r="D374"/>
          <cell r="E374"/>
          <cell r="F374"/>
          <cell r="G374">
            <v>2.8000000000000001E-2</v>
          </cell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>
            <v>3.3E-3</v>
          </cell>
        </row>
        <row r="375">
          <cell r="A375" t="str">
            <v>10106132-4006006LF</v>
          </cell>
          <cell r="B375"/>
          <cell r="C375"/>
          <cell r="D375"/>
          <cell r="E375"/>
          <cell r="F375"/>
          <cell r="G375">
            <v>3.2000000000000001E-2</v>
          </cell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>
            <v>3.3E-3</v>
          </cell>
        </row>
        <row r="376">
          <cell r="A376" t="str">
            <v>10106132-4009101LF</v>
          </cell>
          <cell r="B376"/>
          <cell r="C376"/>
          <cell r="D376"/>
          <cell r="E376"/>
          <cell r="F376"/>
          <cell r="G376">
            <v>2.8000000000000001E-2</v>
          </cell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>
            <v>3.3E-3</v>
          </cell>
        </row>
        <row r="377">
          <cell r="A377" t="str">
            <v>10106132-4027101LF</v>
          </cell>
          <cell r="B377"/>
          <cell r="C377"/>
          <cell r="D377"/>
          <cell r="E377"/>
          <cell r="F377"/>
          <cell r="G377">
            <v>5.0999999999999997E-2</v>
          </cell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>
            <v>0.01</v>
          </cell>
        </row>
        <row r="378">
          <cell r="A378" t="str">
            <v>10106132-5005001LF</v>
          </cell>
          <cell r="B378"/>
          <cell r="C378"/>
          <cell r="D378"/>
          <cell r="E378"/>
          <cell r="F378"/>
          <cell r="G378">
            <v>4.1000000000000002E-2</v>
          </cell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>
            <v>3.3E-3</v>
          </cell>
        </row>
        <row r="379">
          <cell r="A379" t="str">
            <v>10106132-6006001LF</v>
          </cell>
          <cell r="B379"/>
          <cell r="C379"/>
          <cell r="D379"/>
          <cell r="E379"/>
          <cell r="F379"/>
          <cell r="G379">
            <v>4.2000000000000003E-2</v>
          </cell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>
            <v>3.0000000000000001E-3</v>
          </cell>
        </row>
        <row r="380">
          <cell r="A380" t="str">
            <v>10106132-6006003LF</v>
          </cell>
          <cell r="B380"/>
          <cell r="C380"/>
          <cell r="D380"/>
          <cell r="E380"/>
          <cell r="F380"/>
          <cell r="G380">
            <v>4.4999999999999998E-2</v>
          </cell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>
            <v>3.3E-3</v>
          </cell>
        </row>
        <row r="381">
          <cell r="A381" t="str">
            <v>10106132-7008001LF</v>
          </cell>
          <cell r="B381"/>
          <cell r="C381"/>
          <cell r="D381"/>
          <cell r="E381"/>
          <cell r="F381"/>
          <cell r="G381">
            <v>3.9E-2</v>
          </cell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>
            <v>3.3E-3</v>
          </cell>
        </row>
        <row r="382">
          <cell r="A382" t="str">
            <v>10106132-7008002LF</v>
          </cell>
          <cell r="B382"/>
          <cell r="C382"/>
          <cell r="D382"/>
          <cell r="E382"/>
          <cell r="F382"/>
          <cell r="G382">
            <v>3.9E-2</v>
          </cell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>
            <v>3.3E-3</v>
          </cell>
        </row>
        <row r="383">
          <cell r="A383" t="str">
            <v>10106132-8000001LF</v>
          </cell>
          <cell r="B383"/>
          <cell r="C383"/>
          <cell r="D383"/>
          <cell r="E383"/>
          <cell r="F383"/>
          <cell r="G383">
            <v>3.5000000000000003E-2</v>
          </cell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>
            <v>6.1000000000000004E-3</v>
          </cell>
        </row>
        <row r="384">
          <cell r="A384" t="str">
            <v>10106132-8003002LF</v>
          </cell>
          <cell r="B384"/>
          <cell r="C384"/>
          <cell r="D384"/>
          <cell r="E384"/>
          <cell r="F384"/>
          <cell r="G384">
            <v>5.6000000000000001E-2</v>
          </cell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>
            <v>6.1000000000000004E-3</v>
          </cell>
        </row>
        <row r="385">
          <cell r="A385" t="str">
            <v>10106132-8003003LF</v>
          </cell>
          <cell r="B385"/>
          <cell r="C385"/>
          <cell r="D385"/>
          <cell r="E385"/>
          <cell r="F385"/>
          <cell r="G385">
            <v>4.8000000000000001E-2</v>
          </cell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>
            <v>3.3E-3</v>
          </cell>
        </row>
        <row r="386">
          <cell r="A386" t="str">
            <v>10106132-8004001LF</v>
          </cell>
          <cell r="B386"/>
          <cell r="C386"/>
          <cell r="D386"/>
          <cell r="E386"/>
          <cell r="F386"/>
          <cell r="G386">
            <v>4.1000000000000002E-2</v>
          </cell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>
            <v>3.3E-3</v>
          </cell>
        </row>
        <row r="387">
          <cell r="A387" t="str">
            <v>10106132-8004003LF</v>
          </cell>
          <cell r="B387"/>
          <cell r="C387"/>
          <cell r="D387"/>
          <cell r="E387"/>
          <cell r="F387"/>
          <cell r="G387">
            <v>4.1000000000000002E-2</v>
          </cell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>
            <v>3.3E-3</v>
          </cell>
        </row>
        <row r="388">
          <cell r="A388" t="str">
            <v>10106132-8005001LF</v>
          </cell>
          <cell r="B388"/>
          <cell r="C388"/>
          <cell r="D388"/>
          <cell r="E388"/>
          <cell r="F388"/>
          <cell r="G388">
            <v>3.0300000000000001E-2</v>
          </cell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>
            <v>2E-3</v>
          </cell>
        </row>
        <row r="389">
          <cell r="A389" t="str">
            <v>10106132-8005002LF</v>
          </cell>
          <cell r="B389"/>
          <cell r="C389"/>
          <cell r="D389"/>
          <cell r="E389"/>
          <cell r="F389"/>
          <cell r="G389">
            <v>0.02</v>
          </cell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>
            <v>3.0000000000000001E-3</v>
          </cell>
        </row>
        <row r="390">
          <cell r="A390" t="str">
            <v>10106132-8005K01LF</v>
          </cell>
          <cell r="B390"/>
          <cell r="C390"/>
          <cell r="D390"/>
          <cell r="E390"/>
          <cell r="F390"/>
          <cell r="G390">
            <v>2.5000000000000001E-2</v>
          </cell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>
            <v>3.0000000000000001E-3</v>
          </cell>
        </row>
        <row r="391">
          <cell r="A391" t="str">
            <v>10106132-8008002LF</v>
          </cell>
          <cell r="B391"/>
          <cell r="C391"/>
          <cell r="D391"/>
          <cell r="E391"/>
          <cell r="F391"/>
          <cell r="G391">
            <v>0.05</v>
          </cell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>
            <v>3.0000000000000001E-3</v>
          </cell>
        </row>
        <row r="392">
          <cell r="A392" t="str">
            <v>10106132-8008102LF</v>
          </cell>
          <cell r="B392"/>
          <cell r="C392"/>
          <cell r="D392"/>
          <cell r="E392"/>
          <cell r="F392"/>
          <cell r="G392">
            <v>4.5999999999999999E-2</v>
          </cell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>
            <v>3.3E-3</v>
          </cell>
        </row>
        <row r="393">
          <cell r="A393" t="str">
            <v>10106132-8017001LF</v>
          </cell>
          <cell r="B393"/>
          <cell r="C393"/>
          <cell r="D393"/>
          <cell r="E393"/>
          <cell r="F393"/>
          <cell r="G393">
            <v>5.8599999999999999E-2</v>
          </cell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>
            <v>3.3E-3</v>
          </cell>
        </row>
        <row r="394">
          <cell r="A394" t="str">
            <v>10106132-8023001LF</v>
          </cell>
          <cell r="B394"/>
          <cell r="C394"/>
          <cell r="D394"/>
          <cell r="E394"/>
          <cell r="F394"/>
          <cell r="G394">
            <v>5.8999999999999997E-2</v>
          </cell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>
            <v>7.0000000000000001E-3</v>
          </cell>
        </row>
        <row r="395">
          <cell r="A395" t="str">
            <v>10106132-A000001LF</v>
          </cell>
          <cell r="B395"/>
          <cell r="C395"/>
          <cell r="D395"/>
          <cell r="E395"/>
          <cell r="F395"/>
          <cell r="G395">
            <v>3.7999999999999999E-2</v>
          </cell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>
            <v>6.1000000000000004E-3</v>
          </cell>
        </row>
        <row r="396">
          <cell r="A396" t="str">
            <v>10106132-A003001LF</v>
          </cell>
          <cell r="B396"/>
          <cell r="C396"/>
          <cell r="D396"/>
          <cell r="E396"/>
          <cell r="F396"/>
          <cell r="G396">
            <v>5.5E-2</v>
          </cell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>
            <v>3.3E-3</v>
          </cell>
        </row>
        <row r="397">
          <cell r="A397" t="str">
            <v>10106132-A005002LF</v>
          </cell>
          <cell r="B397"/>
          <cell r="C397"/>
          <cell r="D397"/>
          <cell r="E397"/>
          <cell r="F397"/>
          <cell r="G397">
            <v>2.3E-2</v>
          </cell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>
            <v>3.0000000000000001E-3</v>
          </cell>
        </row>
        <row r="398">
          <cell r="A398" t="str">
            <v>10106132-A006001LF</v>
          </cell>
          <cell r="B398"/>
          <cell r="C398"/>
          <cell r="D398"/>
          <cell r="E398"/>
          <cell r="F398"/>
          <cell r="G398">
            <v>3.2000000000000001E-2</v>
          </cell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>
            <v>2E-3</v>
          </cell>
        </row>
        <row r="399">
          <cell r="A399" t="str">
            <v>10106132-A006003LF</v>
          </cell>
          <cell r="B399"/>
          <cell r="C399"/>
          <cell r="D399"/>
          <cell r="E399"/>
          <cell r="F399"/>
          <cell r="G399">
            <v>3.7900000000000003E-2</v>
          </cell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>
            <v>3.3E-3</v>
          </cell>
        </row>
        <row r="400">
          <cell r="A400" t="str">
            <v>10106132-A006101LF</v>
          </cell>
          <cell r="B400"/>
          <cell r="C400"/>
          <cell r="D400"/>
          <cell r="E400"/>
          <cell r="F400"/>
          <cell r="G400">
            <v>4.3999999999999997E-2</v>
          </cell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>
            <v>3.3E-3</v>
          </cell>
        </row>
        <row r="401">
          <cell r="A401" t="str">
            <v>10106132-A007001LF</v>
          </cell>
          <cell r="B401"/>
          <cell r="C401"/>
          <cell r="D401"/>
          <cell r="E401"/>
          <cell r="F401"/>
          <cell r="G401">
            <v>3.6999999999999998E-2</v>
          </cell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>
            <v>3.3E-3</v>
          </cell>
        </row>
        <row r="402">
          <cell r="A402" t="str">
            <v>10106132-A008001LF</v>
          </cell>
          <cell r="B402"/>
          <cell r="C402"/>
          <cell r="D402"/>
          <cell r="E402"/>
          <cell r="F402"/>
          <cell r="G402">
            <v>3.4000000000000002E-2</v>
          </cell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>
            <v>2E-3</v>
          </cell>
        </row>
        <row r="403">
          <cell r="A403" t="str">
            <v>10106132-A016001LF</v>
          </cell>
          <cell r="B403"/>
          <cell r="C403"/>
          <cell r="D403"/>
          <cell r="E403"/>
          <cell r="F403"/>
          <cell r="G403">
            <v>4.9000000000000002E-2</v>
          </cell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>
            <v>7.0000000000000001E-3</v>
          </cell>
        </row>
        <row r="404">
          <cell r="A404" t="str">
            <v>10106132-B000001LF</v>
          </cell>
          <cell r="B404"/>
          <cell r="C404"/>
          <cell r="D404"/>
          <cell r="E404"/>
          <cell r="F404"/>
          <cell r="G404">
            <v>2.8000000000000001E-2</v>
          </cell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>
            <v>6.1000000000000004E-3</v>
          </cell>
        </row>
        <row r="405">
          <cell r="A405" t="str">
            <v>10106132-B006002LF</v>
          </cell>
          <cell r="B405"/>
          <cell r="C405"/>
          <cell r="D405"/>
          <cell r="E405"/>
          <cell r="F405"/>
          <cell r="G405">
            <v>2.5000000000000001E-2</v>
          </cell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>
            <v>2E-3</v>
          </cell>
        </row>
        <row r="406">
          <cell r="A406" t="str">
            <v>10106132-B006003LF</v>
          </cell>
          <cell r="B406"/>
          <cell r="C406"/>
          <cell r="D406"/>
          <cell r="E406"/>
          <cell r="F406"/>
          <cell r="G406">
            <v>4.7E-2</v>
          </cell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>
            <v>3.3E-3</v>
          </cell>
        </row>
        <row r="407">
          <cell r="A407" t="str">
            <v>10106132-B006004LF</v>
          </cell>
          <cell r="B407"/>
          <cell r="C407"/>
          <cell r="D407"/>
          <cell r="E407"/>
          <cell r="F407"/>
          <cell r="G407">
            <v>4.8000000000000001E-2</v>
          </cell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>
            <v>3.3E-3</v>
          </cell>
        </row>
        <row r="408">
          <cell r="A408" t="str">
            <v>10106132-C000001LF</v>
          </cell>
          <cell r="B408"/>
          <cell r="C408"/>
          <cell r="D408"/>
          <cell r="E408"/>
          <cell r="F408"/>
          <cell r="G408">
            <v>3.2000000000000001E-2</v>
          </cell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>
            <v>6.1000000000000004E-3</v>
          </cell>
        </row>
        <row r="409">
          <cell r="A409" t="str">
            <v>10106132-C003001LF</v>
          </cell>
          <cell r="B409"/>
          <cell r="C409"/>
          <cell r="D409"/>
          <cell r="E409"/>
          <cell r="F409"/>
          <cell r="G409">
            <v>4.4999999999999998E-2</v>
          </cell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>
            <v>3.3E-3</v>
          </cell>
        </row>
        <row r="410">
          <cell r="A410" t="str">
            <v>10106132-C004K01LF</v>
          </cell>
          <cell r="B410"/>
          <cell r="C410"/>
          <cell r="D410"/>
          <cell r="E410"/>
          <cell r="F410"/>
          <cell r="G410">
            <v>3.4000000000000002E-2</v>
          </cell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>
            <v>3.3E-3</v>
          </cell>
        </row>
        <row r="411">
          <cell r="A411" t="str">
            <v>10106132-C006001LF</v>
          </cell>
          <cell r="B411"/>
          <cell r="C411"/>
          <cell r="D411"/>
          <cell r="E411"/>
          <cell r="F411"/>
          <cell r="G411">
            <v>5.6000000000000001E-2</v>
          </cell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>
            <v>3.3E-3</v>
          </cell>
        </row>
        <row r="412">
          <cell r="A412" t="str">
            <v>10106132-C006002LF</v>
          </cell>
          <cell r="B412"/>
          <cell r="C412"/>
          <cell r="D412"/>
          <cell r="E412"/>
          <cell r="F412"/>
          <cell r="G412">
            <v>5.5E-2</v>
          </cell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>
            <v>3.3E-3</v>
          </cell>
        </row>
        <row r="413">
          <cell r="A413" t="str">
            <v>10106132-D006003LF</v>
          </cell>
          <cell r="B413"/>
          <cell r="C413"/>
          <cell r="D413"/>
          <cell r="E413"/>
          <cell r="F413"/>
          <cell r="G413">
            <v>5.2999999999999999E-2</v>
          </cell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>
            <v>3.3E-3</v>
          </cell>
        </row>
        <row r="414">
          <cell r="A414" t="str">
            <v>10106132-F005K01LF</v>
          </cell>
          <cell r="B414"/>
          <cell r="C414"/>
          <cell r="D414"/>
          <cell r="E414"/>
          <cell r="F414"/>
          <cell r="G414">
            <v>3.3000000000000002E-2</v>
          </cell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>
            <v>5.0000000000000001E-3</v>
          </cell>
        </row>
        <row r="415">
          <cell r="A415" t="str">
            <v>10106132-G000001LF</v>
          </cell>
          <cell r="B415"/>
          <cell r="C415"/>
          <cell r="D415"/>
          <cell r="E415"/>
          <cell r="F415"/>
          <cell r="G415">
            <v>2.4E-2</v>
          </cell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>
            <v>7.0000000000000001E-3</v>
          </cell>
        </row>
        <row r="416">
          <cell r="A416" t="str">
            <v>10106132-H006001LF</v>
          </cell>
          <cell r="B416"/>
          <cell r="C416"/>
          <cell r="D416"/>
          <cell r="E416"/>
          <cell r="F416"/>
          <cell r="G416">
            <v>5.6000000000000001E-2</v>
          </cell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>
            <v>3.3E-3</v>
          </cell>
        </row>
        <row r="417">
          <cell r="A417" t="str">
            <v>10106132-J008001LF</v>
          </cell>
          <cell r="B417"/>
          <cell r="C417"/>
          <cell r="D417"/>
          <cell r="E417"/>
          <cell r="F417"/>
          <cell r="G417">
            <v>6.0999999999999999E-2</v>
          </cell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>
            <v>3.0000000000000001E-3</v>
          </cell>
        </row>
        <row r="418">
          <cell r="A418" t="str">
            <v>10106132-J008002LF</v>
          </cell>
          <cell r="B418"/>
          <cell r="C418"/>
          <cell r="D418"/>
          <cell r="E418"/>
          <cell r="F418"/>
          <cell r="G418">
            <v>5.0999999999999997E-2</v>
          </cell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>
            <v>3.3E-3</v>
          </cell>
        </row>
        <row r="419">
          <cell r="A419" t="str">
            <v>10106132-L002001LF</v>
          </cell>
          <cell r="B419"/>
          <cell r="C419"/>
          <cell r="D419"/>
          <cell r="E419"/>
          <cell r="F419"/>
          <cell r="G419">
            <v>4.8000000000000001E-2</v>
          </cell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>
            <v>3.3E-3</v>
          </cell>
        </row>
        <row r="420">
          <cell r="A420" t="str">
            <v>10106132-N003001LF</v>
          </cell>
          <cell r="B420"/>
          <cell r="C420"/>
          <cell r="D420"/>
          <cell r="E420"/>
          <cell r="F420"/>
          <cell r="G420">
            <v>5.6000000000000001E-2</v>
          </cell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>
            <v>3.3E-3</v>
          </cell>
        </row>
        <row r="421">
          <cell r="A421" t="str">
            <v>10106133-2000004LF</v>
          </cell>
          <cell r="B421"/>
          <cell r="C421"/>
          <cell r="D421"/>
          <cell r="E421"/>
          <cell r="F421"/>
          <cell r="G421">
            <v>2.1000000000000001E-2</v>
          </cell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</row>
        <row r="422">
          <cell r="A422" t="str">
            <v>10106133-2000005LF</v>
          </cell>
          <cell r="B422"/>
          <cell r="C422"/>
          <cell r="D422"/>
          <cell r="E422"/>
          <cell r="F422"/>
          <cell r="G422">
            <v>1.6E-2</v>
          </cell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</row>
        <row r="423">
          <cell r="A423" t="str">
            <v>10106133-2012001LF</v>
          </cell>
          <cell r="B423"/>
          <cell r="C423"/>
          <cell r="D423"/>
          <cell r="E423"/>
          <cell r="F423"/>
          <cell r="G423">
            <v>2.8000000000000001E-2</v>
          </cell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>
            <v>4.0000000000000001E-3</v>
          </cell>
        </row>
        <row r="424">
          <cell r="A424" t="str">
            <v>10106133-4009001LF</v>
          </cell>
          <cell r="B424"/>
          <cell r="C424"/>
          <cell r="D424"/>
          <cell r="E424"/>
          <cell r="F424"/>
          <cell r="G424">
            <v>3.7999999999999999E-2</v>
          </cell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>
            <v>8.9999999999999993E-3</v>
          </cell>
        </row>
        <row r="425">
          <cell r="A425" t="str">
            <v>10106133-8007001LF</v>
          </cell>
          <cell r="B425"/>
          <cell r="C425"/>
          <cell r="D425"/>
          <cell r="E425"/>
          <cell r="F425"/>
          <cell r="G425">
            <v>3.5999999999999997E-2</v>
          </cell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>
            <v>5.0000000000000001E-3</v>
          </cell>
        </row>
        <row r="426">
          <cell r="A426" t="str">
            <v>10106135-2000K02LF</v>
          </cell>
          <cell r="B426"/>
          <cell r="C426"/>
          <cell r="D426"/>
          <cell r="E426"/>
          <cell r="F426"/>
          <cell r="G426">
            <v>2.7E-2</v>
          </cell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>
            <v>3.0000000000000001E-3</v>
          </cell>
        </row>
        <row r="427">
          <cell r="A427" t="str">
            <v>10106138-2000005LF</v>
          </cell>
          <cell r="B427"/>
          <cell r="C427"/>
          <cell r="D427"/>
          <cell r="E427"/>
          <cell r="F427"/>
          <cell r="G427">
            <v>2.1999999999999999E-2</v>
          </cell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>
            <v>6.1000000000000004E-3</v>
          </cell>
        </row>
        <row r="428">
          <cell r="A428" t="str">
            <v>10106138-2000006LF</v>
          </cell>
          <cell r="B428"/>
          <cell r="C428"/>
          <cell r="D428"/>
          <cell r="E428"/>
          <cell r="F428"/>
          <cell r="G428">
            <v>2.5000000000000001E-2</v>
          </cell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>
            <v>6.1000000000000004E-3</v>
          </cell>
        </row>
        <row r="429">
          <cell r="A429" t="str">
            <v>10106138-2000007LF</v>
          </cell>
          <cell r="B429"/>
          <cell r="C429"/>
          <cell r="D429"/>
          <cell r="E429"/>
          <cell r="F429"/>
          <cell r="G429">
            <v>4.3999999999999997E-2</v>
          </cell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>
            <v>9.1000000000000004E-3</v>
          </cell>
        </row>
        <row r="430">
          <cell r="A430" t="str">
            <v>10106138-2000008LF</v>
          </cell>
          <cell r="B430"/>
          <cell r="C430"/>
          <cell r="D430"/>
          <cell r="E430"/>
          <cell r="F430"/>
          <cell r="G430">
            <v>2.5000000000000001E-2</v>
          </cell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>
            <v>3.0000000000000001E-3</v>
          </cell>
        </row>
        <row r="431">
          <cell r="A431" t="str">
            <v>10106138-2002001LF</v>
          </cell>
          <cell r="B431"/>
          <cell r="C431"/>
          <cell r="D431"/>
          <cell r="E431"/>
          <cell r="F431"/>
          <cell r="G431">
            <v>1.9E-2</v>
          </cell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>
            <v>3.0000000000000001E-3</v>
          </cell>
        </row>
        <row r="432">
          <cell r="A432" t="str">
            <v>10106138-2003001LF</v>
          </cell>
          <cell r="B432"/>
          <cell r="C432"/>
          <cell r="D432"/>
          <cell r="E432"/>
          <cell r="F432"/>
          <cell r="G432">
            <v>1.41E-2</v>
          </cell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>
            <v>3.3E-3</v>
          </cell>
        </row>
        <row r="433">
          <cell r="A433" t="str">
            <v>10106138-2004001LF</v>
          </cell>
          <cell r="B433"/>
          <cell r="C433"/>
          <cell r="D433"/>
          <cell r="E433"/>
          <cell r="F433"/>
          <cell r="G433">
            <v>2.1999999999999999E-2</v>
          </cell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>
            <v>3.3E-3</v>
          </cell>
        </row>
        <row r="434">
          <cell r="A434" t="str">
            <v>10106138-2004002LF</v>
          </cell>
          <cell r="B434"/>
          <cell r="C434"/>
          <cell r="D434"/>
          <cell r="E434"/>
          <cell r="F434"/>
          <cell r="G434">
            <v>1.7999999999999999E-2</v>
          </cell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>
            <v>3.3E-3</v>
          </cell>
        </row>
        <row r="435">
          <cell r="A435" t="str">
            <v>10106138-3000001LF</v>
          </cell>
          <cell r="B435"/>
          <cell r="C435"/>
          <cell r="D435"/>
          <cell r="E435"/>
          <cell r="F435"/>
          <cell r="G435">
            <v>2.5999999999999999E-2</v>
          </cell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>
            <v>6.1000000000000004E-3</v>
          </cell>
        </row>
        <row r="436">
          <cell r="A436" t="str">
            <v>10106138-3003001LF</v>
          </cell>
          <cell r="B436"/>
          <cell r="C436"/>
          <cell r="D436"/>
          <cell r="E436"/>
          <cell r="F436"/>
          <cell r="G436">
            <v>1.7999999999999999E-2</v>
          </cell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>
            <v>3.3E-3</v>
          </cell>
        </row>
        <row r="437">
          <cell r="A437" t="str">
            <v>10106138-4000003LF</v>
          </cell>
          <cell r="B437"/>
          <cell r="C437"/>
          <cell r="D437"/>
          <cell r="E437"/>
          <cell r="F437"/>
          <cell r="G437">
            <v>2.3E-2</v>
          </cell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>
            <v>3.0000000000000001E-3</v>
          </cell>
        </row>
        <row r="438">
          <cell r="A438" t="str">
            <v>10106138-4001002LF</v>
          </cell>
          <cell r="B438"/>
          <cell r="C438"/>
          <cell r="D438"/>
          <cell r="E438"/>
          <cell r="F438"/>
          <cell r="G438">
            <v>3.2000000000000001E-2</v>
          </cell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>
            <v>3.3E-3</v>
          </cell>
        </row>
        <row r="439">
          <cell r="A439" t="str">
            <v>10106138-4002001LF</v>
          </cell>
          <cell r="B439"/>
          <cell r="C439"/>
          <cell r="D439"/>
          <cell r="E439"/>
          <cell r="F439"/>
          <cell r="G439">
            <v>2.8000000000000001E-2</v>
          </cell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>
            <v>3.3E-3</v>
          </cell>
        </row>
        <row r="440">
          <cell r="A440" t="str">
            <v>10106138-4003001LF</v>
          </cell>
          <cell r="B440"/>
          <cell r="C440"/>
          <cell r="D440"/>
          <cell r="E440"/>
          <cell r="F440"/>
          <cell r="G440">
            <v>2.5000000000000001E-2</v>
          </cell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>
            <v>3.3E-3</v>
          </cell>
        </row>
        <row r="441">
          <cell r="A441" t="str">
            <v>10106138-4003002LF</v>
          </cell>
          <cell r="B441"/>
          <cell r="C441"/>
          <cell r="D441"/>
          <cell r="E441"/>
          <cell r="F441"/>
          <cell r="G441">
            <v>2.3E-2</v>
          </cell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>
            <v>4.4000000000000003E-3</v>
          </cell>
        </row>
        <row r="442">
          <cell r="A442" t="str">
            <v>10106138-4003004LF</v>
          </cell>
          <cell r="B442"/>
          <cell r="C442"/>
          <cell r="D442"/>
          <cell r="E442"/>
          <cell r="F442"/>
          <cell r="G442">
            <v>3.4000000000000002E-2</v>
          </cell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>
            <v>5.0000000000000001E-3</v>
          </cell>
        </row>
        <row r="443">
          <cell r="A443" t="str">
            <v>10106138-4006002LF</v>
          </cell>
          <cell r="B443"/>
          <cell r="C443"/>
          <cell r="D443"/>
          <cell r="E443"/>
          <cell r="F443"/>
          <cell r="G443">
            <v>1.9E-2</v>
          </cell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>
            <v>6.7000000000000002E-3</v>
          </cell>
        </row>
        <row r="444">
          <cell r="A444" t="str">
            <v>10106138-4009101LF</v>
          </cell>
          <cell r="B444"/>
          <cell r="C444"/>
          <cell r="D444"/>
          <cell r="E444"/>
          <cell r="F444"/>
          <cell r="G444">
            <v>3.5000000000000003E-2</v>
          </cell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>
            <v>0.01</v>
          </cell>
        </row>
        <row r="445">
          <cell r="A445" t="str">
            <v>10106138-4027101LF</v>
          </cell>
          <cell r="B445"/>
          <cell r="C445"/>
          <cell r="D445"/>
          <cell r="E445"/>
          <cell r="F445"/>
          <cell r="G445">
            <v>2.7E-2</v>
          </cell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>
            <v>1.9E-2</v>
          </cell>
        </row>
        <row r="446">
          <cell r="A446" t="str">
            <v>10106138-5005001LF</v>
          </cell>
          <cell r="B446"/>
          <cell r="C446"/>
          <cell r="D446"/>
          <cell r="E446"/>
          <cell r="F446"/>
          <cell r="G446">
            <v>3.3000000000000002E-2</v>
          </cell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>
            <v>6.7000000000000002E-3</v>
          </cell>
        </row>
        <row r="447">
          <cell r="A447" t="str">
            <v>10106138-7008001LF</v>
          </cell>
          <cell r="B447"/>
          <cell r="C447"/>
          <cell r="D447"/>
          <cell r="E447"/>
          <cell r="F447"/>
          <cell r="G447">
            <v>3.5000000000000003E-2</v>
          </cell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>
            <v>7.0000000000000001E-3</v>
          </cell>
        </row>
        <row r="448">
          <cell r="A448" t="str">
            <v>10106138-7008002LF</v>
          </cell>
          <cell r="B448"/>
          <cell r="C448"/>
          <cell r="D448"/>
          <cell r="E448"/>
          <cell r="F448"/>
          <cell r="G448">
            <v>3.5000000000000003E-2</v>
          </cell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>
            <v>7.0000000000000001E-3</v>
          </cell>
        </row>
        <row r="449">
          <cell r="A449" t="str">
            <v>10106138-8003001LF</v>
          </cell>
          <cell r="B449"/>
          <cell r="C449"/>
          <cell r="D449"/>
          <cell r="E449"/>
          <cell r="F449"/>
          <cell r="G449">
            <v>2.5000000000000001E-2</v>
          </cell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>
            <v>3.3E-3</v>
          </cell>
        </row>
        <row r="450">
          <cell r="A450" t="str">
            <v>10106138-8005001LF</v>
          </cell>
          <cell r="B450"/>
          <cell r="C450"/>
          <cell r="D450"/>
          <cell r="E450"/>
          <cell r="F450"/>
          <cell r="G450">
            <v>2.5999999999999999E-2</v>
          </cell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>
            <v>6.6E-3</v>
          </cell>
        </row>
        <row r="451">
          <cell r="A451" t="str">
            <v>10106138-A000001LF</v>
          </cell>
          <cell r="B451"/>
          <cell r="C451"/>
          <cell r="D451"/>
          <cell r="E451"/>
          <cell r="F451"/>
          <cell r="G451">
            <v>4.9099999999999998E-2</v>
          </cell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>
            <v>6.1000000000000004E-3</v>
          </cell>
        </row>
        <row r="452">
          <cell r="A452" t="str">
            <v>10106138-A008002LF</v>
          </cell>
          <cell r="B452"/>
          <cell r="C452"/>
          <cell r="D452"/>
          <cell r="E452"/>
          <cell r="F452"/>
          <cell r="G452">
            <v>2.8000000000000001E-2</v>
          </cell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>
            <v>8.0000000000000002E-3</v>
          </cell>
        </row>
        <row r="453">
          <cell r="A453" t="str">
            <v>10106138-A016001LF</v>
          </cell>
          <cell r="B453"/>
          <cell r="C453"/>
          <cell r="D453"/>
          <cell r="E453"/>
          <cell r="F453"/>
          <cell r="G453">
            <v>4.4999999999999998E-2</v>
          </cell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>
            <v>1.2E-2</v>
          </cell>
        </row>
        <row r="454">
          <cell r="A454" t="str">
            <v>10106138-C000001LF</v>
          </cell>
          <cell r="B454"/>
          <cell r="C454"/>
          <cell r="D454"/>
          <cell r="E454"/>
          <cell r="F454"/>
          <cell r="G454">
            <v>2.7E-2</v>
          </cell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>
            <v>6.1000000000000004E-3</v>
          </cell>
        </row>
        <row r="455">
          <cell r="A455" t="str">
            <v>10106138-C006001LF</v>
          </cell>
          <cell r="B455"/>
          <cell r="C455"/>
          <cell r="D455"/>
          <cell r="E455"/>
          <cell r="F455"/>
          <cell r="G455">
            <v>3.4000000000000002E-2</v>
          </cell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>
            <v>6.7000000000000002E-3</v>
          </cell>
        </row>
        <row r="456">
          <cell r="A456" t="str">
            <v>10106138-E012001LF</v>
          </cell>
          <cell r="B456"/>
          <cell r="C456"/>
          <cell r="D456"/>
          <cell r="E456"/>
          <cell r="F456"/>
          <cell r="G456">
            <v>3.2000000000000001E-2</v>
          </cell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>
            <v>1.2E-2</v>
          </cell>
        </row>
        <row r="457">
          <cell r="A457" t="str">
            <v>10106138-N007001LF</v>
          </cell>
          <cell r="B457"/>
          <cell r="C457"/>
          <cell r="D457"/>
          <cell r="E457"/>
          <cell r="F457"/>
          <cell r="G457">
            <v>3.9E-2</v>
          </cell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>
            <v>8.0000000000000002E-3</v>
          </cell>
        </row>
        <row r="458">
          <cell r="A458" t="str">
            <v>10106139-2000002LF</v>
          </cell>
          <cell r="B458"/>
          <cell r="C458"/>
          <cell r="D458"/>
          <cell r="E458"/>
          <cell r="F458"/>
          <cell r="G458">
            <v>2.7E-2</v>
          </cell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>
            <v>6.1000000000000004E-3</v>
          </cell>
        </row>
        <row r="459">
          <cell r="A459" t="str">
            <v>10106139-2000007LF</v>
          </cell>
          <cell r="B459"/>
          <cell r="C459"/>
          <cell r="D459"/>
          <cell r="E459"/>
          <cell r="F459"/>
          <cell r="G459">
            <v>1.9E-2</v>
          </cell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>
            <v>6.1000000000000004E-3</v>
          </cell>
        </row>
        <row r="460">
          <cell r="A460" t="str">
            <v>10106139-2000201LF</v>
          </cell>
          <cell r="B460"/>
          <cell r="C460"/>
          <cell r="D460"/>
          <cell r="E460"/>
          <cell r="F460"/>
          <cell r="G460">
            <v>2.4799999999999999E-2</v>
          </cell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>
            <v>6.1000000000000004E-3</v>
          </cell>
        </row>
        <row r="461">
          <cell r="A461" t="str">
            <v>10106139-2000A02LF</v>
          </cell>
          <cell r="B461"/>
          <cell r="C461"/>
          <cell r="D461"/>
          <cell r="E461"/>
          <cell r="F461"/>
          <cell r="G461">
            <v>1.9E-2</v>
          </cell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>
            <v>6.1000000000000004E-3</v>
          </cell>
        </row>
        <row r="462">
          <cell r="A462" t="str">
            <v>10106139-2010001LF</v>
          </cell>
          <cell r="B462"/>
          <cell r="C462"/>
          <cell r="D462"/>
          <cell r="E462"/>
          <cell r="F462"/>
          <cell r="G462">
            <v>3.1E-2</v>
          </cell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>
            <v>1.0999999999999999E-2</v>
          </cell>
        </row>
        <row r="463">
          <cell r="A463" t="str">
            <v>10106139-4000001LF</v>
          </cell>
          <cell r="B463"/>
          <cell r="C463"/>
          <cell r="D463"/>
          <cell r="E463"/>
          <cell r="F463"/>
          <cell r="G463">
            <v>2.1999999999999999E-2</v>
          </cell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>
            <v>6.1000000000000004E-3</v>
          </cell>
        </row>
        <row r="464">
          <cell r="A464" t="str">
            <v>10106139-4000K01LF</v>
          </cell>
          <cell r="B464"/>
          <cell r="C464"/>
          <cell r="D464"/>
          <cell r="E464"/>
          <cell r="F464"/>
          <cell r="G464">
            <v>2.1000000000000001E-2</v>
          </cell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>
            <v>3.0000000000000001E-3</v>
          </cell>
        </row>
        <row r="465">
          <cell r="A465" t="str">
            <v>10106139-4000K02LF</v>
          </cell>
          <cell r="B465"/>
          <cell r="C465"/>
          <cell r="D465"/>
          <cell r="E465"/>
          <cell r="F465"/>
          <cell r="G465">
            <v>2.1000000000000001E-2</v>
          </cell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>
            <v>3.0000000000000001E-3</v>
          </cell>
        </row>
        <row r="466">
          <cell r="A466" t="str">
            <v>10106139-4003002LF</v>
          </cell>
          <cell r="B466"/>
          <cell r="C466"/>
          <cell r="D466"/>
          <cell r="E466"/>
          <cell r="F466"/>
          <cell r="G466">
            <v>3.4000000000000002E-2</v>
          </cell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>
            <v>1.2E-2</v>
          </cell>
        </row>
        <row r="467">
          <cell r="A467" t="str">
            <v>10106139-4004K02LF</v>
          </cell>
          <cell r="B467"/>
          <cell r="C467"/>
          <cell r="D467"/>
          <cell r="E467"/>
          <cell r="F467"/>
          <cell r="G467">
            <v>2.8000000000000001E-2</v>
          </cell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>
            <v>5.0000000000000001E-3</v>
          </cell>
        </row>
        <row r="468">
          <cell r="A468" t="str">
            <v>10106139-4006K01LF</v>
          </cell>
          <cell r="B468"/>
          <cell r="C468"/>
          <cell r="D468"/>
          <cell r="E468"/>
          <cell r="F468"/>
          <cell r="G468">
            <v>0.03</v>
          </cell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>
            <v>5.0000000000000001E-3</v>
          </cell>
        </row>
        <row r="469">
          <cell r="A469" t="str">
            <v>10106139-4009001LF</v>
          </cell>
          <cell r="B469"/>
          <cell r="C469"/>
          <cell r="D469"/>
          <cell r="E469"/>
          <cell r="F469"/>
          <cell r="G469">
            <v>2.5999999999999999E-2</v>
          </cell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>
            <v>0.01</v>
          </cell>
        </row>
        <row r="470">
          <cell r="A470" t="str">
            <v>10106139-4009101LF</v>
          </cell>
          <cell r="B470"/>
          <cell r="C470"/>
          <cell r="D470"/>
          <cell r="E470"/>
          <cell r="F470"/>
          <cell r="G470">
            <v>2.895E-2</v>
          </cell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>
            <v>0.01</v>
          </cell>
        </row>
        <row r="471">
          <cell r="A471" t="str">
            <v>10106139-4016001LF</v>
          </cell>
          <cell r="B471"/>
          <cell r="C471"/>
          <cell r="D471"/>
          <cell r="E471"/>
          <cell r="F471"/>
          <cell r="G471">
            <v>3.5000000000000003E-2</v>
          </cell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>
            <v>0.01</v>
          </cell>
        </row>
        <row r="472">
          <cell r="A472" t="str">
            <v>10106139-4027101LF</v>
          </cell>
          <cell r="B472"/>
          <cell r="C472"/>
          <cell r="D472"/>
          <cell r="E472"/>
          <cell r="F472"/>
          <cell r="G472">
            <v>2.9000000000000001E-2</v>
          </cell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>
            <v>0.03</v>
          </cell>
        </row>
        <row r="473">
          <cell r="A473" t="str">
            <v>10106139-5005001LF</v>
          </cell>
          <cell r="B473"/>
          <cell r="C473"/>
          <cell r="D473"/>
          <cell r="E473"/>
          <cell r="F473"/>
          <cell r="G473">
            <v>2.8000000000000001E-2</v>
          </cell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>
            <v>6.7000000000000002E-3</v>
          </cell>
        </row>
        <row r="474">
          <cell r="A474" t="str">
            <v>10106139-6000K01LF</v>
          </cell>
          <cell r="B474"/>
          <cell r="C474"/>
          <cell r="D474"/>
          <cell r="E474"/>
          <cell r="F474"/>
          <cell r="G474">
            <v>2.7E-2</v>
          </cell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>
            <v>3.0000000000000001E-3</v>
          </cell>
        </row>
        <row r="475">
          <cell r="A475" t="str">
            <v>10106139-6000K02LF</v>
          </cell>
          <cell r="B475"/>
          <cell r="C475"/>
          <cell r="D475"/>
          <cell r="E475"/>
          <cell r="F475"/>
          <cell r="G475">
            <v>2.1999999999999999E-2</v>
          </cell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>
            <v>4.0000000000000001E-3</v>
          </cell>
        </row>
        <row r="476">
          <cell r="A476" t="str">
            <v>10106139-6005001LF</v>
          </cell>
          <cell r="B476"/>
          <cell r="C476"/>
          <cell r="D476"/>
          <cell r="E476"/>
          <cell r="F476"/>
          <cell r="G476">
            <v>3.4000000000000002E-2</v>
          </cell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>
            <v>5.0000000000000001E-3</v>
          </cell>
        </row>
        <row r="477">
          <cell r="A477" t="str">
            <v>10106139-6006001LF</v>
          </cell>
          <cell r="B477"/>
          <cell r="C477"/>
          <cell r="D477"/>
          <cell r="E477"/>
          <cell r="F477"/>
          <cell r="G477">
            <v>3.3300000000000003E-2</v>
          </cell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>
            <v>8.8999999999999999E-3</v>
          </cell>
        </row>
        <row r="478">
          <cell r="A478" t="str">
            <v>10106139-8000001LF</v>
          </cell>
          <cell r="B478"/>
          <cell r="C478"/>
          <cell r="D478"/>
          <cell r="E478"/>
          <cell r="F478"/>
          <cell r="G478">
            <v>3.61E-2</v>
          </cell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>
            <v>2E-3</v>
          </cell>
        </row>
        <row r="479">
          <cell r="A479" t="str">
            <v>10106139-8003003LF</v>
          </cell>
          <cell r="B479"/>
          <cell r="C479"/>
          <cell r="D479"/>
          <cell r="E479"/>
          <cell r="F479"/>
          <cell r="G479">
            <v>4.4999999999999998E-2</v>
          </cell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>
            <v>1.2E-2</v>
          </cell>
        </row>
        <row r="480">
          <cell r="A480" t="str">
            <v>10106139-8005001LF</v>
          </cell>
          <cell r="B480"/>
          <cell r="C480"/>
          <cell r="D480"/>
          <cell r="E480"/>
          <cell r="F480"/>
          <cell r="G480">
            <v>3.8399999999999997E-2</v>
          </cell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>
            <v>3.3E-3</v>
          </cell>
        </row>
        <row r="481">
          <cell r="A481" t="str">
            <v>10106139-8005002LF</v>
          </cell>
          <cell r="B481"/>
          <cell r="C481"/>
          <cell r="D481"/>
          <cell r="E481"/>
          <cell r="F481"/>
          <cell r="G481">
            <v>3.7999999999999999E-2</v>
          </cell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>
            <v>5.5999999999999999E-3</v>
          </cell>
        </row>
        <row r="482">
          <cell r="A482" t="str">
            <v>10106139-8005003LF</v>
          </cell>
          <cell r="B482"/>
          <cell r="C482"/>
          <cell r="D482"/>
          <cell r="E482"/>
          <cell r="F482"/>
          <cell r="G482">
            <v>1.4999999999999999E-2</v>
          </cell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>
            <v>1.2999999999999999E-2</v>
          </cell>
        </row>
        <row r="483">
          <cell r="A483" t="str">
            <v>10106139-8005K01LF</v>
          </cell>
          <cell r="B483"/>
          <cell r="C483"/>
          <cell r="D483"/>
          <cell r="E483"/>
          <cell r="F483"/>
          <cell r="G483">
            <v>3.2000000000000001E-2</v>
          </cell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>
            <v>6.0000000000000001E-3</v>
          </cell>
        </row>
        <row r="484">
          <cell r="A484" t="str">
            <v>10106139-8006001LF</v>
          </cell>
          <cell r="B484"/>
          <cell r="C484"/>
          <cell r="D484"/>
          <cell r="E484"/>
          <cell r="F484"/>
          <cell r="G484">
            <v>3.4000000000000002E-2</v>
          </cell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>
            <v>6.7000000000000002E-3</v>
          </cell>
        </row>
        <row r="485">
          <cell r="A485" t="str">
            <v>10106139-8007001LF</v>
          </cell>
          <cell r="B485"/>
          <cell r="C485"/>
          <cell r="D485"/>
          <cell r="E485"/>
          <cell r="F485"/>
          <cell r="G485">
            <v>2.9000000000000001E-2</v>
          </cell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>
            <v>0.01</v>
          </cell>
        </row>
        <row r="486">
          <cell r="A486" t="str">
            <v>10106139-8008001LF</v>
          </cell>
          <cell r="B486"/>
          <cell r="C486"/>
          <cell r="D486"/>
          <cell r="E486"/>
          <cell r="F486"/>
          <cell r="G486">
            <v>0.04</v>
          </cell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>
            <v>2.5999999999999999E-2</v>
          </cell>
        </row>
        <row r="487">
          <cell r="A487" t="str">
            <v>10106139-8008101LF</v>
          </cell>
          <cell r="B487"/>
          <cell r="C487"/>
          <cell r="D487"/>
          <cell r="E487"/>
          <cell r="F487"/>
          <cell r="G487">
            <v>4.2999999999999997E-2</v>
          </cell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>
            <v>2.5999999999999999E-2</v>
          </cell>
        </row>
        <row r="488">
          <cell r="A488" t="str">
            <v>10106139-8017001LF</v>
          </cell>
          <cell r="B488"/>
          <cell r="C488"/>
          <cell r="D488"/>
          <cell r="E488"/>
          <cell r="F488"/>
          <cell r="G488">
            <v>4.8000000000000001E-2</v>
          </cell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>
            <v>5.3999999999999999E-2</v>
          </cell>
        </row>
        <row r="489">
          <cell r="A489" t="str">
            <v>10106139-8023001LF</v>
          </cell>
          <cell r="B489"/>
          <cell r="C489"/>
          <cell r="D489"/>
          <cell r="E489"/>
          <cell r="F489"/>
          <cell r="G489">
            <v>2.8000000000000001E-2</v>
          </cell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>
            <v>2.5999999999999999E-2</v>
          </cell>
        </row>
        <row r="490">
          <cell r="A490" t="str">
            <v>10106139-A000001LF</v>
          </cell>
          <cell r="B490"/>
          <cell r="C490"/>
          <cell r="D490"/>
          <cell r="E490"/>
          <cell r="F490"/>
          <cell r="G490">
            <v>3.3000000000000002E-2</v>
          </cell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>
            <v>6.1000000000000004E-3</v>
          </cell>
        </row>
        <row r="491">
          <cell r="A491" t="str">
            <v>10106139-A003001LF</v>
          </cell>
          <cell r="B491"/>
          <cell r="C491"/>
          <cell r="D491"/>
          <cell r="E491"/>
          <cell r="F491"/>
          <cell r="G491">
            <v>5.5E-2</v>
          </cell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>
            <v>1.2E-2</v>
          </cell>
        </row>
        <row r="492">
          <cell r="A492" t="str">
            <v>10106139-A005001LF</v>
          </cell>
          <cell r="B492"/>
          <cell r="C492"/>
          <cell r="D492"/>
          <cell r="E492"/>
          <cell r="F492"/>
          <cell r="G492">
            <v>3.1E-2</v>
          </cell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>
            <v>6.7000000000000002E-3</v>
          </cell>
        </row>
        <row r="493">
          <cell r="A493" t="str">
            <v>10106139-A006001LF</v>
          </cell>
          <cell r="B493"/>
          <cell r="C493"/>
          <cell r="D493"/>
          <cell r="E493"/>
          <cell r="F493"/>
          <cell r="G493">
            <v>2.9000000000000001E-2</v>
          </cell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>
            <v>3.0000000000000001E-3</v>
          </cell>
        </row>
        <row r="494">
          <cell r="A494" t="str">
            <v>10106139-A006101LF</v>
          </cell>
          <cell r="B494"/>
          <cell r="C494"/>
          <cell r="D494"/>
          <cell r="E494"/>
          <cell r="F494"/>
          <cell r="G494">
            <v>4.8000000000000001E-2</v>
          </cell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>
            <v>2.0199999999999999E-2</v>
          </cell>
        </row>
        <row r="495">
          <cell r="A495" t="str">
            <v>10106139-A007001LF</v>
          </cell>
          <cell r="B495"/>
          <cell r="C495"/>
          <cell r="D495"/>
          <cell r="E495"/>
          <cell r="F495"/>
          <cell r="G495">
            <v>3.4000000000000002E-2</v>
          </cell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>
            <v>7.0000000000000001E-3</v>
          </cell>
        </row>
        <row r="496">
          <cell r="A496" t="str">
            <v>10106139-A008001LF</v>
          </cell>
          <cell r="B496"/>
          <cell r="C496"/>
          <cell r="D496"/>
          <cell r="E496"/>
          <cell r="F496"/>
          <cell r="G496">
            <v>2.7E-2</v>
          </cell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>
            <v>4.0000000000000001E-3</v>
          </cell>
        </row>
        <row r="497">
          <cell r="A497" t="str">
            <v>10106139-B006002LF</v>
          </cell>
          <cell r="B497"/>
          <cell r="C497"/>
          <cell r="D497"/>
          <cell r="E497"/>
          <cell r="F497"/>
          <cell r="G497">
            <v>9.4999999999999998E-3</v>
          </cell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>
            <v>0.02</v>
          </cell>
        </row>
        <row r="498">
          <cell r="A498" t="str">
            <v>10106139-C000001LF</v>
          </cell>
          <cell r="B498"/>
          <cell r="C498"/>
          <cell r="D498"/>
          <cell r="E498"/>
          <cell r="F498"/>
          <cell r="G498">
            <v>5.7000000000000002E-2</v>
          </cell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>
            <v>6.1000000000000004E-3</v>
          </cell>
        </row>
        <row r="499">
          <cell r="A499" t="str">
            <v>10106139-C000002LF</v>
          </cell>
          <cell r="B499"/>
          <cell r="C499"/>
          <cell r="D499"/>
          <cell r="E499"/>
          <cell r="F499"/>
          <cell r="G499">
            <v>2.9000000000000001E-2</v>
          </cell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>
            <v>6.1000000000000004E-3</v>
          </cell>
        </row>
        <row r="500">
          <cell r="A500" t="str">
            <v>10106139-C003001LF</v>
          </cell>
          <cell r="B500"/>
          <cell r="C500"/>
          <cell r="D500"/>
          <cell r="E500"/>
          <cell r="F500"/>
          <cell r="G500">
            <v>3.1E-2</v>
          </cell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>
            <v>3.3E-3</v>
          </cell>
        </row>
        <row r="501">
          <cell r="A501" t="str">
            <v>10106139-C006002LF</v>
          </cell>
          <cell r="B501"/>
          <cell r="C501"/>
          <cell r="D501"/>
          <cell r="E501"/>
          <cell r="F501"/>
          <cell r="G501">
            <v>2.8000000000000001E-2</v>
          </cell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>
            <v>6.7000000000000002E-3</v>
          </cell>
        </row>
        <row r="502">
          <cell r="A502" t="str">
            <v>10106139-F003K01LF</v>
          </cell>
          <cell r="B502"/>
          <cell r="C502"/>
          <cell r="D502"/>
          <cell r="E502"/>
          <cell r="F502"/>
          <cell r="G502">
            <v>0.03</v>
          </cell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>
            <v>5.0000000000000001E-3</v>
          </cell>
        </row>
        <row r="503">
          <cell r="A503" t="str">
            <v>10106139-J008001LF</v>
          </cell>
          <cell r="B503"/>
          <cell r="C503"/>
          <cell r="D503"/>
          <cell r="E503"/>
          <cell r="F503"/>
          <cell r="G503">
            <v>6.7400000000000002E-2</v>
          </cell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>
            <v>1.12E-2</v>
          </cell>
        </row>
        <row r="504">
          <cell r="A504" t="str">
            <v>10106139-N007001LF</v>
          </cell>
          <cell r="B504"/>
          <cell r="C504"/>
          <cell r="D504"/>
          <cell r="E504"/>
          <cell r="F504"/>
          <cell r="G504">
            <v>3.5999999999999997E-2</v>
          </cell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>
            <v>8.0000000000000002E-3</v>
          </cell>
        </row>
        <row r="505">
          <cell r="A505" t="str">
            <v>10106262-0002002LF</v>
          </cell>
          <cell r="B505"/>
          <cell r="C505"/>
          <cell r="D505"/>
          <cell r="E505"/>
          <cell r="F505"/>
          <cell r="G505">
            <v>1.6934999999999999E-2</v>
          </cell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>
            <v>3.3E-3</v>
          </cell>
        </row>
        <row r="506">
          <cell r="A506" t="str">
            <v>10106262-0002003LF</v>
          </cell>
          <cell r="B506"/>
          <cell r="C506"/>
          <cell r="D506"/>
          <cell r="E506"/>
          <cell r="F506"/>
          <cell r="G506">
            <v>2.8000000000000001E-2</v>
          </cell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>
            <v>3.3E-3</v>
          </cell>
        </row>
        <row r="507">
          <cell r="A507" t="str">
            <v>10106262-0002501LF</v>
          </cell>
          <cell r="B507"/>
          <cell r="C507"/>
          <cell r="D507"/>
          <cell r="E507"/>
          <cell r="F507"/>
          <cell r="G507">
            <v>2.3E-2</v>
          </cell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>
            <v>3.0000000000000001E-3</v>
          </cell>
        </row>
        <row r="508">
          <cell r="A508" t="str">
            <v>10106262-0004001LF</v>
          </cell>
          <cell r="B508"/>
          <cell r="C508"/>
          <cell r="D508"/>
          <cell r="E508"/>
          <cell r="F508"/>
          <cell r="G508">
            <v>3.3000000000000002E-2</v>
          </cell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>
            <v>3.3E-3</v>
          </cell>
        </row>
        <row r="509">
          <cell r="A509" t="str">
            <v>10106262-0005K01LF</v>
          </cell>
          <cell r="B509"/>
          <cell r="C509"/>
          <cell r="D509"/>
          <cell r="E509"/>
          <cell r="F509"/>
          <cell r="G509">
            <v>0.03</v>
          </cell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>
            <v>4.0000000000000001E-3</v>
          </cell>
        </row>
        <row r="510">
          <cell r="A510" t="str">
            <v>10106262-0006001LF</v>
          </cell>
          <cell r="B510"/>
          <cell r="C510"/>
          <cell r="D510"/>
          <cell r="E510"/>
          <cell r="F510"/>
          <cell r="G510">
            <v>2.4835652999999999E-2</v>
          </cell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>
            <v>3.3E-3</v>
          </cell>
        </row>
        <row r="511">
          <cell r="A511" t="str">
            <v>10106262-0006002LF</v>
          </cell>
          <cell r="B511"/>
          <cell r="C511"/>
          <cell r="D511"/>
          <cell r="E511"/>
          <cell r="F511"/>
          <cell r="G511">
            <v>3.9E-2</v>
          </cell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>
            <v>3.3E-3</v>
          </cell>
        </row>
        <row r="512">
          <cell r="A512" t="str">
            <v>10106262-0006003LF</v>
          </cell>
          <cell r="B512"/>
          <cell r="C512"/>
          <cell r="D512"/>
          <cell r="E512"/>
          <cell r="F512"/>
          <cell r="G512">
            <v>3.5999999999999997E-2</v>
          </cell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>
            <v>3.3E-3</v>
          </cell>
        </row>
        <row r="513">
          <cell r="A513" t="str">
            <v>10106262-0006A07LF</v>
          </cell>
          <cell r="B513"/>
          <cell r="C513"/>
          <cell r="D513"/>
          <cell r="E513"/>
          <cell r="F513"/>
          <cell r="G513">
            <v>2.8000000000000001E-2</v>
          </cell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>
            <v>3.3E-3</v>
          </cell>
        </row>
        <row r="514">
          <cell r="A514" t="str">
            <v>10106262-0008402LF</v>
          </cell>
          <cell r="B514"/>
          <cell r="C514"/>
          <cell r="D514"/>
          <cell r="E514"/>
          <cell r="F514"/>
          <cell r="G514">
            <v>1.7999999999999999E-2</v>
          </cell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>
            <v>3.3E-3</v>
          </cell>
        </row>
        <row r="515">
          <cell r="A515" t="str">
            <v>10106262-0009K01LF</v>
          </cell>
          <cell r="B515"/>
          <cell r="C515"/>
          <cell r="D515"/>
          <cell r="E515"/>
          <cell r="F515"/>
          <cell r="G515">
            <v>2.8000000000000001E-2</v>
          </cell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>
            <v>3.0000000000000001E-3</v>
          </cell>
        </row>
        <row r="516">
          <cell r="A516" t="str">
            <v>10106262-0010001LF</v>
          </cell>
          <cell r="B516"/>
          <cell r="C516"/>
          <cell r="D516"/>
          <cell r="E516"/>
          <cell r="F516"/>
          <cell r="G516">
            <v>2.8000000000000001E-2</v>
          </cell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>
            <v>3.3E-3</v>
          </cell>
        </row>
        <row r="517">
          <cell r="A517" t="str">
            <v>10106262-0010002LF</v>
          </cell>
          <cell r="B517"/>
          <cell r="C517"/>
          <cell r="D517"/>
          <cell r="E517"/>
          <cell r="F517"/>
          <cell r="G517">
            <v>2.8000000000000001E-2</v>
          </cell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>
            <v>4.0000000000000001E-3</v>
          </cell>
        </row>
        <row r="518">
          <cell r="A518" t="str">
            <v>10106262-0012K01LF</v>
          </cell>
          <cell r="B518"/>
          <cell r="C518"/>
          <cell r="D518"/>
          <cell r="E518"/>
          <cell r="F518"/>
          <cell r="G518">
            <v>3.1E-2</v>
          </cell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>
            <v>5.0000000000000001E-3</v>
          </cell>
        </row>
        <row r="519">
          <cell r="A519" t="str">
            <v>10106262-0013001LF</v>
          </cell>
          <cell r="B519"/>
          <cell r="C519"/>
          <cell r="D519"/>
          <cell r="E519"/>
          <cell r="F519"/>
          <cell r="G519">
            <v>4.2000000000000003E-2</v>
          </cell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>
            <v>6.6E-3</v>
          </cell>
        </row>
        <row r="520">
          <cell r="A520" t="str">
            <v>10106262-0013101LF</v>
          </cell>
          <cell r="B520"/>
          <cell r="C520"/>
          <cell r="D520"/>
          <cell r="E520"/>
          <cell r="F520"/>
          <cell r="G520">
            <v>4.1000000000000002E-2</v>
          </cell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>
            <v>4.1999999999999997E-3</v>
          </cell>
        </row>
        <row r="521">
          <cell r="A521" t="str">
            <v>10106262-0013102LF</v>
          </cell>
          <cell r="B521"/>
          <cell r="C521"/>
          <cell r="D521"/>
          <cell r="E521"/>
          <cell r="F521"/>
          <cell r="G521">
            <v>5.7000000000000002E-2</v>
          </cell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>
            <v>3.3E-3</v>
          </cell>
        </row>
        <row r="522">
          <cell r="A522" t="str">
            <v>10106262-0017101LF</v>
          </cell>
          <cell r="B522"/>
          <cell r="C522"/>
          <cell r="D522"/>
          <cell r="E522"/>
          <cell r="F522"/>
          <cell r="G522">
            <v>4.3999999999999997E-2</v>
          </cell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>
            <v>3.3E-3</v>
          </cell>
        </row>
        <row r="523">
          <cell r="A523" t="str">
            <v>10106262-0020001LF</v>
          </cell>
          <cell r="B523"/>
          <cell r="C523"/>
          <cell r="D523"/>
          <cell r="E523"/>
          <cell r="F523"/>
          <cell r="G523">
            <v>2.9000000000000001E-2</v>
          </cell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>
            <v>7.0000000000000001E-3</v>
          </cell>
        </row>
        <row r="524">
          <cell r="A524" t="str">
            <v>10106262-0024K01LF</v>
          </cell>
          <cell r="B524"/>
          <cell r="C524"/>
          <cell r="D524"/>
          <cell r="E524"/>
          <cell r="F524"/>
          <cell r="G524">
            <v>3.7999999999999999E-2</v>
          </cell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>
            <v>8.9999999999999993E-3</v>
          </cell>
        </row>
        <row r="525">
          <cell r="A525" t="str">
            <v>10106262-0025002LF</v>
          </cell>
          <cell r="B525"/>
          <cell r="C525"/>
          <cell r="D525"/>
          <cell r="E525"/>
          <cell r="F525"/>
          <cell r="G525">
            <v>3.2000000000000001E-2</v>
          </cell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>
            <v>1E-3</v>
          </cell>
        </row>
        <row r="526">
          <cell r="A526" t="str">
            <v>10106262-0025402LF</v>
          </cell>
          <cell r="B526"/>
          <cell r="C526"/>
          <cell r="D526"/>
          <cell r="E526"/>
          <cell r="F526"/>
          <cell r="G526">
            <v>2.8000000000000001E-2</v>
          </cell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>
            <v>8.3000000000000001E-3</v>
          </cell>
        </row>
        <row r="527">
          <cell r="A527" t="str">
            <v>10106262-0200004LF</v>
          </cell>
          <cell r="B527"/>
          <cell r="C527"/>
          <cell r="D527"/>
          <cell r="E527"/>
          <cell r="F527"/>
          <cell r="G527">
            <v>2.1000000000000001E-2</v>
          </cell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>
            <v>6.1000000000000004E-3</v>
          </cell>
        </row>
        <row r="528">
          <cell r="A528" t="str">
            <v>10106262-0200501LF</v>
          </cell>
          <cell r="B528"/>
          <cell r="C528"/>
          <cell r="D528"/>
          <cell r="E528"/>
          <cell r="F528"/>
          <cell r="G528">
            <v>2.5999999999999999E-2</v>
          </cell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>
            <v>3.0000000000000001E-3</v>
          </cell>
        </row>
        <row r="529">
          <cell r="A529" t="str">
            <v>10106262-0201001LF</v>
          </cell>
          <cell r="B529"/>
          <cell r="C529"/>
          <cell r="D529"/>
          <cell r="E529"/>
          <cell r="F529"/>
          <cell r="G529">
            <v>2.4E-2</v>
          </cell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>
            <v>3.3000000000000002E-2</v>
          </cell>
        </row>
        <row r="530">
          <cell r="A530" t="str">
            <v>10106262-0202001LF</v>
          </cell>
          <cell r="B530"/>
          <cell r="C530"/>
          <cell r="D530"/>
          <cell r="E530"/>
          <cell r="F530"/>
          <cell r="G530">
            <v>2.8000000000000001E-2</v>
          </cell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>
            <v>3.3E-3</v>
          </cell>
        </row>
        <row r="531">
          <cell r="A531" t="str">
            <v>10106262-0202K01LF</v>
          </cell>
          <cell r="B531"/>
          <cell r="C531"/>
          <cell r="D531"/>
          <cell r="E531"/>
          <cell r="F531"/>
          <cell r="G531">
            <v>3.2000000000000001E-2</v>
          </cell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>
            <v>3.0000000000000001E-3</v>
          </cell>
        </row>
        <row r="532">
          <cell r="A532" t="str">
            <v>10106262-0203001LF</v>
          </cell>
          <cell r="B532"/>
          <cell r="C532"/>
          <cell r="D532"/>
          <cell r="E532"/>
          <cell r="F532"/>
          <cell r="G532">
            <v>0.03</v>
          </cell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>
            <v>3.3E-3</v>
          </cell>
        </row>
        <row r="533">
          <cell r="A533" t="str">
            <v>10106262-0203K02LF</v>
          </cell>
          <cell r="B533"/>
          <cell r="C533"/>
          <cell r="D533"/>
          <cell r="E533"/>
          <cell r="F533"/>
          <cell r="G533">
            <v>2.8000000000000001E-2</v>
          </cell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>
            <v>3.3E-3</v>
          </cell>
        </row>
        <row r="534">
          <cell r="A534" t="str">
            <v>10106262-0203K03LF</v>
          </cell>
          <cell r="B534"/>
          <cell r="C534"/>
          <cell r="D534"/>
          <cell r="E534"/>
          <cell r="F534"/>
          <cell r="G534">
            <v>2.8000000000000001E-2</v>
          </cell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>
            <v>3.0000000000000001E-3</v>
          </cell>
        </row>
        <row r="535">
          <cell r="A535" t="str">
            <v>10106262-0204001LF</v>
          </cell>
          <cell r="B535"/>
          <cell r="C535"/>
          <cell r="D535"/>
          <cell r="E535"/>
          <cell r="F535"/>
          <cell r="G535">
            <v>2.8000000000000001E-2</v>
          </cell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>
            <v>3.3E-3</v>
          </cell>
        </row>
        <row r="536">
          <cell r="A536" t="str">
            <v>10106262-0204004LF</v>
          </cell>
          <cell r="B536"/>
          <cell r="C536"/>
          <cell r="D536"/>
          <cell r="E536"/>
          <cell r="F536"/>
          <cell r="G536">
            <v>3.5999999999999997E-2</v>
          </cell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>
            <v>4.4000000000000003E-3</v>
          </cell>
        </row>
        <row r="537">
          <cell r="A537" t="str">
            <v>10106262-0204006LF</v>
          </cell>
          <cell r="B537"/>
          <cell r="C537"/>
          <cell r="D537"/>
          <cell r="E537"/>
          <cell r="F537"/>
          <cell r="G537">
            <v>2.3E-2</v>
          </cell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>
            <v>3.0000000000000001E-3</v>
          </cell>
        </row>
        <row r="538">
          <cell r="A538" t="str">
            <v>10106262-0205001LF</v>
          </cell>
          <cell r="B538"/>
          <cell r="C538"/>
          <cell r="D538"/>
          <cell r="E538"/>
          <cell r="F538"/>
          <cell r="G538">
            <v>2.5999999999999999E-2</v>
          </cell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>
            <v>3.0000000000000001E-3</v>
          </cell>
        </row>
        <row r="539">
          <cell r="A539" t="str">
            <v>10106262-0206K01LF</v>
          </cell>
          <cell r="B539"/>
          <cell r="C539"/>
          <cell r="D539"/>
          <cell r="E539"/>
          <cell r="F539"/>
          <cell r="G539">
            <v>2.7E-2</v>
          </cell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>
            <v>3.0000000000000001E-3</v>
          </cell>
        </row>
        <row r="540">
          <cell r="A540" t="str">
            <v>10106262-0208001LF</v>
          </cell>
          <cell r="B540"/>
          <cell r="C540"/>
          <cell r="D540"/>
          <cell r="E540"/>
          <cell r="F540"/>
          <cell r="G540">
            <v>3.5999999999999997E-2</v>
          </cell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>
            <v>3.3E-3</v>
          </cell>
        </row>
        <row r="541">
          <cell r="A541" t="str">
            <v>10106262-0210001LF</v>
          </cell>
          <cell r="B541"/>
          <cell r="C541"/>
          <cell r="D541"/>
          <cell r="E541"/>
          <cell r="F541"/>
          <cell r="G541">
            <v>3.5000000000000003E-2</v>
          </cell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>
            <v>3.3E-3</v>
          </cell>
        </row>
        <row r="542">
          <cell r="A542" t="str">
            <v>10106262-0210401LF</v>
          </cell>
          <cell r="B542"/>
          <cell r="C542"/>
          <cell r="D542"/>
          <cell r="E542"/>
          <cell r="F542"/>
          <cell r="G542">
            <v>3.1E-2</v>
          </cell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>
            <v>3.3E-3</v>
          </cell>
        </row>
        <row r="543">
          <cell r="A543" t="str">
            <v>10106262-0300004LF</v>
          </cell>
          <cell r="B543"/>
          <cell r="C543"/>
          <cell r="D543"/>
          <cell r="E543"/>
          <cell r="F543"/>
          <cell r="G543">
            <v>2.4E-2</v>
          </cell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>
            <v>3.0000000000000001E-3</v>
          </cell>
        </row>
        <row r="544">
          <cell r="A544" t="str">
            <v>10106262-0300501LF</v>
          </cell>
          <cell r="B544"/>
          <cell r="C544"/>
          <cell r="D544"/>
          <cell r="E544"/>
          <cell r="F544"/>
          <cell r="G544">
            <v>2.5999999999999999E-2</v>
          </cell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>
            <v>3.0000000000000001E-3</v>
          </cell>
        </row>
        <row r="545">
          <cell r="A545" t="str">
            <v>10106262-0303K01LF</v>
          </cell>
          <cell r="B545"/>
          <cell r="C545"/>
          <cell r="D545"/>
          <cell r="E545"/>
          <cell r="F545"/>
          <cell r="G545">
            <v>2.8000000000000001E-2</v>
          </cell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>
            <v>3.0000000000000001E-3</v>
          </cell>
        </row>
        <row r="546">
          <cell r="A546" t="str">
            <v>10106262-0314001LF</v>
          </cell>
          <cell r="B546"/>
          <cell r="C546"/>
          <cell r="D546"/>
          <cell r="E546"/>
          <cell r="F546"/>
          <cell r="G546">
            <v>6.2E-2</v>
          </cell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>
            <v>1.2E-2</v>
          </cell>
        </row>
        <row r="547">
          <cell r="A547" t="str">
            <v>10106262-0323K02LF</v>
          </cell>
          <cell r="B547"/>
          <cell r="C547"/>
          <cell r="D547"/>
          <cell r="E547"/>
          <cell r="F547"/>
          <cell r="G547">
            <v>4.4999999999999998E-2</v>
          </cell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>
            <v>8.0000000000000002E-3</v>
          </cell>
        </row>
        <row r="548">
          <cell r="A548" t="str">
            <v>10106262-0400002LF</v>
          </cell>
          <cell r="B548"/>
          <cell r="C548"/>
          <cell r="D548"/>
          <cell r="E548"/>
          <cell r="F548"/>
          <cell r="G548">
            <v>1.7000000000000001E-2</v>
          </cell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>
            <v>6.1000000000000004E-3</v>
          </cell>
        </row>
        <row r="549">
          <cell r="A549" t="str">
            <v>10106262-0400003LF</v>
          </cell>
          <cell r="B549"/>
          <cell r="C549"/>
          <cell r="D549"/>
          <cell r="E549"/>
          <cell r="F549"/>
          <cell r="G549">
            <v>1.9E-2</v>
          </cell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>
            <v>6.1000000000000004E-3</v>
          </cell>
        </row>
        <row r="550">
          <cell r="A550" t="str">
            <v>10106262-0402002LF</v>
          </cell>
          <cell r="B550"/>
          <cell r="C550"/>
          <cell r="D550"/>
          <cell r="E550"/>
          <cell r="F550"/>
          <cell r="G550">
            <v>2.5000000000000001E-2</v>
          </cell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>
            <v>3.3E-3</v>
          </cell>
        </row>
        <row r="551">
          <cell r="A551" t="str">
            <v>10106262-0405K01LF</v>
          </cell>
          <cell r="B551"/>
          <cell r="C551"/>
          <cell r="D551"/>
          <cell r="E551"/>
          <cell r="F551"/>
          <cell r="G551">
            <v>2.3E-2</v>
          </cell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>
            <v>3.0000000000000001E-3</v>
          </cell>
        </row>
        <row r="552">
          <cell r="A552" t="str">
            <v>10106262-0502001LF</v>
          </cell>
          <cell r="B552"/>
          <cell r="C552"/>
          <cell r="D552"/>
          <cell r="E552"/>
          <cell r="F552"/>
          <cell r="G552">
            <v>3.9E-2</v>
          </cell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>
            <v>3.0000000000000001E-3</v>
          </cell>
        </row>
        <row r="553">
          <cell r="A553" t="str">
            <v>10106262-0527001LF</v>
          </cell>
          <cell r="B553"/>
          <cell r="C553"/>
          <cell r="D553"/>
          <cell r="E553"/>
          <cell r="F553"/>
          <cell r="G553">
            <v>0.08</v>
          </cell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>
            <v>5.5999999999999999E-3</v>
          </cell>
        </row>
        <row r="554">
          <cell r="A554" t="str">
            <v>10106262-0527101LF</v>
          </cell>
          <cell r="B554"/>
          <cell r="C554"/>
          <cell r="D554"/>
          <cell r="E554"/>
          <cell r="F554"/>
          <cell r="G554">
            <v>0.08</v>
          </cell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>
            <v>5.5999999999999999E-3</v>
          </cell>
        </row>
        <row r="555">
          <cell r="A555" t="str">
            <v>10106262-0527102LF</v>
          </cell>
          <cell r="B555"/>
          <cell r="C555"/>
          <cell r="D555"/>
          <cell r="E555"/>
          <cell r="F555"/>
          <cell r="G555">
            <v>8.8999999999999996E-2</v>
          </cell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>
            <v>5.5999999999999999E-3</v>
          </cell>
        </row>
        <row r="556">
          <cell r="A556" t="str">
            <v>10106262-0534001LF</v>
          </cell>
          <cell r="B556"/>
          <cell r="C556"/>
          <cell r="D556"/>
          <cell r="E556"/>
          <cell r="F556"/>
          <cell r="G556">
            <v>7.0999999999999994E-2</v>
          </cell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>
            <v>1.2E-2</v>
          </cell>
        </row>
        <row r="557">
          <cell r="A557" t="str">
            <v>10106262-0600001LF</v>
          </cell>
          <cell r="B557"/>
          <cell r="C557"/>
          <cell r="D557"/>
          <cell r="E557"/>
          <cell r="F557"/>
          <cell r="G557">
            <v>3.3000000000000002E-2</v>
          </cell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>
            <v>6.1000000000000004E-3</v>
          </cell>
        </row>
        <row r="558">
          <cell r="A558" t="str">
            <v>10106262-0602K01LF</v>
          </cell>
          <cell r="B558"/>
          <cell r="C558"/>
          <cell r="D558"/>
          <cell r="E558"/>
          <cell r="F558"/>
          <cell r="G558">
            <v>2.5000000000000001E-2</v>
          </cell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>
            <v>3.0000000000000001E-3</v>
          </cell>
        </row>
        <row r="559">
          <cell r="A559" t="str">
            <v>10106262-0602K02LF</v>
          </cell>
          <cell r="B559"/>
          <cell r="C559"/>
          <cell r="D559"/>
          <cell r="E559"/>
          <cell r="F559"/>
          <cell r="G559">
            <v>2.75E-2</v>
          </cell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>
            <v>3.3333E-3</v>
          </cell>
        </row>
        <row r="560">
          <cell r="A560" t="str">
            <v>10106262-0608101LF</v>
          </cell>
          <cell r="B560"/>
          <cell r="C560"/>
          <cell r="D560"/>
          <cell r="E560"/>
          <cell r="F560"/>
          <cell r="G560">
            <v>4.8000000000000001E-2</v>
          </cell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>
            <v>3.3E-3</v>
          </cell>
        </row>
        <row r="561">
          <cell r="A561" t="str">
            <v>10106262-0613K01LF</v>
          </cell>
          <cell r="B561"/>
          <cell r="C561"/>
          <cell r="D561"/>
          <cell r="E561"/>
          <cell r="F561"/>
          <cell r="G561">
            <v>3.5000000000000003E-2</v>
          </cell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>
            <v>5.0000000000000001E-3</v>
          </cell>
        </row>
        <row r="562">
          <cell r="A562" t="str">
            <v>10106262-0804001LF</v>
          </cell>
          <cell r="B562"/>
          <cell r="C562"/>
          <cell r="D562"/>
          <cell r="E562"/>
          <cell r="F562"/>
          <cell r="G562">
            <v>5.2999999999999999E-2</v>
          </cell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>
            <v>3.3E-3</v>
          </cell>
        </row>
        <row r="563">
          <cell r="A563" t="str">
            <v>10106262-0804002LF</v>
          </cell>
          <cell r="B563"/>
          <cell r="C563"/>
          <cell r="D563"/>
          <cell r="E563"/>
          <cell r="F563"/>
          <cell r="G563">
            <v>3.4000000000000002E-2</v>
          </cell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>
            <v>3.3E-3</v>
          </cell>
        </row>
        <row r="564">
          <cell r="A564" t="str">
            <v>10106262-0804K02LF</v>
          </cell>
          <cell r="B564"/>
          <cell r="C564"/>
          <cell r="D564"/>
          <cell r="E564"/>
          <cell r="F564"/>
          <cell r="G564">
            <v>5.2999999999999999E-2</v>
          </cell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>
            <v>3.3E-3</v>
          </cell>
        </row>
        <row r="565">
          <cell r="A565" t="str">
            <v>10106262-0900A01LF</v>
          </cell>
          <cell r="B565"/>
          <cell r="C565"/>
          <cell r="D565"/>
          <cell r="E565"/>
          <cell r="F565"/>
          <cell r="G565">
            <v>3.1E-2</v>
          </cell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>
            <v>6.1000000000000004E-3</v>
          </cell>
        </row>
        <row r="566">
          <cell r="A566" t="str">
            <v>10106262-0904001LF</v>
          </cell>
          <cell r="B566"/>
          <cell r="C566"/>
          <cell r="D566"/>
          <cell r="E566"/>
          <cell r="F566"/>
          <cell r="G566">
            <v>3.2000000000000001E-2</v>
          </cell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>
            <v>3.3E-3</v>
          </cell>
        </row>
        <row r="567">
          <cell r="A567" t="str">
            <v>10106262-0904002LF</v>
          </cell>
          <cell r="B567"/>
          <cell r="C567"/>
          <cell r="D567"/>
          <cell r="E567"/>
          <cell r="F567"/>
          <cell r="G567">
            <v>3.2000000000000001E-2</v>
          </cell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>
            <v>3.3E-3</v>
          </cell>
        </row>
        <row r="568">
          <cell r="A568" t="str">
            <v>10106262-0A00001LF</v>
          </cell>
          <cell r="B568"/>
          <cell r="C568"/>
          <cell r="D568"/>
          <cell r="E568"/>
          <cell r="F568"/>
          <cell r="G568">
            <v>3.5999999999999997E-2</v>
          </cell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>
            <v>6.1000000000000004E-3</v>
          </cell>
        </row>
        <row r="569">
          <cell r="A569" t="str">
            <v>10106262-0A00401LF</v>
          </cell>
          <cell r="B569"/>
          <cell r="C569"/>
          <cell r="D569"/>
          <cell r="E569"/>
          <cell r="F569"/>
          <cell r="G569">
            <v>2.4E-2</v>
          </cell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>
            <v>6.1000000000000004E-3</v>
          </cell>
        </row>
        <row r="570">
          <cell r="A570" t="str">
            <v>10106262-0A03001LF</v>
          </cell>
          <cell r="B570"/>
          <cell r="C570"/>
          <cell r="D570"/>
          <cell r="E570"/>
          <cell r="F570"/>
          <cell r="G570">
            <v>3.5000000000000003E-2</v>
          </cell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>
            <v>3.3E-3</v>
          </cell>
        </row>
        <row r="571">
          <cell r="A571" t="str">
            <v>10106262-0A04001LF</v>
          </cell>
          <cell r="B571"/>
          <cell r="C571"/>
          <cell r="D571"/>
          <cell r="E571"/>
          <cell r="F571"/>
          <cell r="G571">
            <v>0.04</v>
          </cell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>
            <v>3.3E-3</v>
          </cell>
        </row>
        <row r="572">
          <cell r="A572" t="str">
            <v>10106262-0B09002LF</v>
          </cell>
          <cell r="B572"/>
          <cell r="C572"/>
          <cell r="D572"/>
          <cell r="E572"/>
          <cell r="F572"/>
          <cell r="G572">
            <v>4.4999999999999998E-2</v>
          </cell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>
            <v>3.3E-3</v>
          </cell>
        </row>
        <row r="573">
          <cell r="A573" t="str">
            <v>10106262-0C00K01LF</v>
          </cell>
          <cell r="B573"/>
          <cell r="C573"/>
          <cell r="D573"/>
          <cell r="E573"/>
          <cell r="F573"/>
          <cell r="G573">
            <v>2.7E-2</v>
          </cell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>
            <v>3.0000000000000001E-3</v>
          </cell>
        </row>
        <row r="574">
          <cell r="A574" t="str">
            <v>10106262-0C03001LF</v>
          </cell>
          <cell r="B574"/>
          <cell r="C574"/>
          <cell r="D574"/>
          <cell r="E574"/>
          <cell r="F574"/>
          <cell r="G574">
            <v>3.3000000000000002E-2</v>
          </cell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>
            <v>3.3E-3</v>
          </cell>
        </row>
        <row r="575">
          <cell r="A575" t="str">
            <v>10106262-0C05401LF</v>
          </cell>
          <cell r="B575"/>
          <cell r="C575"/>
          <cell r="D575"/>
          <cell r="E575"/>
          <cell r="F575"/>
          <cell r="G575">
            <v>3.7999999999999999E-2</v>
          </cell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>
            <v>3.3E-3</v>
          </cell>
        </row>
        <row r="576">
          <cell r="A576" t="str">
            <v>10106262-0C05501LF</v>
          </cell>
          <cell r="B576"/>
          <cell r="C576"/>
          <cell r="D576"/>
          <cell r="E576"/>
          <cell r="F576"/>
          <cell r="G576">
            <v>3.7999999999999999E-2</v>
          </cell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>
            <v>3.3E-3</v>
          </cell>
        </row>
        <row r="577">
          <cell r="A577" t="str">
            <v>10106262-0C05502LF</v>
          </cell>
          <cell r="B577"/>
          <cell r="C577"/>
          <cell r="D577"/>
          <cell r="E577"/>
          <cell r="F577"/>
          <cell r="G577">
            <v>3.7999999999999999E-2</v>
          </cell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>
            <v>3.3E-3</v>
          </cell>
        </row>
        <row r="578">
          <cell r="A578" t="str">
            <v>10106262-0D17001LF</v>
          </cell>
          <cell r="B578"/>
          <cell r="C578"/>
          <cell r="D578"/>
          <cell r="E578"/>
          <cell r="F578"/>
          <cell r="G578">
            <v>5.6000000000000001E-2</v>
          </cell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>
            <v>6.7000000000000002E-3</v>
          </cell>
        </row>
        <row r="579">
          <cell r="A579" t="str">
            <v>10106262-0E02A01LF</v>
          </cell>
          <cell r="B579"/>
          <cell r="C579"/>
          <cell r="D579"/>
          <cell r="E579"/>
          <cell r="F579"/>
          <cell r="G579">
            <v>3.7999999999999999E-2</v>
          </cell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>
            <v>3.3E-3</v>
          </cell>
        </row>
        <row r="580">
          <cell r="A580" t="str">
            <v>10106262-0E06A01LF</v>
          </cell>
          <cell r="B580"/>
          <cell r="C580"/>
          <cell r="D580"/>
          <cell r="E580"/>
          <cell r="F580"/>
          <cell r="G580">
            <v>3.4000000000000002E-2</v>
          </cell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>
            <v>3.3E-3</v>
          </cell>
        </row>
        <row r="581">
          <cell r="A581" t="str">
            <v>10106262-0E12001LF</v>
          </cell>
          <cell r="B581"/>
          <cell r="C581"/>
          <cell r="D581"/>
          <cell r="E581"/>
          <cell r="F581"/>
          <cell r="G581">
            <v>3.4000000000000002E-2</v>
          </cell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>
            <v>3.3E-3</v>
          </cell>
        </row>
        <row r="582">
          <cell r="A582" t="str">
            <v>10106262-0F08001LF</v>
          </cell>
          <cell r="B582"/>
          <cell r="C582"/>
          <cell r="D582"/>
          <cell r="E582"/>
          <cell r="F582"/>
          <cell r="G582">
            <v>1.7000000000000001E-2</v>
          </cell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>
            <v>2.5000000000000001E-3</v>
          </cell>
        </row>
        <row r="583">
          <cell r="A583" t="str">
            <v>10106262-0F08002LF</v>
          </cell>
          <cell r="B583"/>
          <cell r="C583"/>
          <cell r="D583"/>
          <cell r="E583"/>
          <cell r="F583"/>
          <cell r="G583">
            <v>5.8000000000000003E-2</v>
          </cell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>
            <v>4.4000000000000003E-3</v>
          </cell>
        </row>
        <row r="584">
          <cell r="A584" t="str">
            <v>10106262-0F08003LF</v>
          </cell>
          <cell r="B584"/>
          <cell r="C584"/>
          <cell r="D584"/>
          <cell r="E584"/>
          <cell r="F584"/>
          <cell r="G584">
            <v>5.2999999999999999E-2</v>
          </cell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>
            <v>3.3E-3</v>
          </cell>
        </row>
        <row r="585">
          <cell r="A585" t="str">
            <v>10106262-0G00001LF</v>
          </cell>
          <cell r="B585"/>
          <cell r="C585"/>
          <cell r="D585"/>
          <cell r="E585"/>
          <cell r="F585"/>
          <cell r="G585">
            <v>3.5999999999999997E-2</v>
          </cell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>
            <v>6.1000000000000004E-3</v>
          </cell>
        </row>
        <row r="586">
          <cell r="A586" t="str">
            <v>10106262-0G02A01LF</v>
          </cell>
          <cell r="B586"/>
          <cell r="C586"/>
          <cell r="D586"/>
          <cell r="E586"/>
          <cell r="F586"/>
          <cell r="G586">
            <v>3.7999999999999999E-2</v>
          </cell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>
            <v>3.3E-3</v>
          </cell>
        </row>
        <row r="587">
          <cell r="A587" t="str">
            <v>10106262-0G02A02LF</v>
          </cell>
          <cell r="B587"/>
          <cell r="C587"/>
          <cell r="D587"/>
          <cell r="E587"/>
          <cell r="F587"/>
          <cell r="G587">
            <v>3.2000000000000001E-2</v>
          </cell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>
            <v>3.3E-3</v>
          </cell>
        </row>
        <row r="588">
          <cell r="A588" t="str">
            <v>10106262-0G02A04LF</v>
          </cell>
          <cell r="B588"/>
          <cell r="C588"/>
          <cell r="D588"/>
          <cell r="E588"/>
          <cell r="F588"/>
          <cell r="G588">
            <v>3.5000000000000003E-2</v>
          </cell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>
            <v>4.0000000000000001E-3</v>
          </cell>
        </row>
        <row r="589">
          <cell r="A589" t="str">
            <v>10106262-0G02K01LF</v>
          </cell>
          <cell r="B589"/>
          <cell r="C589"/>
          <cell r="D589"/>
          <cell r="E589"/>
          <cell r="F589"/>
          <cell r="G589">
            <v>2.7E-2</v>
          </cell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>
            <v>3.0000000000000001E-3</v>
          </cell>
        </row>
        <row r="590">
          <cell r="A590" t="str">
            <v>10106262-0H15001LF</v>
          </cell>
          <cell r="B590"/>
          <cell r="C590"/>
          <cell r="D590"/>
          <cell r="E590"/>
          <cell r="F590"/>
          <cell r="G590">
            <v>5.8000000000000003E-2</v>
          </cell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>
            <v>6.6E-3</v>
          </cell>
        </row>
        <row r="591">
          <cell r="A591" t="str">
            <v>10106262-0J02A01LF</v>
          </cell>
          <cell r="B591"/>
          <cell r="C591"/>
          <cell r="D591"/>
          <cell r="E591"/>
          <cell r="F591"/>
          <cell r="G591">
            <v>4.4999999999999998E-2</v>
          </cell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>
            <v>3.3E-3</v>
          </cell>
        </row>
        <row r="592">
          <cell r="A592" t="str">
            <v>10106262-0R02K01LF</v>
          </cell>
          <cell r="B592"/>
          <cell r="C592"/>
          <cell r="D592"/>
          <cell r="E592"/>
          <cell r="F592"/>
          <cell r="G592">
            <v>3.5000000000000003E-2</v>
          </cell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>
            <v>5.0000000000000001E-3</v>
          </cell>
        </row>
        <row r="593">
          <cell r="A593" t="str">
            <v>10106262-100J001LF</v>
          </cell>
          <cell r="B593"/>
          <cell r="C593"/>
          <cell r="D593"/>
          <cell r="E593"/>
          <cell r="F593"/>
          <cell r="G593">
            <v>0.01</v>
          </cell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>
            <v>4.8000000000000001E-2</v>
          </cell>
        </row>
        <row r="594">
          <cell r="A594" t="str">
            <v>10106262-1617001LF</v>
          </cell>
          <cell r="B594"/>
          <cell r="C594"/>
          <cell r="D594"/>
          <cell r="E594"/>
          <cell r="F594"/>
          <cell r="G594">
            <v>3.5000000000000003E-2</v>
          </cell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>
            <v>6.6E-3</v>
          </cell>
        </row>
        <row r="595">
          <cell r="A595" t="str">
            <v>10106262-1C00401LF</v>
          </cell>
          <cell r="B595"/>
          <cell r="C595"/>
          <cell r="D595"/>
          <cell r="E595"/>
          <cell r="F595"/>
          <cell r="G595">
            <v>4.5999999999999999E-2</v>
          </cell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>
            <v>3.3E-3</v>
          </cell>
        </row>
        <row r="596">
          <cell r="A596" t="str">
            <v>10106262-1C03001LF</v>
          </cell>
          <cell r="B596"/>
          <cell r="C596"/>
          <cell r="D596"/>
          <cell r="E596"/>
          <cell r="F596"/>
          <cell r="G596">
            <v>2.76E-2</v>
          </cell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>
            <v>3.3E-3</v>
          </cell>
        </row>
        <row r="597">
          <cell r="A597" t="str">
            <v>10106262-1C03002LF</v>
          </cell>
          <cell r="B597"/>
          <cell r="C597"/>
          <cell r="D597"/>
          <cell r="E597"/>
          <cell r="F597"/>
          <cell r="G597">
            <v>3.5000000000000003E-2</v>
          </cell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>
            <v>3.3E-3</v>
          </cell>
        </row>
        <row r="598">
          <cell r="A598" t="str">
            <v>10106262-1C03004LF</v>
          </cell>
          <cell r="B598"/>
          <cell r="C598"/>
          <cell r="D598"/>
          <cell r="E598"/>
          <cell r="F598"/>
          <cell r="G598">
            <v>2.9700000000000001E-2</v>
          </cell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>
            <v>2E-3</v>
          </cell>
        </row>
        <row r="599">
          <cell r="A599" t="str">
            <v>10106262-1C03005LF</v>
          </cell>
          <cell r="B599"/>
          <cell r="C599"/>
          <cell r="D599"/>
          <cell r="E599"/>
          <cell r="F599"/>
          <cell r="G599">
            <v>4.1000000000000002E-2</v>
          </cell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>
            <v>3.3E-3</v>
          </cell>
        </row>
        <row r="600">
          <cell r="A600" t="str">
            <v>10106262-1C03007LF</v>
          </cell>
          <cell r="B600"/>
          <cell r="C600"/>
          <cell r="D600"/>
          <cell r="E600"/>
          <cell r="F600"/>
          <cell r="G600">
            <v>1.9199999999999998E-2</v>
          </cell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>
            <v>3.0000000000000001E-3</v>
          </cell>
        </row>
        <row r="601">
          <cell r="A601" t="str">
            <v>10106262-1C03009LF</v>
          </cell>
          <cell r="B601"/>
          <cell r="C601"/>
          <cell r="D601"/>
          <cell r="E601"/>
          <cell r="F601"/>
          <cell r="G601">
            <v>4.1000000000000002E-2</v>
          </cell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>
            <v>3.3E-3</v>
          </cell>
        </row>
        <row r="602">
          <cell r="A602" t="str">
            <v>10106262-1C03010LF</v>
          </cell>
          <cell r="B602"/>
          <cell r="C602"/>
          <cell r="D602"/>
          <cell r="E602"/>
          <cell r="F602"/>
          <cell r="G602">
            <v>2.9700000000000001E-2</v>
          </cell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>
            <v>2E-3</v>
          </cell>
        </row>
        <row r="603">
          <cell r="A603" t="str">
            <v>10106262-1C03011LF</v>
          </cell>
          <cell r="B603"/>
          <cell r="C603"/>
          <cell r="D603"/>
          <cell r="E603"/>
          <cell r="F603"/>
          <cell r="G603">
            <v>3.5999999999999997E-2</v>
          </cell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>
            <v>3.3E-3</v>
          </cell>
        </row>
        <row r="604">
          <cell r="A604" t="str">
            <v>10106262-1C03012LF</v>
          </cell>
          <cell r="B604"/>
          <cell r="C604"/>
          <cell r="D604"/>
          <cell r="E604"/>
          <cell r="F604"/>
          <cell r="G604">
            <v>2.9760000000000002E-2</v>
          </cell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>
            <v>2.7899999999999999E-3</v>
          </cell>
        </row>
        <row r="605">
          <cell r="A605" t="str">
            <v>10106262-1C03013LF</v>
          </cell>
          <cell r="B605"/>
          <cell r="C605"/>
          <cell r="D605"/>
          <cell r="E605"/>
          <cell r="F605"/>
          <cell r="G605">
            <v>3.3143600000000002E-2</v>
          </cell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>
            <v>3.1249680000000001E-3</v>
          </cell>
        </row>
        <row r="606">
          <cell r="A606" t="str">
            <v>10106262-1C03015LF</v>
          </cell>
          <cell r="B606"/>
          <cell r="C606"/>
          <cell r="D606"/>
          <cell r="E606"/>
          <cell r="F606"/>
          <cell r="G606">
            <v>2.98E-2</v>
          </cell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>
            <v>2.8E-3</v>
          </cell>
        </row>
        <row r="607">
          <cell r="A607" t="str">
            <v>10106262-1J02A01LF</v>
          </cell>
          <cell r="B607"/>
          <cell r="C607"/>
          <cell r="D607"/>
          <cell r="E607"/>
          <cell r="F607"/>
          <cell r="G607">
            <v>3.5000000000000003E-2</v>
          </cell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>
            <v>5.0000000000000001E-3</v>
          </cell>
        </row>
        <row r="608">
          <cell r="A608" t="str">
            <v>10106262-2000002LF</v>
          </cell>
          <cell r="B608"/>
          <cell r="C608"/>
          <cell r="D608"/>
          <cell r="E608"/>
          <cell r="F608"/>
          <cell r="G608">
            <v>2.7E-2</v>
          </cell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>
            <v>3.3E-3</v>
          </cell>
        </row>
        <row r="609">
          <cell r="A609" t="str">
            <v>10106262-2000003LF</v>
          </cell>
          <cell r="B609"/>
          <cell r="C609"/>
          <cell r="D609"/>
          <cell r="E609"/>
          <cell r="F609"/>
          <cell r="G609">
            <v>2.7E-2</v>
          </cell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>
            <v>3.0000000000000001E-3</v>
          </cell>
        </row>
        <row r="610">
          <cell r="A610" t="str">
            <v>10106262-2000402LF</v>
          </cell>
          <cell r="B610"/>
          <cell r="C610"/>
          <cell r="D610"/>
          <cell r="E610"/>
          <cell r="F610"/>
          <cell r="G610">
            <v>2.1000000000000001E-2</v>
          </cell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>
            <v>6.1000000000000004E-3</v>
          </cell>
        </row>
        <row r="611">
          <cell r="A611" t="str">
            <v>10106262-2000403LF</v>
          </cell>
          <cell r="B611"/>
          <cell r="C611"/>
          <cell r="D611"/>
          <cell r="E611"/>
          <cell r="F611"/>
          <cell r="G611">
            <v>2.5000000000000001E-2</v>
          </cell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>
            <v>6.1000000000000004E-3</v>
          </cell>
        </row>
        <row r="612">
          <cell r="A612" t="str">
            <v>10106262-2000405LF</v>
          </cell>
          <cell r="B612"/>
          <cell r="C612"/>
          <cell r="D612"/>
          <cell r="E612"/>
          <cell r="F612"/>
          <cell r="G612">
            <v>2.6599999999999999E-2</v>
          </cell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>
            <v>6.1000000000000004E-3</v>
          </cell>
        </row>
        <row r="613">
          <cell r="A613" t="str">
            <v>10106262-2001002LF</v>
          </cell>
          <cell r="B613"/>
          <cell r="C613"/>
          <cell r="D613"/>
          <cell r="E613"/>
          <cell r="F613"/>
          <cell r="G613">
            <v>4.2000000000000003E-2</v>
          </cell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>
            <v>6.1000000000000004E-3</v>
          </cell>
        </row>
        <row r="614">
          <cell r="A614" t="str">
            <v>10106262-2001003LF</v>
          </cell>
          <cell r="B614"/>
          <cell r="C614"/>
          <cell r="D614"/>
          <cell r="E614"/>
          <cell r="F614"/>
          <cell r="G614">
            <v>2.5000000000000001E-2</v>
          </cell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>
            <v>3.3E-3</v>
          </cell>
        </row>
        <row r="615">
          <cell r="A615" t="str">
            <v>10106262-2001501LF</v>
          </cell>
          <cell r="B615"/>
          <cell r="C615"/>
          <cell r="D615"/>
          <cell r="E615"/>
          <cell r="F615"/>
          <cell r="G615">
            <v>2.5000000000000001E-2</v>
          </cell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>
            <v>3.3E-3</v>
          </cell>
        </row>
        <row r="616">
          <cell r="A616" t="str">
            <v>10106262-2001502LF</v>
          </cell>
          <cell r="B616"/>
          <cell r="C616"/>
          <cell r="D616"/>
          <cell r="E616"/>
          <cell r="F616"/>
          <cell r="G616">
            <v>2.1999999999999999E-2</v>
          </cell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>
            <v>3.3E-3</v>
          </cell>
        </row>
        <row r="617">
          <cell r="A617" t="str">
            <v>10106262-2001504LF</v>
          </cell>
          <cell r="B617"/>
          <cell r="C617"/>
          <cell r="D617"/>
          <cell r="E617"/>
          <cell r="F617"/>
          <cell r="G617">
            <v>2.5000000000000001E-2</v>
          </cell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>
            <v>3.0000000000000001E-3</v>
          </cell>
        </row>
        <row r="618">
          <cell r="A618" t="str">
            <v>10106262-2001505LF</v>
          </cell>
          <cell r="B618"/>
          <cell r="C618"/>
          <cell r="D618"/>
          <cell r="E618"/>
          <cell r="F618"/>
          <cell r="G618">
            <v>2.7E-2</v>
          </cell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>
            <v>3.3E-3</v>
          </cell>
        </row>
        <row r="619">
          <cell r="A619" t="str">
            <v>10106262-2001K03LF</v>
          </cell>
          <cell r="B619"/>
          <cell r="C619"/>
          <cell r="D619"/>
          <cell r="E619"/>
          <cell r="F619"/>
          <cell r="G619">
            <v>1.7999999999999999E-2</v>
          </cell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>
            <v>3.3E-3</v>
          </cell>
        </row>
        <row r="620">
          <cell r="A620" t="str">
            <v>10106262-2002003LF</v>
          </cell>
          <cell r="B620"/>
          <cell r="C620"/>
          <cell r="D620"/>
          <cell r="E620"/>
          <cell r="F620"/>
          <cell r="G620">
            <v>3.5000000000000003E-2</v>
          </cell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>
            <v>3.3E-3</v>
          </cell>
        </row>
        <row r="621">
          <cell r="A621" t="str">
            <v>10106262-2002009LF</v>
          </cell>
          <cell r="B621"/>
          <cell r="C621"/>
          <cell r="D621"/>
          <cell r="E621"/>
          <cell r="F621"/>
          <cell r="G621">
            <v>3.5000000000000003E-2</v>
          </cell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>
            <v>3.3E-3</v>
          </cell>
        </row>
        <row r="622">
          <cell r="A622" t="str">
            <v>10106262-2002402LF</v>
          </cell>
          <cell r="B622"/>
          <cell r="C622"/>
          <cell r="D622"/>
          <cell r="E622"/>
          <cell r="F622"/>
          <cell r="G622">
            <v>2.3E-2</v>
          </cell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>
            <v>3.0000000000000001E-3</v>
          </cell>
        </row>
        <row r="623">
          <cell r="A623" t="str">
            <v>10106262-2002404LF</v>
          </cell>
          <cell r="B623"/>
          <cell r="C623"/>
          <cell r="D623"/>
          <cell r="E623"/>
          <cell r="F623"/>
          <cell r="G623">
            <v>2.3E-2</v>
          </cell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>
            <v>3.0000000000000001E-3</v>
          </cell>
        </row>
        <row r="624">
          <cell r="A624" t="str">
            <v>10106262-2002K02LF</v>
          </cell>
          <cell r="B624"/>
          <cell r="C624"/>
          <cell r="D624"/>
          <cell r="E624"/>
          <cell r="F624"/>
          <cell r="G624">
            <v>2.7E-2</v>
          </cell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>
            <v>3.3E-3</v>
          </cell>
        </row>
        <row r="625">
          <cell r="A625" t="str">
            <v>10106262-2002K03LF</v>
          </cell>
          <cell r="B625"/>
          <cell r="C625"/>
          <cell r="D625"/>
          <cell r="E625"/>
          <cell r="F625"/>
          <cell r="G625">
            <v>2.1000000000000001E-2</v>
          </cell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>
            <v>3.3E-3</v>
          </cell>
        </row>
        <row r="626">
          <cell r="A626" t="str">
            <v>10106262-2003002LF</v>
          </cell>
          <cell r="B626"/>
          <cell r="C626"/>
          <cell r="D626"/>
          <cell r="E626"/>
          <cell r="F626"/>
          <cell r="G626">
            <v>3.9E-2</v>
          </cell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>
            <v>3.3E-3</v>
          </cell>
        </row>
        <row r="627">
          <cell r="A627" t="str">
            <v>10106262-2003003LF</v>
          </cell>
          <cell r="B627"/>
          <cell r="C627"/>
          <cell r="D627"/>
          <cell r="E627"/>
          <cell r="F627"/>
          <cell r="G627">
            <v>3.3000000000000002E-2</v>
          </cell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>
            <v>3.3E-3</v>
          </cell>
        </row>
        <row r="628">
          <cell r="A628" t="str">
            <v>10106262-2003K01LF</v>
          </cell>
          <cell r="B628"/>
          <cell r="C628"/>
          <cell r="D628"/>
          <cell r="E628"/>
          <cell r="F628"/>
          <cell r="G628">
            <v>2.8000000000000001E-2</v>
          </cell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>
            <v>3.3E-3</v>
          </cell>
        </row>
        <row r="629">
          <cell r="A629" t="str">
            <v>10106262-2004403LF</v>
          </cell>
          <cell r="B629"/>
          <cell r="C629"/>
          <cell r="D629"/>
          <cell r="E629"/>
          <cell r="F629"/>
          <cell r="G629">
            <v>2.5999999999999999E-2</v>
          </cell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>
            <v>3.3E-3</v>
          </cell>
        </row>
        <row r="630">
          <cell r="A630" t="str">
            <v>10106262-2007001LF</v>
          </cell>
          <cell r="B630"/>
          <cell r="C630"/>
          <cell r="D630"/>
          <cell r="E630"/>
          <cell r="F630"/>
          <cell r="G630">
            <v>3.2000000000000001E-2</v>
          </cell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>
            <v>3.3E-3</v>
          </cell>
        </row>
        <row r="631">
          <cell r="A631" t="str">
            <v>10106262-2201002LF</v>
          </cell>
          <cell r="B631"/>
          <cell r="C631"/>
          <cell r="D631"/>
          <cell r="E631"/>
          <cell r="F631"/>
          <cell r="G631">
            <v>3.1E-2</v>
          </cell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>
            <v>3.3E-3</v>
          </cell>
        </row>
        <row r="632">
          <cell r="A632" t="str">
            <v>10106262-2301K02LF</v>
          </cell>
          <cell r="B632"/>
          <cell r="C632"/>
          <cell r="D632"/>
          <cell r="E632"/>
          <cell r="F632"/>
          <cell r="G632">
            <v>2.3E-2</v>
          </cell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>
            <v>3.0000000000000001E-3</v>
          </cell>
        </row>
        <row r="633">
          <cell r="A633" t="str">
            <v>10106262-2403001LF</v>
          </cell>
          <cell r="B633"/>
          <cell r="C633"/>
          <cell r="D633"/>
          <cell r="E633"/>
          <cell r="F633"/>
          <cell r="G633">
            <v>3.2000000000000001E-2</v>
          </cell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>
            <v>3.3E-3</v>
          </cell>
        </row>
        <row r="634">
          <cell r="A634" t="str">
            <v>10106262-2506001LF</v>
          </cell>
          <cell r="B634"/>
          <cell r="C634"/>
          <cell r="D634"/>
          <cell r="E634"/>
          <cell r="F634"/>
          <cell r="G634">
            <v>2.8000000000000001E-2</v>
          </cell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>
            <v>3.3E-3</v>
          </cell>
        </row>
        <row r="635">
          <cell r="A635" t="str">
            <v>10106262-2600001LF</v>
          </cell>
          <cell r="B635"/>
          <cell r="C635"/>
          <cell r="D635"/>
          <cell r="E635"/>
          <cell r="F635"/>
          <cell r="G635">
            <v>2.945E-2</v>
          </cell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>
            <v>6.1000000000000004E-3</v>
          </cell>
        </row>
        <row r="636">
          <cell r="A636" t="str">
            <v>10106262-2600003LF</v>
          </cell>
          <cell r="B636"/>
          <cell r="C636"/>
          <cell r="D636"/>
          <cell r="E636"/>
          <cell r="F636"/>
          <cell r="G636">
            <v>2.8000000000000001E-2</v>
          </cell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>
            <v>6.1000000000000004E-3</v>
          </cell>
        </row>
        <row r="637">
          <cell r="A637" t="str">
            <v>10106262-2600004LF</v>
          </cell>
          <cell r="B637"/>
          <cell r="C637"/>
          <cell r="D637"/>
          <cell r="E637"/>
          <cell r="F637"/>
          <cell r="G637">
            <v>1.95E-2</v>
          </cell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>
            <v>8.2000000000000007E-3</v>
          </cell>
        </row>
        <row r="638">
          <cell r="A638" t="str">
            <v>10106262-2602401LF</v>
          </cell>
          <cell r="B638"/>
          <cell r="C638"/>
          <cell r="D638"/>
          <cell r="E638"/>
          <cell r="F638"/>
          <cell r="G638">
            <v>2.8000000000000001E-2</v>
          </cell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>
            <v>3.0000000000000001E-3</v>
          </cell>
        </row>
        <row r="639">
          <cell r="A639" t="str">
            <v>10106262-2G03A01LF</v>
          </cell>
          <cell r="B639"/>
          <cell r="C639"/>
          <cell r="D639"/>
          <cell r="E639"/>
          <cell r="F639"/>
          <cell r="G639">
            <v>3.5000000000000003E-2</v>
          </cell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>
            <v>4.0000000000000001E-3</v>
          </cell>
        </row>
        <row r="640">
          <cell r="A640" t="str">
            <v>10106262-2LUB201LF</v>
          </cell>
          <cell r="B640"/>
          <cell r="C640"/>
          <cell r="D640"/>
          <cell r="E640"/>
          <cell r="F640"/>
          <cell r="G640">
            <v>4.2000000000000003E-2</v>
          </cell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>
            <v>3.3E-3</v>
          </cell>
        </row>
        <row r="641">
          <cell r="A641" t="str">
            <v>10106262-2LUB202LF</v>
          </cell>
          <cell r="B641"/>
          <cell r="C641"/>
          <cell r="D641"/>
          <cell r="E641"/>
          <cell r="F641"/>
          <cell r="G641">
            <v>4.4699999999999997E-2</v>
          </cell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>
            <v>3.3E-3</v>
          </cell>
        </row>
        <row r="642">
          <cell r="A642" t="str">
            <v>10106262-3000002LF</v>
          </cell>
          <cell r="B642"/>
          <cell r="C642"/>
          <cell r="D642"/>
          <cell r="E642"/>
          <cell r="F642"/>
          <cell r="G642">
            <v>1.7999999999999999E-2</v>
          </cell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>
            <v>6.1000000000000004E-3</v>
          </cell>
        </row>
        <row r="643">
          <cell r="A643" t="str">
            <v>10106262-3000407LF</v>
          </cell>
          <cell r="B643"/>
          <cell r="C643"/>
          <cell r="D643"/>
          <cell r="E643"/>
          <cell r="F643"/>
          <cell r="G643">
            <v>2.8000000000000001E-2</v>
          </cell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>
            <v>3.0000000000000001E-3</v>
          </cell>
        </row>
        <row r="644">
          <cell r="A644" t="str">
            <v>10106262-3000503LF</v>
          </cell>
          <cell r="B644"/>
          <cell r="C644"/>
          <cell r="D644"/>
          <cell r="E644"/>
          <cell r="F644"/>
          <cell r="G644">
            <v>2.3E-2</v>
          </cell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>
            <v>2.5000000000000001E-3</v>
          </cell>
        </row>
        <row r="645">
          <cell r="A645" t="str">
            <v>10106262-3001501LF</v>
          </cell>
          <cell r="B645"/>
          <cell r="C645"/>
          <cell r="D645"/>
          <cell r="E645"/>
          <cell r="F645"/>
          <cell r="G645">
            <v>2.9000000000000001E-2</v>
          </cell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>
            <v>3.3E-3</v>
          </cell>
        </row>
        <row r="646">
          <cell r="A646" t="str">
            <v>10106262-3002001LF</v>
          </cell>
          <cell r="B646"/>
          <cell r="C646"/>
          <cell r="D646"/>
          <cell r="E646"/>
          <cell r="F646"/>
          <cell r="G646">
            <v>2.8000000000000001E-2</v>
          </cell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>
            <v>3.3E-3</v>
          </cell>
        </row>
        <row r="647">
          <cell r="A647" t="str">
            <v>10106262-3002002LF</v>
          </cell>
          <cell r="B647"/>
          <cell r="C647"/>
          <cell r="D647"/>
          <cell r="E647"/>
          <cell r="F647"/>
          <cell r="G647">
            <v>4.2000000000000003E-2</v>
          </cell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>
            <v>3.0000000000000001E-3</v>
          </cell>
        </row>
        <row r="648">
          <cell r="A648" t="str">
            <v>10106262-3019001LF</v>
          </cell>
          <cell r="B648"/>
          <cell r="C648"/>
          <cell r="D648"/>
          <cell r="E648"/>
          <cell r="F648"/>
          <cell r="G648">
            <v>3.2000000000000001E-2</v>
          </cell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>
            <v>6.7000000000000002E-3</v>
          </cell>
        </row>
        <row r="649">
          <cell r="A649" t="str">
            <v>10106262-3037K01LF</v>
          </cell>
          <cell r="B649"/>
          <cell r="C649"/>
          <cell r="D649"/>
          <cell r="E649"/>
          <cell r="F649"/>
          <cell r="G649">
            <v>5.0999999999999997E-2</v>
          </cell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>
            <v>8.9999999999999993E-3</v>
          </cell>
        </row>
        <row r="650">
          <cell r="A650" t="str">
            <v>10106262-3606001LF</v>
          </cell>
          <cell r="B650"/>
          <cell r="C650"/>
          <cell r="D650"/>
          <cell r="E650"/>
          <cell r="F650"/>
          <cell r="G650">
            <v>4.9000000000000002E-2</v>
          </cell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>
            <v>3.3E-3</v>
          </cell>
        </row>
        <row r="651">
          <cell r="A651" t="str">
            <v>10106262-3606002LF</v>
          </cell>
          <cell r="B651"/>
          <cell r="C651"/>
          <cell r="D651"/>
          <cell r="E651"/>
          <cell r="F651"/>
          <cell r="G651">
            <v>4.8000000000000001E-2</v>
          </cell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>
            <v>3.3E-3</v>
          </cell>
        </row>
        <row r="652">
          <cell r="A652" t="str">
            <v>10106262-4000001LF</v>
          </cell>
          <cell r="B652"/>
          <cell r="C652"/>
          <cell r="D652"/>
          <cell r="E652"/>
          <cell r="F652"/>
          <cell r="G652">
            <v>2.5000000000000001E-2</v>
          </cell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>
            <v>6.1000000000000004E-3</v>
          </cell>
        </row>
        <row r="653">
          <cell r="A653" t="str">
            <v>10106262-4000006LF</v>
          </cell>
          <cell r="B653"/>
          <cell r="C653"/>
          <cell r="D653"/>
          <cell r="E653"/>
          <cell r="F653"/>
          <cell r="G653">
            <v>2.1000000000000001E-2</v>
          </cell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>
            <v>3.0000000000000001E-3</v>
          </cell>
        </row>
        <row r="654">
          <cell r="A654" t="str">
            <v>10106262-4000402LF</v>
          </cell>
          <cell r="B654"/>
          <cell r="C654"/>
          <cell r="D654"/>
          <cell r="E654"/>
          <cell r="F654"/>
          <cell r="G654">
            <v>2.3E-2</v>
          </cell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>
            <v>3.0000000000000001E-3</v>
          </cell>
        </row>
        <row r="655">
          <cell r="A655" t="str">
            <v>10106262-4000406LF</v>
          </cell>
          <cell r="B655"/>
          <cell r="C655"/>
          <cell r="D655"/>
          <cell r="E655"/>
          <cell r="F655"/>
          <cell r="G655">
            <v>2.8000000000000001E-2</v>
          </cell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>
            <v>6.1000000000000004E-3</v>
          </cell>
        </row>
        <row r="656">
          <cell r="A656" t="str">
            <v>10106262-4000408LF</v>
          </cell>
          <cell r="B656"/>
          <cell r="C656"/>
          <cell r="D656"/>
          <cell r="E656"/>
          <cell r="F656"/>
          <cell r="G656">
            <v>1.9E-2</v>
          </cell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>
            <v>6.1000000000000004E-3</v>
          </cell>
        </row>
        <row r="657">
          <cell r="A657" t="str">
            <v>10106262-4000411LF</v>
          </cell>
          <cell r="B657"/>
          <cell r="C657"/>
          <cell r="D657"/>
          <cell r="E657"/>
          <cell r="F657"/>
          <cell r="G657">
            <v>2.5999999999999999E-2</v>
          </cell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>
            <v>3.0000000000000001E-3</v>
          </cell>
        </row>
        <row r="658">
          <cell r="A658" t="str">
            <v>10106262-4000501LF</v>
          </cell>
          <cell r="B658"/>
          <cell r="C658"/>
          <cell r="D658"/>
          <cell r="E658"/>
          <cell r="F658"/>
          <cell r="G658">
            <v>2.3E-2</v>
          </cell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>
            <v>3.0000000000000001E-3</v>
          </cell>
        </row>
        <row r="659">
          <cell r="A659" t="str">
            <v>10106262-4000A01LF</v>
          </cell>
          <cell r="B659"/>
          <cell r="C659"/>
          <cell r="D659"/>
          <cell r="E659"/>
          <cell r="F659"/>
          <cell r="G659">
            <v>3.5000000000000003E-2</v>
          </cell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>
            <v>6.1000000000000004E-3</v>
          </cell>
        </row>
        <row r="660">
          <cell r="A660" t="str">
            <v>10106262-4000K02LF</v>
          </cell>
          <cell r="B660"/>
          <cell r="C660"/>
          <cell r="D660"/>
          <cell r="E660"/>
          <cell r="F660"/>
          <cell r="G660">
            <v>2.4E-2</v>
          </cell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>
            <v>2E-3</v>
          </cell>
        </row>
        <row r="661">
          <cell r="A661" t="str">
            <v>10106262-4001402LF</v>
          </cell>
          <cell r="B661"/>
          <cell r="C661"/>
          <cell r="D661"/>
          <cell r="E661"/>
          <cell r="F661"/>
          <cell r="G661">
            <v>0.03</v>
          </cell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>
            <v>3.3E-3</v>
          </cell>
        </row>
        <row r="662">
          <cell r="A662" t="str">
            <v>10106262-4002001LF</v>
          </cell>
          <cell r="B662"/>
          <cell r="C662"/>
          <cell r="D662"/>
          <cell r="E662"/>
          <cell r="F662"/>
          <cell r="G662">
            <v>3.5000000000000003E-2</v>
          </cell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>
            <v>3.3E-3</v>
          </cell>
        </row>
        <row r="663">
          <cell r="A663" t="str">
            <v>10106262-4002002LF</v>
          </cell>
          <cell r="B663"/>
          <cell r="C663"/>
          <cell r="D663"/>
          <cell r="E663"/>
          <cell r="F663"/>
          <cell r="G663">
            <v>3.6999999999999998E-2</v>
          </cell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>
            <v>3.3E-3</v>
          </cell>
        </row>
        <row r="664">
          <cell r="A664" t="str">
            <v>10106262-4002401LF</v>
          </cell>
          <cell r="B664"/>
          <cell r="C664"/>
          <cell r="D664"/>
          <cell r="E664"/>
          <cell r="F664"/>
          <cell r="G664">
            <v>2.8000000000000001E-2</v>
          </cell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>
            <v>3.3E-3</v>
          </cell>
        </row>
        <row r="665">
          <cell r="A665" t="str">
            <v>10106262-4002K02LF</v>
          </cell>
          <cell r="B665"/>
          <cell r="C665"/>
          <cell r="D665"/>
          <cell r="E665"/>
          <cell r="F665"/>
          <cell r="G665">
            <v>3.2000000000000001E-2</v>
          </cell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>
            <v>3.3E-3</v>
          </cell>
        </row>
        <row r="666">
          <cell r="A666" t="str">
            <v>10106262-4003004LF</v>
          </cell>
          <cell r="B666"/>
          <cell r="C666"/>
          <cell r="D666"/>
          <cell r="E666"/>
          <cell r="F666"/>
          <cell r="G666">
            <v>3.2000000000000001E-2</v>
          </cell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>
            <v>3.3E-3</v>
          </cell>
        </row>
        <row r="667">
          <cell r="A667" t="str">
            <v>10106262-4003K01LF</v>
          </cell>
          <cell r="B667"/>
          <cell r="C667"/>
          <cell r="D667"/>
          <cell r="E667"/>
          <cell r="F667"/>
          <cell r="G667">
            <v>3.4000000000000002E-2</v>
          </cell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>
            <v>3.3E-3</v>
          </cell>
        </row>
        <row r="668">
          <cell r="A668" t="str">
            <v>10106262-4004002LF</v>
          </cell>
          <cell r="B668"/>
          <cell r="C668"/>
          <cell r="D668"/>
          <cell r="E668"/>
          <cell r="F668"/>
          <cell r="G668">
            <v>3.5000000000000003E-2</v>
          </cell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>
            <v>3.3E-3</v>
          </cell>
        </row>
        <row r="669">
          <cell r="A669" t="str">
            <v>10106262-4004K01LF</v>
          </cell>
          <cell r="B669"/>
          <cell r="C669"/>
          <cell r="D669"/>
          <cell r="E669"/>
          <cell r="F669"/>
          <cell r="G669">
            <v>2.1000000000000001E-2</v>
          </cell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>
            <v>3.3E-3</v>
          </cell>
        </row>
        <row r="670">
          <cell r="A670" t="str">
            <v>10106262-4004K02LF</v>
          </cell>
          <cell r="B670"/>
          <cell r="C670"/>
          <cell r="D670"/>
          <cell r="E670"/>
          <cell r="F670"/>
          <cell r="G670">
            <v>3.5000000000000003E-2</v>
          </cell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>
            <v>5.0000000000000001E-3</v>
          </cell>
        </row>
        <row r="671">
          <cell r="A671" t="str">
            <v>10106262-4005001LF</v>
          </cell>
          <cell r="B671"/>
          <cell r="C671"/>
          <cell r="D671"/>
          <cell r="E671"/>
          <cell r="F671"/>
          <cell r="G671">
            <v>3.6999999999999998E-2</v>
          </cell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>
            <v>3.3E-3</v>
          </cell>
        </row>
        <row r="672">
          <cell r="A672" t="str">
            <v>10106262-4005401LF</v>
          </cell>
          <cell r="B672"/>
          <cell r="C672"/>
          <cell r="D672"/>
          <cell r="E672"/>
          <cell r="F672"/>
          <cell r="G672">
            <v>2.5999999999999999E-2</v>
          </cell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>
            <v>3.3E-3</v>
          </cell>
        </row>
        <row r="673">
          <cell r="A673" t="str">
            <v>10106262-4006K01LF</v>
          </cell>
          <cell r="B673"/>
          <cell r="C673"/>
          <cell r="D673"/>
          <cell r="E673"/>
          <cell r="F673"/>
          <cell r="G673">
            <v>2.9000000000000001E-2</v>
          </cell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>
            <v>3.3E-3</v>
          </cell>
        </row>
        <row r="674">
          <cell r="A674" t="str">
            <v>10106262-4009001LF</v>
          </cell>
          <cell r="B674"/>
          <cell r="C674"/>
          <cell r="D674"/>
          <cell r="E674"/>
          <cell r="F674"/>
          <cell r="G674">
            <v>3.4000000000000002E-2</v>
          </cell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>
            <v>3.3E-3</v>
          </cell>
        </row>
        <row r="675">
          <cell r="A675" t="str">
            <v>10106262-4009401LF</v>
          </cell>
          <cell r="B675"/>
          <cell r="C675"/>
          <cell r="D675"/>
          <cell r="E675"/>
          <cell r="F675"/>
          <cell r="G675">
            <v>3.2000000000000001E-2</v>
          </cell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>
            <v>3.3E-3</v>
          </cell>
        </row>
        <row r="676">
          <cell r="A676" t="str">
            <v>10106262-4506001LF</v>
          </cell>
          <cell r="B676"/>
          <cell r="C676"/>
          <cell r="D676"/>
          <cell r="E676"/>
          <cell r="F676"/>
          <cell r="G676">
            <v>3.3000000000000002E-2</v>
          </cell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>
            <v>8.3000000000000001E-3</v>
          </cell>
        </row>
        <row r="677">
          <cell r="A677" t="str">
            <v>10106262-4506002LF</v>
          </cell>
          <cell r="B677"/>
          <cell r="C677"/>
          <cell r="D677"/>
          <cell r="E677"/>
          <cell r="F677"/>
          <cell r="G677">
            <v>4.4999999999999998E-2</v>
          </cell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>
            <v>6.1000000000000004E-3</v>
          </cell>
        </row>
        <row r="678">
          <cell r="A678" t="str">
            <v>10106262-4508003LF</v>
          </cell>
          <cell r="B678"/>
          <cell r="C678"/>
          <cell r="D678"/>
          <cell r="E678"/>
          <cell r="F678"/>
          <cell r="G678">
            <v>6.0999999999999999E-2</v>
          </cell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>
            <v>3.3E-3</v>
          </cell>
        </row>
        <row r="679">
          <cell r="A679" t="str">
            <v>10106262-4704001LF</v>
          </cell>
          <cell r="B679"/>
          <cell r="C679"/>
          <cell r="D679"/>
          <cell r="E679"/>
          <cell r="F679"/>
          <cell r="G679">
            <v>3.5900000000000001E-2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>
            <v>3.3E-3</v>
          </cell>
        </row>
        <row r="680">
          <cell r="A680" t="str">
            <v>10106262-4704002LF</v>
          </cell>
          <cell r="B680"/>
          <cell r="C680"/>
          <cell r="D680"/>
          <cell r="E680"/>
          <cell r="F680"/>
          <cell r="G680">
            <v>3.7999999999999999E-2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>
            <v>3.3E-3</v>
          </cell>
        </row>
        <row r="681">
          <cell r="A681" t="str">
            <v>10106262-4704003LF</v>
          </cell>
          <cell r="B681"/>
          <cell r="C681"/>
          <cell r="D681"/>
          <cell r="E681"/>
          <cell r="F681"/>
          <cell r="G681">
            <v>3.1E-2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>
            <v>3.0000000000000001E-3</v>
          </cell>
        </row>
        <row r="682">
          <cell r="A682" t="str">
            <v>10106262-4704K01LF</v>
          </cell>
          <cell r="B682"/>
          <cell r="C682"/>
          <cell r="D682"/>
          <cell r="E682"/>
          <cell r="F682"/>
          <cell r="G682">
            <v>2.9000000000000001E-2</v>
          </cell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>
            <v>3.3E-3</v>
          </cell>
        </row>
        <row r="683">
          <cell r="A683" t="str">
            <v>10106262-4704K02LF</v>
          </cell>
          <cell r="B683"/>
          <cell r="C683"/>
          <cell r="D683"/>
          <cell r="E683"/>
          <cell r="F683"/>
          <cell r="G683">
            <v>3.2000000000000001E-2</v>
          </cell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>
            <v>3.3E-3</v>
          </cell>
        </row>
        <row r="684">
          <cell r="A684" t="str">
            <v>10106262-4704K03LF</v>
          </cell>
          <cell r="B684"/>
          <cell r="C684"/>
          <cell r="D684"/>
          <cell r="E684"/>
          <cell r="F684"/>
          <cell r="G684">
            <v>3.5000000000000003E-2</v>
          </cell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>
            <v>3.0000000000000001E-3</v>
          </cell>
        </row>
        <row r="685">
          <cell r="A685" t="str">
            <v>10106262-4A05001LF</v>
          </cell>
          <cell r="B685"/>
          <cell r="C685"/>
          <cell r="D685"/>
          <cell r="E685"/>
          <cell r="F685"/>
          <cell r="G685">
            <v>3.7999999999999999E-2</v>
          </cell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>
            <v>3.3E-3</v>
          </cell>
        </row>
        <row r="686">
          <cell r="A686" t="str">
            <v>10106262-4A06001LF</v>
          </cell>
          <cell r="B686"/>
          <cell r="C686"/>
          <cell r="D686"/>
          <cell r="E686"/>
          <cell r="F686"/>
          <cell r="G686">
            <v>4.8000000000000001E-2</v>
          </cell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>
            <v>6.1000000000000004E-3</v>
          </cell>
        </row>
        <row r="687">
          <cell r="A687" t="str">
            <v>10106262-4B08A01LF</v>
          </cell>
          <cell r="B687"/>
          <cell r="C687"/>
          <cell r="D687"/>
          <cell r="E687"/>
          <cell r="F687"/>
          <cell r="G687">
            <v>4.2000000000000003E-2</v>
          </cell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>
            <v>3.3E-3</v>
          </cell>
        </row>
        <row r="688">
          <cell r="A688" t="str">
            <v>10106262-4C04002LF</v>
          </cell>
          <cell r="B688"/>
          <cell r="C688"/>
          <cell r="D688"/>
          <cell r="E688"/>
          <cell r="F688"/>
          <cell r="G688">
            <v>4.8000000000000001E-2</v>
          </cell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>
            <v>3.3E-3</v>
          </cell>
        </row>
        <row r="689">
          <cell r="A689" t="str">
            <v>10106262-4D04001LF</v>
          </cell>
          <cell r="B689"/>
          <cell r="C689"/>
          <cell r="D689"/>
          <cell r="E689"/>
          <cell r="F689"/>
          <cell r="G689">
            <v>4.1000000000000002E-2</v>
          </cell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>
            <v>3.3E-3</v>
          </cell>
        </row>
        <row r="690">
          <cell r="A690" t="str">
            <v>10106262-5000003LF</v>
          </cell>
          <cell r="B690"/>
          <cell r="C690"/>
          <cell r="D690"/>
          <cell r="E690"/>
          <cell r="F690"/>
          <cell r="G690">
            <v>2.8000000000000001E-2</v>
          </cell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>
            <v>6.1000000000000004E-3</v>
          </cell>
        </row>
        <row r="691">
          <cell r="A691" t="str">
            <v>10106262-5000004LF</v>
          </cell>
          <cell r="B691"/>
          <cell r="C691"/>
          <cell r="D691"/>
          <cell r="E691"/>
          <cell r="F691"/>
          <cell r="G691">
            <v>3.5000000000000003E-2</v>
          </cell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>
            <v>6.1000000000000004E-3</v>
          </cell>
        </row>
        <row r="692">
          <cell r="A692" t="str">
            <v>10106262-5000402LF</v>
          </cell>
          <cell r="B692"/>
          <cell r="C692"/>
          <cell r="D692"/>
          <cell r="E692"/>
          <cell r="F692"/>
          <cell r="G692">
            <v>2.1999999999999999E-2</v>
          </cell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>
            <v>6.1000000000000004E-3</v>
          </cell>
        </row>
        <row r="693">
          <cell r="A693" t="str">
            <v>10106262-5000K01LF</v>
          </cell>
          <cell r="B693"/>
          <cell r="C693"/>
          <cell r="D693"/>
          <cell r="E693"/>
          <cell r="F693"/>
          <cell r="G693">
            <v>2.5000000000000001E-2</v>
          </cell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>
            <v>3.0000000000000001E-3</v>
          </cell>
        </row>
        <row r="694">
          <cell r="A694" t="str">
            <v>10106262-5002002LF</v>
          </cell>
          <cell r="B694"/>
          <cell r="C694"/>
          <cell r="D694"/>
          <cell r="E694"/>
          <cell r="F694"/>
          <cell r="G694">
            <v>2.8000000000000001E-2</v>
          </cell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>
            <v>3.3E-3</v>
          </cell>
        </row>
        <row r="695">
          <cell r="A695" t="str">
            <v>10106262-5002003LF</v>
          </cell>
          <cell r="B695"/>
          <cell r="C695"/>
          <cell r="D695"/>
          <cell r="E695"/>
          <cell r="F695"/>
          <cell r="G695">
            <v>3.4000000000000002E-2</v>
          </cell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>
            <v>3.3E-3</v>
          </cell>
        </row>
        <row r="696">
          <cell r="A696" t="str">
            <v>10106262-5004002LF</v>
          </cell>
          <cell r="B696"/>
          <cell r="C696"/>
          <cell r="D696"/>
          <cell r="E696"/>
          <cell r="F696"/>
          <cell r="G696">
            <v>4.2999999999999997E-2</v>
          </cell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>
            <v>3.3E-3</v>
          </cell>
        </row>
        <row r="697">
          <cell r="A697" t="str">
            <v>10106262-5004003LF</v>
          </cell>
          <cell r="B697"/>
          <cell r="C697"/>
          <cell r="D697"/>
          <cell r="E697"/>
          <cell r="F697"/>
          <cell r="G697">
            <v>4.2999999999999997E-2</v>
          </cell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>
            <v>3.3E-3</v>
          </cell>
        </row>
        <row r="698">
          <cell r="A698" t="str">
            <v>10106262-5004004LF</v>
          </cell>
          <cell r="B698"/>
          <cell r="C698"/>
          <cell r="D698"/>
          <cell r="E698"/>
          <cell r="F698"/>
          <cell r="G698">
            <v>4.2999999999999997E-2</v>
          </cell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>
            <v>3.3E-3</v>
          </cell>
        </row>
        <row r="699">
          <cell r="A699" t="str">
            <v>10106262-5004401LF</v>
          </cell>
          <cell r="B699"/>
          <cell r="C699"/>
          <cell r="D699"/>
          <cell r="E699"/>
          <cell r="F699"/>
          <cell r="G699">
            <v>3.2000000000000001E-2</v>
          </cell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>
            <v>3.3E-3</v>
          </cell>
        </row>
        <row r="700">
          <cell r="A700" t="str">
            <v>10106262-5004402LF</v>
          </cell>
          <cell r="B700"/>
          <cell r="C700"/>
          <cell r="D700"/>
          <cell r="E700"/>
          <cell r="F700"/>
          <cell r="G700">
            <v>3.5000000000000003E-2</v>
          </cell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>
            <v>3.3E-3</v>
          </cell>
        </row>
        <row r="701">
          <cell r="A701" t="str">
            <v>10106262-5005001LF</v>
          </cell>
          <cell r="B701"/>
          <cell r="C701"/>
          <cell r="D701"/>
          <cell r="E701"/>
          <cell r="F701"/>
          <cell r="G701">
            <v>4.2000000000000003E-2</v>
          </cell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>
            <v>3.0000000000000001E-3</v>
          </cell>
        </row>
        <row r="702">
          <cell r="A702" t="str">
            <v>10106262-5005003LF</v>
          </cell>
          <cell r="B702"/>
          <cell r="C702"/>
          <cell r="D702"/>
          <cell r="E702"/>
          <cell r="F702"/>
          <cell r="G702">
            <v>5.2999999999999999E-2</v>
          </cell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>
            <v>3.3E-3</v>
          </cell>
        </row>
        <row r="703">
          <cell r="A703" t="str">
            <v>10106262-5005K01LF</v>
          </cell>
          <cell r="B703"/>
          <cell r="C703"/>
          <cell r="D703"/>
          <cell r="E703"/>
          <cell r="F703"/>
          <cell r="G703">
            <v>2.8000000000000001E-2</v>
          </cell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>
            <v>3.0000000000000001E-3</v>
          </cell>
        </row>
        <row r="704">
          <cell r="A704" t="str">
            <v>10106262-5006002LF</v>
          </cell>
          <cell r="B704"/>
          <cell r="C704"/>
          <cell r="D704"/>
          <cell r="E704"/>
          <cell r="F704"/>
          <cell r="G704">
            <v>3.9E-2</v>
          </cell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>
            <v>3.3E-3</v>
          </cell>
        </row>
        <row r="705">
          <cell r="A705" t="str">
            <v>10106262-5006004LF</v>
          </cell>
          <cell r="B705"/>
          <cell r="C705"/>
          <cell r="D705"/>
          <cell r="E705"/>
          <cell r="F705"/>
          <cell r="G705">
            <v>3.5999999999999997E-2</v>
          </cell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>
            <v>3.3E-3</v>
          </cell>
        </row>
        <row r="706">
          <cell r="A706" t="str">
            <v>10106262-5009001LF</v>
          </cell>
          <cell r="B706"/>
          <cell r="C706"/>
          <cell r="D706"/>
          <cell r="E706"/>
          <cell r="F706"/>
          <cell r="G706">
            <v>3.5999999999999997E-2</v>
          </cell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>
            <v>3.3E-3</v>
          </cell>
        </row>
        <row r="707">
          <cell r="A707" t="str">
            <v>10106262-5029001LF</v>
          </cell>
          <cell r="B707"/>
          <cell r="C707"/>
          <cell r="D707"/>
          <cell r="E707"/>
          <cell r="F707"/>
          <cell r="G707">
            <v>6.4000000000000001E-2</v>
          </cell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>
            <v>0.01</v>
          </cell>
        </row>
        <row r="708">
          <cell r="A708" t="str">
            <v>10106262-5203001LF</v>
          </cell>
          <cell r="B708"/>
          <cell r="C708"/>
          <cell r="D708"/>
          <cell r="E708"/>
          <cell r="F708"/>
          <cell r="G708">
            <v>4.02E-2</v>
          </cell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>
            <v>3.0000000000000001E-3</v>
          </cell>
        </row>
        <row r="709">
          <cell r="A709" t="str">
            <v>10106262-5203K01LF</v>
          </cell>
          <cell r="B709"/>
          <cell r="C709"/>
          <cell r="D709"/>
          <cell r="E709"/>
          <cell r="F709"/>
          <cell r="G709">
            <v>3.2000000000000001E-2</v>
          </cell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>
            <v>3.3E-3</v>
          </cell>
        </row>
        <row r="710">
          <cell r="A710" t="str">
            <v>10106262-5206001LF</v>
          </cell>
          <cell r="B710"/>
          <cell r="C710"/>
          <cell r="D710"/>
          <cell r="E710"/>
          <cell r="F710"/>
          <cell r="G710">
            <v>3.4000000000000002E-2</v>
          </cell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>
            <v>2E-3</v>
          </cell>
        </row>
        <row r="711">
          <cell r="A711" t="str">
            <v>10106262-5206002LF</v>
          </cell>
          <cell r="B711"/>
          <cell r="C711"/>
          <cell r="D711"/>
          <cell r="E711"/>
          <cell r="F711"/>
          <cell r="G711">
            <v>2.2817634E-2</v>
          </cell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>
            <v>2E-3</v>
          </cell>
        </row>
        <row r="712">
          <cell r="A712" t="str">
            <v>10106262-5605A01LF</v>
          </cell>
          <cell r="B712"/>
          <cell r="C712"/>
          <cell r="D712"/>
          <cell r="E712"/>
          <cell r="F712"/>
          <cell r="G712">
            <v>4.5999999999999999E-2</v>
          </cell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>
            <v>6.1000000000000004E-3</v>
          </cell>
        </row>
        <row r="713">
          <cell r="A713" t="str">
            <v>10106262-6000401LF</v>
          </cell>
          <cell r="B713"/>
          <cell r="C713"/>
          <cell r="D713"/>
          <cell r="E713"/>
          <cell r="F713"/>
          <cell r="G713">
            <v>2.7E-2</v>
          </cell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>
            <v>6.1000000000000004E-3</v>
          </cell>
        </row>
        <row r="714">
          <cell r="A714" t="str">
            <v>10106262-6000404LF</v>
          </cell>
          <cell r="B714"/>
          <cell r="C714"/>
          <cell r="D714"/>
          <cell r="E714"/>
          <cell r="F714"/>
          <cell r="G714">
            <v>2.7E-2</v>
          </cell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>
            <v>6.1000000000000004E-3</v>
          </cell>
        </row>
        <row r="715">
          <cell r="A715" t="str">
            <v>10106262-6002402LF</v>
          </cell>
          <cell r="B715"/>
          <cell r="C715"/>
          <cell r="D715"/>
          <cell r="E715"/>
          <cell r="F715"/>
          <cell r="G715">
            <v>3.4000000000000002E-2</v>
          </cell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>
            <v>3.3E-3</v>
          </cell>
        </row>
        <row r="716">
          <cell r="A716" t="str">
            <v>10106262-6002501LF</v>
          </cell>
          <cell r="B716"/>
          <cell r="C716"/>
          <cell r="D716"/>
          <cell r="E716"/>
          <cell r="F716"/>
          <cell r="G716">
            <v>3.2000000000000001E-2</v>
          </cell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>
            <v>5.0000000000000001E-3</v>
          </cell>
        </row>
        <row r="717">
          <cell r="A717" t="str">
            <v>10106262-6002502LF</v>
          </cell>
          <cell r="B717"/>
          <cell r="C717"/>
          <cell r="D717"/>
          <cell r="E717"/>
          <cell r="F717"/>
          <cell r="G717">
            <v>2.8000000000000001E-2</v>
          </cell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>
            <v>3.0000000000000001E-3</v>
          </cell>
        </row>
        <row r="718">
          <cell r="A718" t="str">
            <v>10106262-6003002LF</v>
          </cell>
          <cell r="B718"/>
          <cell r="C718"/>
          <cell r="D718"/>
          <cell r="E718"/>
          <cell r="F718"/>
          <cell r="G718">
            <v>3.4000000000000002E-2</v>
          </cell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>
            <v>3.3E-3</v>
          </cell>
        </row>
        <row r="719">
          <cell r="A719" t="str">
            <v>10106262-6003003LF</v>
          </cell>
          <cell r="B719"/>
          <cell r="C719"/>
          <cell r="D719"/>
          <cell r="E719"/>
          <cell r="F719"/>
          <cell r="G719">
            <v>4.2000000000000003E-2</v>
          </cell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>
            <v>3.3E-3</v>
          </cell>
        </row>
        <row r="720">
          <cell r="A720" t="str">
            <v>10106262-6003004LF</v>
          </cell>
          <cell r="B720"/>
          <cell r="C720"/>
          <cell r="D720"/>
          <cell r="E720"/>
          <cell r="F720"/>
          <cell r="G720">
            <v>3.4000000000000002E-2</v>
          </cell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>
            <v>3.3E-3</v>
          </cell>
        </row>
        <row r="721">
          <cell r="A721" t="str">
            <v>10106262-6003005LF</v>
          </cell>
          <cell r="B721"/>
          <cell r="C721"/>
          <cell r="D721"/>
          <cell r="E721"/>
          <cell r="F721"/>
          <cell r="G721">
            <v>3.5000000000000003E-2</v>
          </cell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>
            <v>3.3E-3</v>
          </cell>
        </row>
        <row r="722">
          <cell r="A722" t="str">
            <v>10106262-6003006LF</v>
          </cell>
          <cell r="B722"/>
          <cell r="C722"/>
          <cell r="D722"/>
          <cell r="E722"/>
          <cell r="F722"/>
          <cell r="G722">
            <v>3.0235000000000001E-2</v>
          </cell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>
            <v>3.3E-3</v>
          </cell>
        </row>
        <row r="723">
          <cell r="A723" t="str">
            <v>10106262-6003009LF</v>
          </cell>
          <cell r="B723"/>
          <cell r="C723"/>
          <cell r="D723"/>
          <cell r="E723"/>
          <cell r="F723"/>
          <cell r="G723">
            <v>3.5000000000000003E-2</v>
          </cell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>
            <v>3.3E-3</v>
          </cell>
        </row>
        <row r="724">
          <cell r="A724" t="str">
            <v>10106262-6003010LF</v>
          </cell>
          <cell r="B724"/>
          <cell r="C724"/>
          <cell r="D724"/>
          <cell r="E724"/>
          <cell r="F724"/>
          <cell r="G724">
            <v>2.7E-2</v>
          </cell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>
            <v>3.3E-3</v>
          </cell>
        </row>
        <row r="725">
          <cell r="A725" t="str">
            <v>10106262-6003A02LF</v>
          </cell>
          <cell r="B725"/>
          <cell r="C725"/>
          <cell r="D725"/>
          <cell r="E725"/>
          <cell r="F725"/>
          <cell r="G725">
            <v>3.6999999999999998E-2</v>
          </cell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>
            <v>3.3E-3</v>
          </cell>
        </row>
        <row r="726">
          <cell r="A726" t="str">
            <v>10106262-6004001LF</v>
          </cell>
          <cell r="B726"/>
          <cell r="C726"/>
          <cell r="D726"/>
          <cell r="E726"/>
          <cell r="F726"/>
          <cell r="G726">
            <v>2.7E-2</v>
          </cell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>
            <v>3.0000000000000001E-3</v>
          </cell>
        </row>
        <row r="727">
          <cell r="A727" t="str">
            <v>10106262-6004002LF</v>
          </cell>
          <cell r="B727"/>
          <cell r="C727"/>
          <cell r="D727"/>
          <cell r="E727"/>
          <cell r="F727"/>
          <cell r="G727">
            <v>2.2800000000000001E-2</v>
          </cell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>
            <v>5.7000000000000002E-3</v>
          </cell>
        </row>
        <row r="728">
          <cell r="A728" t="str">
            <v>10106262-6005A01LF</v>
          </cell>
          <cell r="B728"/>
          <cell r="C728"/>
          <cell r="D728"/>
          <cell r="E728"/>
          <cell r="F728"/>
          <cell r="G728">
            <v>3.6999999999999998E-2</v>
          </cell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>
            <v>3.3E-3</v>
          </cell>
        </row>
        <row r="729">
          <cell r="A729" t="str">
            <v>10106262-6010K01LF</v>
          </cell>
          <cell r="B729"/>
          <cell r="C729"/>
          <cell r="D729"/>
          <cell r="E729"/>
          <cell r="F729"/>
          <cell r="G729">
            <v>3.4000000000000002E-2</v>
          </cell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>
            <v>3.3E-3</v>
          </cell>
        </row>
        <row r="730">
          <cell r="A730" t="str">
            <v>10106262-6206001LF</v>
          </cell>
          <cell r="B730"/>
          <cell r="C730"/>
          <cell r="D730"/>
          <cell r="E730"/>
          <cell r="F730"/>
          <cell r="G730">
            <v>5.8500000000000003E-2</v>
          </cell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>
            <v>6.1000000000000004E-3</v>
          </cell>
        </row>
        <row r="731">
          <cell r="A731" t="str">
            <v>10106262-6206002LF</v>
          </cell>
          <cell r="B731"/>
          <cell r="C731"/>
          <cell r="D731"/>
          <cell r="E731"/>
          <cell r="F731"/>
          <cell r="G731">
            <v>5.1999999999999998E-2</v>
          </cell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>
            <v>3.3E-3</v>
          </cell>
        </row>
        <row r="732">
          <cell r="A732" t="str">
            <v>10106262-6206003LF</v>
          </cell>
          <cell r="B732"/>
          <cell r="C732"/>
          <cell r="D732"/>
          <cell r="E732"/>
          <cell r="F732"/>
          <cell r="G732">
            <v>4.4999999999999998E-2</v>
          </cell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>
            <v>3.3E-3</v>
          </cell>
        </row>
        <row r="733">
          <cell r="A733" t="str">
            <v>10106262-6206004LF</v>
          </cell>
          <cell r="B733"/>
          <cell r="C733"/>
          <cell r="D733"/>
          <cell r="E733"/>
          <cell r="F733"/>
          <cell r="G733">
            <v>4.4999999999999998E-2</v>
          </cell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>
            <v>3.3E-3</v>
          </cell>
        </row>
        <row r="734">
          <cell r="A734" t="str">
            <v>10106262-6206006LF</v>
          </cell>
          <cell r="B734"/>
          <cell r="C734"/>
          <cell r="D734"/>
          <cell r="E734"/>
          <cell r="F734"/>
          <cell r="G734">
            <v>4.4999999999999998E-2</v>
          </cell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>
            <v>3.3E-3</v>
          </cell>
        </row>
        <row r="735">
          <cell r="A735" t="str">
            <v>10106262-6206007LF</v>
          </cell>
          <cell r="B735"/>
          <cell r="C735"/>
          <cell r="D735"/>
          <cell r="E735"/>
          <cell r="F735"/>
          <cell r="G735">
            <v>2.1999999999999999E-2</v>
          </cell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>
            <v>3.3E-3</v>
          </cell>
        </row>
        <row r="736">
          <cell r="A736" t="str">
            <v>10106262-6206008LF</v>
          </cell>
          <cell r="B736"/>
          <cell r="C736"/>
          <cell r="D736"/>
          <cell r="E736"/>
          <cell r="F736"/>
          <cell r="G736">
            <v>3.5000000000000003E-2</v>
          </cell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>
            <v>3.3E-3</v>
          </cell>
        </row>
        <row r="737">
          <cell r="A737" t="str">
            <v>10106262-6403A01LF</v>
          </cell>
          <cell r="B737"/>
          <cell r="C737"/>
          <cell r="D737"/>
          <cell r="E737"/>
          <cell r="F737"/>
          <cell r="G737">
            <v>3.7999999999999999E-2</v>
          </cell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>
            <v>3.3E-3</v>
          </cell>
        </row>
        <row r="738">
          <cell r="A738" t="str">
            <v>10106262-6403A03LF</v>
          </cell>
          <cell r="B738"/>
          <cell r="C738"/>
          <cell r="D738"/>
          <cell r="E738"/>
          <cell r="F738"/>
          <cell r="G738">
            <v>3.5000000000000003E-2</v>
          </cell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>
            <v>3.3E-3</v>
          </cell>
        </row>
        <row r="739">
          <cell r="A739" t="str">
            <v>10106262-6505001LF</v>
          </cell>
          <cell r="B739"/>
          <cell r="C739"/>
          <cell r="D739"/>
          <cell r="E739"/>
          <cell r="F739"/>
          <cell r="G739">
            <v>3.7999999999999999E-2</v>
          </cell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>
            <v>3.3E-3</v>
          </cell>
        </row>
        <row r="740">
          <cell r="A740" t="str">
            <v>10106262-6706001LF</v>
          </cell>
          <cell r="B740"/>
          <cell r="C740"/>
          <cell r="D740"/>
          <cell r="E740"/>
          <cell r="F740"/>
          <cell r="G740">
            <v>5.62E-2</v>
          </cell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>
            <v>6.1000000000000004E-3</v>
          </cell>
        </row>
        <row r="741">
          <cell r="A741" t="str">
            <v>10106262-6712001LF</v>
          </cell>
          <cell r="B741"/>
          <cell r="C741"/>
          <cell r="D741"/>
          <cell r="E741"/>
          <cell r="F741"/>
          <cell r="G741">
            <v>5.0999999999999997E-2</v>
          </cell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>
            <v>3.3E-3</v>
          </cell>
        </row>
        <row r="742">
          <cell r="A742" t="str">
            <v>10106262-7000K01LF</v>
          </cell>
          <cell r="B742"/>
          <cell r="C742"/>
          <cell r="D742"/>
          <cell r="E742"/>
          <cell r="F742"/>
          <cell r="G742">
            <v>3.2000000000000001E-2</v>
          </cell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>
            <v>3.3E-3</v>
          </cell>
        </row>
        <row r="743">
          <cell r="A743" t="str">
            <v>10106262-7003002LF</v>
          </cell>
          <cell r="B743"/>
          <cell r="C743"/>
          <cell r="D743"/>
          <cell r="E743"/>
          <cell r="F743"/>
          <cell r="G743">
            <v>3.7999999999999999E-2</v>
          </cell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>
            <v>3.3E-3</v>
          </cell>
        </row>
        <row r="744">
          <cell r="A744" t="str">
            <v>10106262-7003003LF</v>
          </cell>
          <cell r="B744"/>
          <cell r="C744"/>
          <cell r="D744"/>
          <cell r="E744"/>
          <cell r="F744"/>
          <cell r="G744">
            <v>4.2000000000000003E-2</v>
          </cell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>
            <v>3.3E-3</v>
          </cell>
        </row>
        <row r="745">
          <cell r="A745" t="str">
            <v>10106262-7003006LF</v>
          </cell>
          <cell r="B745"/>
          <cell r="C745"/>
          <cell r="D745"/>
          <cell r="E745"/>
          <cell r="F745"/>
          <cell r="G745">
            <v>2.5000000000000001E-2</v>
          </cell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>
            <v>3.3E-3</v>
          </cell>
        </row>
        <row r="746">
          <cell r="A746" t="str">
            <v>10106262-7004001LF</v>
          </cell>
          <cell r="B746"/>
          <cell r="C746"/>
          <cell r="D746"/>
          <cell r="E746"/>
          <cell r="F746"/>
          <cell r="G746">
            <v>3.5000000000000003E-2</v>
          </cell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>
            <v>3.3E-3</v>
          </cell>
        </row>
        <row r="747">
          <cell r="A747" t="str">
            <v>10106262-7004003LF</v>
          </cell>
          <cell r="B747"/>
          <cell r="C747"/>
          <cell r="D747"/>
          <cell r="E747"/>
          <cell r="F747"/>
          <cell r="G747">
            <v>0.04</v>
          </cell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>
            <v>3.3E-3</v>
          </cell>
        </row>
        <row r="748">
          <cell r="A748" t="str">
            <v>10106262-7004004LF</v>
          </cell>
          <cell r="B748"/>
          <cell r="C748"/>
          <cell r="D748"/>
          <cell r="E748"/>
          <cell r="F748"/>
          <cell r="G748">
            <v>3.9E-2</v>
          </cell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>
            <v>3.3E-3</v>
          </cell>
        </row>
        <row r="749">
          <cell r="A749" t="str">
            <v>10106262-7005001LF</v>
          </cell>
          <cell r="B749"/>
          <cell r="C749"/>
          <cell r="D749"/>
          <cell r="E749"/>
          <cell r="F749"/>
          <cell r="G749">
            <v>4.8000000000000001E-2</v>
          </cell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>
            <v>3.3E-3</v>
          </cell>
        </row>
        <row r="750">
          <cell r="A750" t="str">
            <v>10106262-7005003LF</v>
          </cell>
          <cell r="B750"/>
          <cell r="C750"/>
          <cell r="D750"/>
          <cell r="E750"/>
          <cell r="F750"/>
          <cell r="G750">
            <v>3.2000000000000001E-2</v>
          </cell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>
            <v>3.3E-3</v>
          </cell>
        </row>
        <row r="751">
          <cell r="A751" t="str">
            <v>10106262-7006001LF</v>
          </cell>
          <cell r="B751"/>
          <cell r="C751"/>
          <cell r="D751"/>
          <cell r="E751"/>
          <cell r="F751"/>
          <cell r="G751">
            <v>5.4301136E-2</v>
          </cell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>
            <v>6.1000000000000004E-3</v>
          </cell>
        </row>
        <row r="752">
          <cell r="A752" t="str">
            <v>10106262-7006003LF</v>
          </cell>
          <cell r="B752"/>
          <cell r="C752"/>
          <cell r="D752"/>
          <cell r="E752"/>
          <cell r="F752"/>
          <cell r="G752">
            <v>5.5E-2</v>
          </cell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>
            <v>3.3E-3</v>
          </cell>
        </row>
        <row r="753">
          <cell r="A753" t="str">
            <v>10106262-7006004LF</v>
          </cell>
          <cell r="B753"/>
          <cell r="C753"/>
          <cell r="D753"/>
          <cell r="E753"/>
          <cell r="F753"/>
          <cell r="G753">
            <v>3.7999999999999999E-2</v>
          </cell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>
            <v>3.3E-3</v>
          </cell>
        </row>
        <row r="754">
          <cell r="A754" t="str">
            <v>10106262-7009001LF</v>
          </cell>
          <cell r="B754"/>
          <cell r="C754"/>
          <cell r="D754"/>
          <cell r="E754"/>
          <cell r="F754"/>
          <cell r="G754">
            <v>4.4999999999999998E-2</v>
          </cell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>
            <v>3.3E-3</v>
          </cell>
        </row>
        <row r="755">
          <cell r="A755" t="str">
            <v>10106262-7013K01LF</v>
          </cell>
          <cell r="B755"/>
          <cell r="C755"/>
          <cell r="D755"/>
          <cell r="E755"/>
          <cell r="F755"/>
          <cell r="G755">
            <v>4.4999999999999998E-2</v>
          </cell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>
            <v>5.0000000000000001E-3</v>
          </cell>
        </row>
        <row r="756">
          <cell r="A756" t="str">
            <v>10106262-8000404LF</v>
          </cell>
          <cell r="B756"/>
          <cell r="C756"/>
          <cell r="D756"/>
          <cell r="E756"/>
          <cell r="F756"/>
          <cell r="G756">
            <v>2.4E-2</v>
          </cell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>
            <v>6.1000000000000004E-3</v>
          </cell>
        </row>
        <row r="757">
          <cell r="A757" t="str">
            <v>10106262-8001001LF</v>
          </cell>
          <cell r="B757"/>
          <cell r="C757"/>
          <cell r="D757"/>
          <cell r="E757"/>
          <cell r="F757"/>
          <cell r="G757">
            <v>4.2000000000000003E-2</v>
          </cell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>
            <v>3.3E-3</v>
          </cell>
        </row>
        <row r="758">
          <cell r="A758" t="str">
            <v>10106262-8003001LF</v>
          </cell>
          <cell r="B758"/>
          <cell r="C758"/>
          <cell r="D758"/>
          <cell r="E758"/>
          <cell r="F758"/>
          <cell r="G758">
            <v>3.7999999999999999E-2</v>
          </cell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>
            <v>3.3E-3</v>
          </cell>
        </row>
        <row r="759">
          <cell r="A759" t="str">
            <v>10106262-8004001LF</v>
          </cell>
          <cell r="B759"/>
          <cell r="C759"/>
          <cell r="D759"/>
          <cell r="E759"/>
          <cell r="F759"/>
          <cell r="G759">
            <v>4.4999999999999998E-2</v>
          </cell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>
            <v>3.3E-3</v>
          </cell>
        </row>
        <row r="760">
          <cell r="A760" t="str">
            <v>10106262-8004004LF</v>
          </cell>
          <cell r="B760"/>
          <cell r="C760"/>
          <cell r="D760"/>
          <cell r="E760"/>
          <cell r="F760"/>
          <cell r="G760">
            <v>4.1000000000000002E-2</v>
          </cell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>
            <v>3.3E-3</v>
          </cell>
        </row>
        <row r="761">
          <cell r="A761" t="str">
            <v>10106262-8004005LF</v>
          </cell>
          <cell r="B761"/>
          <cell r="C761"/>
          <cell r="D761"/>
          <cell r="E761"/>
          <cell r="F761"/>
          <cell r="G761">
            <v>4.2584999999999998E-2</v>
          </cell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>
            <v>3.3E-3</v>
          </cell>
        </row>
        <row r="762">
          <cell r="A762" t="str">
            <v>10106262-8004006LF</v>
          </cell>
          <cell r="B762"/>
          <cell r="C762"/>
          <cell r="D762"/>
          <cell r="E762"/>
          <cell r="F762"/>
          <cell r="G762">
            <v>3.5000000000000003E-2</v>
          </cell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>
            <v>3.3E-3</v>
          </cell>
        </row>
        <row r="763">
          <cell r="A763" t="str">
            <v>10106262-8004007LF</v>
          </cell>
          <cell r="B763"/>
          <cell r="C763"/>
          <cell r="D763"/>
          <cell r="E763"/>
          <cell r="F763"/>
          <cell r="G763">
            <v>2.4E-2</v>
          </cell>
          <cell r="H763"/>
          <cell r="I763"/>
          <cell r="J763"/>
          <cell r="K763"/>
          <cell r="L763"/>
          <cell r="M763"/>
          <cell r="N763">
            <v>1.9444E-3</v>
          </cell>
          <cell r="O763"/>
          <cell r="P763"/>
          <cell r="Q763"/>
          <cell r="R763"/>
          <cell r="S763"/>
          <cell r="T763"/>
          <cell r="U763"/>
          <cell r="V763"/>
          <cell r="W763">
            <v>1.0999999999999999E-2</v>
          </cell>
        </row>
        <row r="764">
          <cell r="A764" t="str">
            <v>10106262-8203A01LF</v>
          </cell>
          <cell r="B764"/>
          <cell r="C764"/>
          <cell r="D764"/>
          <cell r="E764"/>
          <cell r="F764"/>
          <cell r="G764">
            <v>4.2999999999999997E-2</v>
          </cell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>
            <v>3.3E-3</v>
          </cell>
        </row>
        <row r="765">
          <cell r="A765" t="str">
            <v>10106262-8802K01LF</v>
          </cell>
          <cell r="B765"/>
          <cell r="C765"/>
          <cell r="D765"/>
          <cell r="E765"/>
          <cell r="F765"/>
          <cell r="G765">
            <v>2.8000000000000001E-2</v>
          </cell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>
            <v>3.3E-3</v>
          </cell>
        </row>
        <row r="766">
          <cell r="A766" t="str">
            <v>10106262-8802K02LF</v>
          </cell>
          <cell r="B766"/>
          <cell r="C766"/>
          <cell r="D766"/>
          <cell r="E766"/>
          <cell r="F766"/>
          <cell r="G766">
            <v>3.7999999999999999E-2</v>
          </cell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>
            <v>4.0000000000000001E-3</v>
          </cell>
        </row>
        <row r="767">
          <cell r="A767" t="str">
            <v>10106262-8J03A01LF</v>
          </cell>
          <cell r="B767"/>
          <cell r="C767"/>
          <cell r="D767"/>
          <cell r="E767"/>
          <cell r="F767"/>
          <cell r="G767">
            <v>2.9000000000000001E-2</v>
          </cell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>
            <v>3.3E-3</v>
          </cell>
        </row>
        <row r="768">
          <cell r="A768" t="str">
            <v>10106262-9000007LF</v>
          </cell>
          <cell r="B768"/>
          <cell r="C768"/>
          <cell r="D768"/>
          <cell r="E768"/>
          <cell r="F768"/>
          <cell r="G768">
            <v>4.8100000000000004E-2</v>
          </cell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</row>
        <row r="769">
          <cell r="A769" t="str">
            <v>10106262-9000401LF</v>
          </cell>
          <cell r="B769"/>
          <cell r="C769"/>
          <cell r="D769"/>
          <cell r="E769"/>
          <cell r="F769"/>
          <cell r="G769">
            <v>3.2000000000000001E-2</v>
          </cell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>
            <v>6.1000000000000004E-3</v>
          </cell>
        </row>
        <row r="770">
          <cell r="A770" t="str">
            <v>10106262-9000A01LF</v>
          </cell>
          <cell r="B770"/>
          <cell r="C770"/>
          <cell r="D770"/>
          <cell r="E770"/>
          <cell r="F770"/>
          <cell r="G770">
            <v>2.5000000000000001E-2</v>
          </cell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>
            <v>6.1000000000000004E-3</v>
          </cell>
        </row>
        <row r="771">
          <cell r="A771" t="str">
            <v>10106262-9000K01LF</v>
          </cell>
          <cell r="B771"/>
          <cell r="C771"/>
          <cell r="D771"/>
          <cell r="E771"/>
          <cell r="F771"/>
          <cell r="G771">
            <v>2.8000000000000001E-2</v>
          </cell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>
            <v>3.0000000000000001E-3</v>
          </cell>
        </row>
        <row r="772">
          <cell r="A772" t="str">
            <v>10106262-9002A01LF</v>
          </cell>
          <cell r="B772"/>
          <cell r="C772"/>
          <cell r="D772"/>
          <cell r="E772"/>
          <cell r="F772"/>
          <cell r="G772">
            <v>3.1E-2</v>
          </cell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>
            <v>3.3E-3</v>
          </cell>
        </row>
        <row r="773">
          <cell r="A773" t="str">
            <v>10106262-9004001LF</v>
          </cell>
          <cell r="B773"/>
          <cell r="C773"/>
          <cell r="D773"/>
          <cell r="E773"/>
          <cell r="F773"/>
          <cell r="G773">
            <v>3.5999999999999997E-2</v>
          </cell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>
            <v>3.3E-3</v>
          </cell>
        </row>
        <row r="774">
          <cell r="A774" t="str">
            <v>10106262-9005001LF</v>
          </cell>
          <cell r="B774"/>
          <cell r="C774"/>
          <cell r="D774"/>
          <cell r="E774"/>
          <cell r="F774"/>
          <cell r="G774">
            <v>4.3999999999999997E-2</v>
          </cell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>
            <v>3.3E-3</v>
          </cell>
        </row>
        <row r="775">
          <cell r="A775" t="str">
            <v>10106262-9005002LF</v>
          </cell>
          <cell r="B775"/>
          <cell r="C775"/>
          <cell r="D775"/>
          <cell r="E775"/>
          <cell r="F775"/>
          <cell r="G775">
            <v>3.7999999999999999E-2</v>
          </cell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>
            <v>3.3E-3</v>
          </cell>
        </row>
        <row r="776">
          <cell r="A776" t="str">
            <v>10106262-9005003LF</v>
          </cell>
          <cell r="B776"/>
          <cell r="C776"/>
          <cell r="D776"/>
          <cell r="E776"/>
          <cell r="F776"/>
          <cell r="G776">
            <v>3.2000000000000001E-2</v>
          </cell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>
            <v>3.3E-3</v>
          </cell>
        </row>
        <row r="777">
          <cell r="A777" t="str">
            <v>10106262-9005004LF</v>
          </cell>
          <cell r="B777"/>
          <cell r="C777"/>
          <cell r="D777"/>
          <cell r="E777"/>
          <cell r="F777"/>
          <cell r="G777">
            <v>3.5935000000000002E-2</v>
          </cell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>
            <v>3.3E-3</v>
          </cell>
        </row>
        <row r="778">
          <cell r="A778" t="str">
            <v>10106262-9016K01LF</v>
          </cell>
          <cell r="B778"/>
          <cell r="C778"/>
          <cell r="D778"/>
          <cell r="E778"/>
          <cell r="F778"/>
          <cell r="G778">
            <v>4.3999999999999997E-2</v>
          </cell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>
            <v>5.0000000000000001E-3</v>
          </cell>
        </row>
        <row r="779">
          <cell r="A779" t="str">
            <v>10106262-9203001LF</v>
          </cell>
          <cell r="B779"/>
          <cell r="C779"/>
          <cell r="D779"/>
          <cell r="E779"/>
          <cell r="F779"/>
          <cell r="G779">
            <v>3.7999999999999999E-2</v>
          </cell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>
            <v>3.3E-3</v>
          </cell>
        </row>
        <row r="780">
          <cell r="A780" t="str">
            <v>10106262-9206001LF</v>
          </cell>
          <cell r="B780"/>
          <cell r="C780"/>
          <cell r="D780"/>
          <cell r="E780"/>
          <cell r="F780"/>
          <cell r="G780">
            <v>3.7999999999999999E-2</v>
          </cell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>
            <v>3.3E-3</v>
          </cell>
        </row>
        <row r="781">
          <cell r="A781" t="str">
            <v>10106262-9206002LF</v>
          </cell>
          <cell r="B781"/>
          <cell r="C781"/>
          <cell r="D781"/>
          <cell r="E781"/>
          <cell r="F781"/>
          <cell r="G781">
            <v>4.8000000000000001E-2</v>
          </cell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>
            <v>3.3E-3</v>
          </cell>
        </row>
        <row r="782">
          <cell r="A782" t="str">
            <v>10106262-A000003LF</v>
          </cell>
          <cell r="B782"/>
          <cell r="C782"/>
          <cell r="D782"/>
          <cell r="E782"/>
          <cell r="F782"/>
          <cell r="G782">
            <v>2.4E-2</v>
          </cell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>
            <v>6.1000000000000004E-3</v>
          </cell>
        </row>
        <row r="783">
          <cell r="A783" t="str">
            <v>10106262-A000004LF</v>
          </cell>
          <cell r="B783"/>
          <cell r="C783"/>
          <cell r="D783"/>
          <cell r="E783"/>
          <cell r="F783"/>
          <cell r="G783">
            <v>2.8000000000000001E-2</v>
          </cell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>
            <v>3.3E-3</v>
          </cell>
        </row>
        <row r="784">
          <cell r="A784" t="str">
            <v>10106262-A002001LF</v>
          </cell>
          <cell r="B784"/>
          <cell r="C784"/>
          <cell r="D784"/>
          <cell r="E784"/>
          <cell r="F784"/>
          <cell r="G784">
            <v>2.5899999999999999E-2</v>
          </cell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>
            <v>2E-3</v>
          </cell>
        </row>
        <row r="785">
          <cell r="A785" t="str">
            <v>10106262-A002A01LF</v>
          </cell>
          <cell r="B785"/>
          <cell r="C785"/>
          <cell r="D785"/>
          <cell r="E785"/>
          <cell r="F785"/>
          <cell r="G785">
            <v>3.2000000000000001E-2</v>
          </cell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>
            <v>3.3E-3</v>
          </cell>
        </row>
        <row r="786">
          <cell r="A786" t="str">
            <v>10106262-A003001LF</v>
          </cell>
          <cell r="B786"/>
          <cell r="C786"/>
          <cell r="D786"/>
          <cell r="E786"/>
          <cell r="F786"/>
          <cell r="G786">
            <v>5.3999999999999999E-2</v>
          </cell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>
            <v>3.3E-3</v>
          </cell>
        </row>
        <row r="787">
          <cell r="A787" t="str">
            <v>10106262-A003002LF</v>
          </cell>
          <cell r="B787"/>
          <cell r="C787"/>
          <cell r="D787"/>
          <cell r="E787"/>
          <cell r="F787"/>
          <cell r="G787">
            <v>2.7E-2</v>
          </cell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>
            <v>3.3E-3</v>
          </cell>
        </row>
        <row r="788">
          <cell r="A788" t="str">
            <v>10106262-A003004LF</v>
          </cell>
          <cell r="B788"/>
          <cell r="C788"/>
          <cell r="D788"/>
          <cell r="E788"/>
          <cell r="F788"/>
          <cell r="G788">
            <v>3.4000000000000002E-2</v>
          </cell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>
            <v>3.0000000000000001E-3</v>
          </cell>
        </row>
        <row r="789">
          <cell r="A789" t="str">
            <v>10106262-A004003LF</v>
          </cell>
          <cell r="B789"/>
          <cell r="C789"/>
          <cell r="D789"/>
          <cell r="E789"/>
          <cell r="F789"/>
          <cell r="G789">
            <v>3.1E-2</v>
          </cell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>
            <v>6.1000000000000004E-3</v>
          </cell>
        </row>
        <row r="790">
          <cell r="A790" t="str">
            <v>10106262-A004401LF</v>
          </cell>
          <cell r="B790"/>
          <cell r="C790"/>
          <cell r="D790"/>
          <cell r="E790"/>
          <cell r="F790"/>
          <cell r="G790">
            <v>3.7999999999999999E-2</v>
          </cell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>
            <v>3.3E-3</v>
          </cell>
        </row>
        <row r="791">
          <cell r="A791" t="str">
            <v>10106262-A203002LF</v>
          </cell>
          <cell r="B791"/>
          <cell r="C791"/>
          <cell r="D791"/>
          <cell r="E791"/>
          <cell r="F791"/>
          <cell r="G791">
            <v>3.4000000000000002E-2</v>
          </cell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>
            <v>3.3E-3</v>
          </cell>
        </row>
        <row r="792">
          <cell r="A792" t="str">
            <v>10106262-B000A01LF</v>
          </cell>
          <cell r="B792"/>
          <cell r="C792"/>
          <cell r="D792"/>
          <cell r="E792"/>
          <cell r="F792"/>
          <cell r="G792">
            <v>2.9000000000000001E-2</v>
          </cell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>
            <v>6.1000000000000004E-3</v>
          </cell>
        </row>
        <row r="793">
          <cell r="A793" t="str">
            <v>10106262-B003003LF</v>
          </cell>
          <cell r="B793"/>
          <cell r="C793"/>
          <cell r="D793"/>
          <cell r="E793"/>
          <cell r="F793"/>
          <cell r="G793">
            <v>4.4999999999999998E-2</v>
          </cell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>
            <v>3.3E-3</v>
          </cell>
        </row>
        <row r="794">
          <cell r="A794" t="str">
            <v>10106262-B004K01LF</v>
          </cell>
          <cell r="B794"/>
          <cell r="C794"/>
          <cell r="D794"/>
          <cell r="E794"/>
          <cell r="F794"/>
          <cell r="G794">
            <v>2.3888900000000001E-2</v>
          </cell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>
            <v>2.7778E-3</v>
          </cell>
        </row>
        <row r="795">
          <cell r="A795" t="str">
            <v>10106262-B005002LF</v>
          </cell>
          <cell r="B795"/>
          <cell r="C795"/>
          <cell r="D795"/>
          <cell r="E795"/>
          <cell r="F795"/>
          <cell r="G795">
            <v>5.5E-2</v>
          </cell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>
            <v>3.3E-3</v>
          </cell>
        </row>
        <row r="796">
          <cell r="A796" t="str">
            <v>10106262-B006001LF</v>
          </cell>
          <cell r="B796"/>
          <cell r="C796"/>
          <cell r="D796"/>
          <cell r="E796"/>
          <cell r="F796"/>
          <cell r="G796">
            <v>3.8800000000000001E-2</v>
          </cell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>
            <v>3.0000000000000001E-3</v>
          </cell>
        </row>
        <row r="797">
          <cell r="A797" t="str">
            <v>10106262-B006002LF</v>
          </cell>
          <cell r="B797"/>
          <cell r="C797"/>
          <cell r="D797"/>
          <cell r="E797"/>
          <cell r="F797"/>
          <cell r="G797">
            <v>4.4999999999999998E-2</v>
          </cell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>
            <v>3.3E-3</v>
          </cell>
        </row>
        <row r="798">
          <cell r="A798" t="str">
            <v>10106262-B006005LF</v>
          </cell>
          <cell r="B798"/>
          <cell r="C798"/>
          <cell r="D798"/>
          <cell r="E798"/>
          <cell r="F798"/>
          <cell r="G798">
            <v>4.4999999999999998E-2</v>
          </cell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>
            <v>3.3E-3</v>
          </cell>
        </row>
        <row r="799">
          <cell r="A799" t="str">
            <v>10106262-B006007LF</v>
          </cell>
          <cell r="B799"/>
          <cell r="C799"/>
          <cell r="D799"/>
          <cell r="E799"/>
          <cell r="F799"/>
          <cell r="G799">
            <v>3.7999999999999999E-2</v>
          </cell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>
            <v>3.3E-3</v>
          </cell>
        </row>
        <row r="800">
          <cell r="A800" t="str">
            <v>10106262-B007K01LF</v>
          </cell>
          <cell r="B800"/>
          <cell r="C800"/>
          <cell r="D800"/>
          <cell r="E800"/>
          <cell r="F800"/>
          <cell r="G800">
            <v>3.7999999999999999E-2</v>
          </cell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>
            <v>3.0000000000000001E-3</v>
          </cell>
        </row>
        <row r="801">
          <cell r="A801" t="str">
            <v>10106262-B010001LF</v>
          </cell>
          <cell r="B801"/>
          <cell r="C801"/>
          <cell r="D801"/>
          <cell r="E801"/>
          <cell r="F801"/>
          <cell r="G801">
            <v>4.7E-2</v>
          </cell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>
            <v>3.3E-3</v>
          </cell>
        </row>
        <row r="802">
          <cell r="A802" t="str">
            <v>10106262-B016002LF</v>
          </cell>
          <cell r="B802"/>
          <cell r="C802"/>
          <cell r="D802"/>
          <cell r="E802"/>
          <cell r="F802"/>
          <cell r="G802">
            <v>5.7500000000000002E-2</v>
          </cell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>
            <v>5.4999999999999997E-3</v>
          </cell>
        </row>
        <row r="803">
          <cell r="A803" t="str">
            <v>10106262-B016003LF</v>
          </cell>
          <cell r="B803"/>
          <cell r="C803"/>
          <cell r="D803"/>
          <cell r="E803"/>
          <cell r="F803"/>
          <cell r="G803">
            <v>5.5E-2</v>
          </cell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>
            <v>6.7000000000000002E-3</v>
          </cell>
        </row>
        <row r="804">
          <cell r="A804" t="str">
            <v>10106262-C000A01LF</v>
          </cell>
          <cell r="B804"/>
          <cell r="C804"/>
          <cell r="D804"/>
          <cell r="E804"/>
          <cell r="F804"/>
          <cell r="G804">
            <v>2.5000000000000001E-2</v>
          </cell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>
            <v>6.1000000000000004E-3</v>
          </cell>
        </row>
        <row r="805">
          <cell r="A805" t="str">
            <v>10106262-C004002LF</v>
          </cell>
          <cell r="B805"/>
          <cell r="C805"/>
          <cell r="D805"/>
          <cell r="E805"/>
          <cell r="F805"/>
          <cell r="G805">
            <v>4.5999999999999999E-2</v>
          </cell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>
            <v>3.3E-3</v>
          </cell>
        </row>
        <row r="806">
          <cell r="A806" t="str">
            <v>10106262-C004003LF</v>
          </cell>
          <cell r="B806"/>
          <cell r="C806"/>
          <cell r="D806"/>
          <cell r="E806"/>
          <cell r="F806"/>
          <cell r="G806">
            <v>5.7000000000000002E-2</v>
          </cell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>
            <v>3.3E-3</v>
          </cell>
        </row>
        <row r="807">
          <cell r="A807" t="str">
            <v>10106262-C005004LF</v>
          </cell>
          <cell r="B807"/>
          <cell r="C807"/>
          <cell r="D807"/>
          <cell r="E807"/>
          <cell r="F807"/>
          <cell r="G807">
            <v>3.1E-2</v>
          </cell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>
            <v>3.0000000000000001E-3</v>
          </cell>
        </row>
        <row r="808">
          <cell r="A808" t="str">
            <v>10106262-C005005LF</v>
          </cell>
          <cell r="B808"/>
          <cell r="C808"/>
          <cell r="D808"/>
          <cell r="E808"/>
          <cell r="F808"/>
          <cell r="G808">
            <v>3.1E-2</v>
          </cell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>
            <v>3.3E-3</v>
          </cell>
        </row>
        <row r="809">
          <cell r="A809" t="str">
            <v>10106262-C007001LF</v>
          </cell>
          <cell r="B809"/>
          <cell r="C809"/>
          <cell r="D809"/>
          <cell r="E809"/>
          <cell r="F809"/>
          <cell r="G809">
            <v>3.5999999999999997E-2</v>
          </cell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>
            <v>3.3E-3</v>
          </cell>
        </row>
        <row r="810">
          <cell r="A810" t="str">
            <v>10106262-C007K01LF</v>
          </cell>
          <cell r="B810"/>
          <cell r="C810"/>
          <cell r="D810"/>
          <cell r="E810"/>
          <cell r="F810"/>
          <cell r="G810">
            <v>3.5000000000000003E-2</v>
          </cell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>
            <v>3.0000000000000001E-3</v>
          </cell>
        </row>
        <row r="811">
          <cell r="A811" t="str">
            <v>10106262-C008005LF</v>
          </cell>
          <cell r="B811"/>
          <cell r="C811"/>
          <cell r="D811"/>
          <cell r="E811"/>
          <cell r="F811"/>
          <cell r="G811">
            <v>5.2999999999999999E-2</v>
          </cell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>
            <v>3.3E-3</v>
          </cell>
        </row>
        <row r="812">
          <cell r="A812" t="str">
            <v>10106262-C014K01LF</v>
          </cell>
          <cell r="B812"/>
          <cell r="C812"/>
          <cell r="D812"/>
          <cell r="E812"/>
          <cell r="F812"/>
          <cell r="G812">
            <v>4.8000000000000001E-2</v>
          </cell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>
            <v>5.0000000000000001E-3</v>
          </cell>
        </row>
        <row r="813">
          <cell r="A813" t="str">
            <v>10106262-C203001LF</v>
          </cell>
          <cell r="B813"/>
          <cell r="C813"/>
          <cell r="D813"/>
          <cell r="E813"/>
          <cell r="F813"/>
          <cell r="G813">
            <v>3.5000000000000003E-2</v>
          </cell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>
            <v>3.3E-3</v>
          </cell>
        </row>
        <row r="814">
          <cell r="A814" t="str">
            <v>10106262-C203002LF</v>
          </cell>
          <cell r="B814"/>
          <cell r="C814"/>
          <cell r="D814"/>
          <cell r="E814"/>
          <cell r="F814"/>
          <cell r="G814">
            <v>4.4999999999999998E-2</v>
          </cell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>
            <v>3.3E-3</v>
          </cell>
        </row>
        <row r="815">
          <cell r="A815" t="str">
            <v>10106262-C203A01LF</v>
          </cell>
          <cell r="B815"/>
          <cell r="C815"/>
          <cell r="D815"/>
          <cell r="E815"/>
          <cell r="F815"/>
          <cell r="G815">
            <v>3.2000000000000001E-2</v>
          </cell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>
            <v>3.3E-3</v>
          </cell>
        </row>
        <row r="816">
          <cell r="A816" t="str">
            <v>10106262-C206001LF</v>
          </cell>
          <cell r="B816"/>
          <cell r="C816"/>
          <cell r="D816"/>
          <cell r="E816"/>
          <cell r="F816"/>
          <cell r="G816">
            <v>4.2999999999999997E-2</v>
          </cell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>
            <v>3.3E-3</v>
          </cell>
        </row>
        <row r="817">
          <cell r="A817" t="str">
            <v>10106262-D000K01LF</v>
          </cell>
          <cell r="B817"/>
          <cell r="C817"/>
          <cell r="D817"/>
          <cell r="E817"/>
          <cell r="F817"/>
          <cell r="G817">
            <v>2.1999999999999999E-2</v>
          </cell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>
            <v>4.0000000000000001E-3</v>
          </cell>
        </row>
        <row r="818">
          <cell r="A818" t="str">
            <v>10106262-D000K03LF</v>
          </cell>
          <cell r="B818"/>
          <cell r="C818"/>
          <cell r="D818"/>
          <cell r="E818"/>
          <cell r="F818"/>
          <cell r="G818">
            <v>3.5000000000000003E-2</v>
          </cell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>
            <v>3.0000000000000001E-3</v>
          </cell>
        </row>
        <row r="819">
          <cell r="A819" t="str">
            <v>10106262-D000K04LF</v>
          </cell>
          <cell r="B819"/>
          <cell r="C819"/>
          <cell r="D819"/>
          <cell r="E819"/>
          <cell r="F819"/>
          <cell r="G819">
            <v>3.6999999999999998E-2</v>
          </cell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>
            <v>5.0000000000000001E-3</v>
          </cell>
        </row>
        <row r="820">
          <cell r="A820" t="str">
            <v>10106262-D002002LF</v>
          </cell>
          <cell r="B820"/>
          <cell r="C820"/>
          <cell r="D820"/>
          <cell r="E820"/>
          <cell r="F820"/>
          <cell r="G820">
            <v>2.5999999999999999E-2</v>
          </cell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>
            <v>3.3E-3</v>
          </cell>
        </row>
        <row r="821">
          <cell r="A821" t="str">
            <v>10106262-D004001LF</v>
          </cell>
          <cell r="B821"/>
          <cell r="C821"/>
          <cell r="D821"/>
          <cell r="E821"/>
          <cell r="F821"/>
          <cell r="G821">
            <v>4.7E-2</v>
          </cell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>
            <v>3.3E-3</v>
          </cell>
        </row>
        <row r="822">
          <cell r="A822" t="str">
            <v>10106262-D004002LF</v>
          </cell>
          <cell r="B822"/>
          <cell r="C822"/>
          <cell r="D822"/>
          <cell r="E822"/>
          <cell r="F822"/>
          <cell r="G822">
            <v>4.2000000000000003E-2</v>
          </cell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>
            <v>3.3E-3</v>
          </cell>
        </row>
        <row r="823">
          <cell r="A823" t="str">
            <v>10106262-D004004LF</v>
          </cell>
          <cell r="B823"/>
          <cell r="C823"/>
          <cell r="D823"/>
          <cell r="E823"/>
          <cell r="F823"/>
          <cell r="G823">
            <v>3.1E-2</v>
          </cell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>
            <v>3.3E-3</v>
          </cell>
        </row>
        <row r="824">
          <cell r="A824" t="str">
            <v>10106262-D005001LF</v>
          </cell>
          <cell r="B824"/>
          <cell r="C824"/>
          <cell r="D824"/>
          <cell r="E824"/>
          <cell r="F824"/>
          <cell r="G824">
            <v>3.2000000000000001E-2</v>
          </cell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>
            <v>3.3E-3</v>
          </cell>
        </row>
        <row r="825">
          <cell r="A825" t="str">
            <v>10106262-D006001LF</v>
          </cell>
          <cell r="B825"/>
          <cell r="C825"/>
          <cell r="D825"/>
          <cell r="E825"/>
          <cell r="F825"/>
          <cell r="G825">
            <v>3.3058575E-2</v>
          </cell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>
            <v>3.0000000000000001E-3</v>
          </cell>
        </row>
        <row r="826">
          <cell r="A826" t="str">
            <v>10106262-E000001LF</v>
          </cell>
          <cell r="B826"/>
          <cell r="C826"/>
          <cell r="D826"/>
          <cell r="E826"/>
          <cell r="F826"/>
          <cell r="G826">
            <v>3.2000000000000001E-2</v>
          </cell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>
            <v>3.0000000000000001E-3</v>
          </cell>
        </row>
        <row r="827">
          <cell r="A827" t="str">
            <v>10106262-E000K01LF</v>
          </cell>
          <cell r="B827"/>
          <cell r="C827"/>
          <cell r="D827"/>
          <cell r="E827"/>
          <cell r="F827"/>
          <cell r="G827">
            <v>4.1000000000000002E-2</v>
          </cell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>
            <v>3.0000000000000001E-3</v>
          </cell>
        </row>
        <row r="828">
          <cell r="A828" t="str">
            <v>10106262-F000002LF</v>
          </cell>
          <cell r="B828"/>
          <cell r="C828"/>
          <cell r="D828"/>
          <cell r="E828"/>
          <cell r="F828"/>
          <cell r="G828">
            <v>2.8000000000000001E-2</v>
          </cell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>
            <v>6.1000000000000004E-3</v>
          </cell>
        </row>
        <row r="829">
          <cell r="A829" t="str">
            <v>10106262-F000003LF</v>
          </cell>
          <cell r="B829"/>
          <cell r="C829"/>
          <cell r="D829"/>
          <cell r="E829"/>
          <cell r="F829"/>
          <cell r="G829">
            <v>3.5999999999999997E-2</v>
          </cell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>
            <v>3.3E-3</v>
          </cell>
        </row>
        <row r="830">
          <cell r="A830" t="str">
            <v>10106262-F007001LF</v>
          </cell>
          <cell r="B830"/>
          <cell r="C830"/>
          <cell r="D830"/>
          <cell r="E830"/>
          <cell r="F830"/>
          <cell r="G830">
            <v>5.7000000000000002E-2</v>
          </cell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>
            <v>3.3E-3</v>
          </cell>
        </row>
        <row r="831">
          <cell r="A831" t="str">
            <v>10106262-F007002LF</v>
          </cell>
          <cell r="B831"/>
          <cell r="C831"/>
          <cell r="D831"/>
          <cell r="E831"/>
          <cell r="F831"/>
          <cell r="G831">
            <v>6.2E-2</v>
          </cell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>
            <v>3.3E-3</v>
          </cell>
        </row>
        <row r="832">
          <cell r="A832" t="str">
            <v>10106262-F007004LF</v>
          </cell>
          <cell r="B832"/>
          <cell r="C832"/>
          <cell r="D832"/>
          <cell r="E832"/>
          <cell r="F832"/>
          <cell r="G832">
            <v>5.1999999999999998E-2</v>
          </cell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>
            <v>3.3E-3</v>
          </cell>
        </row>
        <row r="833">
          <cell r="A833" t="str">
            <v>10106262-F007005LF</v>
          </cell>
          <cell r="B833"/>
          <cell r="C833"/>
          <cell r="D833"/>
          <cell r="E833"/>
          <cell r="F833"/>
          <cell r="G833">
            <v>4.4999999999999998E-2</v>
          </cell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>
            <v>3.3E-3</v>
          </cell>
        </row>
        <row r="834">
          <cell r="A834" t="str">
            <v>10106262-F012001LF</v>
          </cell>
          <cell r="B834"/>
          <cell r="C834"/>
          <cell r="D834"/>
          <cell r="E834"/>
          <cell r="F834"/>
          <cell r="G834">
            <v>7.0000000000000007E-2</v>
          </cell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>
            <v>3.3E-3</v>
          </cell>
        </row>
        <row r="835">
          <cell r="A835" t="str">
            <v>10106262-F024001LF</v>
          </cell>
          <cell r="B835"/>
          <cell r="C835"/>
          <cell r="D835"/>
          <cell r="E835"/>
          <cell r="F835"/>
          <cell r="G835">
            <v>8.1000000000000003E-2</v>
          </cell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>
            <v>8.3000000000000001E-3</v>
          </cell>
        </row>
        <row r="836">
          <cell r="A836" t="str">
            <v>10106262-F203001LF</v>
          </cell>
          <cell r="B836"/>
          <cell r="C836"/>
          <cell r="D836"/>
          <cell r="E836"/>
          <cell r="F836"/>
          <cell r="G836">
            <v>3.4000000000000002E-2</v>
          </cell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>
            <v>3.3E-3</v>
          </cell>
        </row>
        <row r="837">
          <cell r="A837" t="str">
            <v>10106262-F203A01LF</v>
          </cell>
          <cell r="B837"/>
          <cell r="C837"/>
          <cell r="D837"/>
          <cell r="E837"/>
          <cell r="F837"/>
          <cell r="G837">
            <v>3.7999999999999999E-2</v>
          </cell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>
            <v>3.3E-3</v>
          </cell>
        </row>
        <row r="838">
          <cell r="A838" t="str">
            <v>10106262-F205A01LF</v>
          </cell>
          <cell r="B838"/>
          <cell r="C838"/>
          <cell r="D838"/>
          <cell r="E838"/>
          <cell r="F838"/>
          <cell r="G838">
            <v>4.7E-2</v>
          </cell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>
            <v>3.3E-3</v>
          </cell>
        </row>
        <row r="839">
          <cell r="A839" t="str">
            <v>10106262-G012002LF</v>
          </cell>
          <cell r="B839"/>
          <cell r="C839"/>
          <cell r="D839"/>
          <cell r="E839"/>
          <cell r="F839"/>
          <cell r="G839">
            <v>5.9900000000000002E-2</v>
          </cell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>
            <v>3.3000000000000002E-2</v>
          </cell>
        </row>
        <row r="840">
          <cell r="A840" t="str">
            <v>10106262-G012004LF</v>
          </cell>
          <cell r="B840"/>
          <cell r="C840"/>
          <cell r="D840"/>
          <cell r="E840"/>
          <cell r="F840"/>
          <cell r="G840">
            <v>4.8000000000000001E-2</v>
          </cell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>
            <v>3.3E-3</v>
          </cell>
        </row>
        <row r="841">
          <cell r="A841" t="str">
            <v>10106262-H002001LF</v>
          </cell>
          <cell r="B841"/>
          <cell r="C841"/>
          <cell r="D841"/>
          <cell r="E841"/>
          <cell r="F841"/>
          <cell r="G841">
            <v>3.7999999999999999E-2</v>
          </cell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>
            <v>3.3E-3</v>
          </cell>
        </row>
        <row r="842">
          <cell r="A842" t="str">
            <v>10106262-H002002LF</v>
          </cell>
          <cell r="B842"/>
          <cell r="C842"/>
          <cell r="D842"/>
          <cell r="E842"/>
          <cell r="F842"/>
          <cell r="G842">
            <v>3.1E-2</v>
          </cell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>
            <v>3.0000000000000001E-3</v>
          </cell>
        </row>
        <row r="843">
          <cell r="A843" t="str">
            <v>10106262-H003001LF</v>
          </cell>
          <cell r="B843"/>
          <cell r="C843"/>
          <cell r="D843"/>
          <cell r="E843"/>
          <cell r="F843"/>
          <cell r="G843">
            <v>3.7999999999999999E-2</v>
          </cell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>
            <v>3.3E-3</v>
          </cell>
        </row>
        <row r="844">
          <cell r="A844" t="str">
            <v>10106262-H003002LF</v>
          </cell>
          <cell r="B844"/>
          <cell r="C844"/>
          <cell r="D844"/>
          <cell r="E844"/>
          <cell r="F844"/>
          <cell r="G844">
            <v>4.7E-2</v>
          </cell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>
            <v>3.3E-3</v>
          </cell>
        </row>
        <row r="845">
          <cell r="A845" t="str">
            <v>10106262-H009001LF</v>
          </cell>
          <cell r="B845"/>
          <cell r="C845"/>
          <cell r="D845"/>
          <cell r="E845"/>
          <cell r="F845"/>
          <cell r="G845">
            <v>3.6999999999999998E-2</v>
          </cell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>
            <v>3.3E-3</v>
          </cell>
        </row>
        <row r="846">
          <cell r="A846" t="str">
            <v>10106262-J000001LF</v>
          </cell>
          <cell r="B846"/>
          <cell r="C846"/>
          <cell r="D846"/>
          <cell r="E846"/>
          <cell r="F846"/>
          <cell r="G846">
            <v>3.6999999999999998E-2</v>
          </cell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>
            <v>6.1000000000000004E-3</v>
          </cell>
        </row>
        <row r="847">
          <cell r="A847" t="str">
            <v>10106262-J203001LF</v>
          </cell>
          <cell r="B847"/>
          <cell r="C847"/>
          <cell r="D847"/>
          <cell r="E847"/>
          <cell r="F847"/>
          <cell r="G847">
            <v>3.7999999999999999E-2</v>
          </cell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>
            <v>3.3E-3</v>
          </cell>
        </row>
        <row r="848">
          <cell r="A848" t="str">
            <v>10106262-K008001LF</v>
          </cell>
          <cell r="B848"/>
          <cell r="C848"/>
          <cell r="D848"/>
          <cell r="E848"/>
          <cell r="F848"/>
          <cell r="G848">
            <v>4.4999999999999998E-2</v>
          </cell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>
            <v>3.3E-3</v>
          </cell>
        </row>
        <row r="849">
          <cell r="A849" t="str">
            <v>10106262-N001002LF</v>
          </cell>
          <cell r="B849"/>
          <cell r="C849"/>
          <cell r="D849"/>
          <cell r="E849"/>
          <cell r="F849"/>
          <cell r="G849">
            <v>3.1E-2</v>
          </cell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>
            <v>3.3E-3</v>
          </cell>
        </row>
        <row r="850">
          <cell r="A850" t="str">
            <v>10106262-S007K01LF</v>
          </cell>
          <cell r="B850"/>
          <cell r="C850"/>
          <cell r="D850"/>
          <cell r="E850"/>
          <cell r="F850"/>
          <cell r="G850">
            <v>8.6999999999999994E-2</v>
          </cell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>
            <v>1.2E-2</v>
          </cell>
        </row>
        <row r="851">
          <cell r="A851" t="str">
            <v>10106262-T006001LF</v>
          </cell>
          <cell r="B851"/>
          <cell r="C851"/>
          <cell r="D851"/>
          <cell r="E851"/>
          <cell r="F851"/>
          <cell r="G851">
            <v>5.5E-2</v>
          </cell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>
            <v>3.3E-3</v>
          </cell>
        </row>
        <row r="852">
          <cell r="A852" t="str">
            <v>10106263-0024001LF</v>
          </cell>
          <cell r="B852"/>
          <cell r="C852"/>
          <cell r="D852"/>
          <cell r="E852"/>
          <cell r="F852"/>
          <cell r="G852">
            <v>3.2000000000000001E-2</v>
          </cell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>
            <v>8.9999999999999993E-3</v>
          </cell>
        </row>
        <row r="853">
          <cell r="A853" t="str">
            <v>10106263-0037001LF</v>
          </cell>
          <cell r="B853"/>
          <cell r="C853"/>
          <cell r="D853"/>
          <cell r="E853"/>
          <cell r="F853"/>
          <cell r="G853">
            <v>4.1000000000000002E-2</v>
          </cell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>
            <v>1.0999999999999999E-2</v>
          </cell>
        </row>
        <row r="854">
          <cell r="A854" t="str">
            <v>10106263-0203004LF</v>
          </cell>
          <cell r="B854"/>
          <cell r="C854"/>
          <cell r="D854"/>
          <cell r="E854"/>
          <cell r="F854"/>
          <cell r="G854">
            <v>2.5000000000000001E-2</v>
          </cell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>
            <v>3.3E-3</v>
          </cell>
        </row>
        <row r="855">
          <cell r="A855" t="str">
            <v>10106263-0400001LF</v>
          </cell>
          <cell r="B855"/>
          <cell r="C855"/>
          <cell r="D855"/>
          <cell r="E855"/>
          <cell r="F855"/>
          <cell r="G855">
            <v>3.3000000000000002E-2</v>
          </cell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</row>
        <row r="856">
          <cell r="A856" t="str">
            <v>10106263-0400003LF</v>
          </cell>
          <cell r="B856"/>
          <cell r="C856"/>
          <cell r="D856"/>
          <cell r="E856"/>
          <cell r="F856"/>
          <cell r="G856">
            <v>2.1000000000000001E-2</v>
          </cell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</row>
        <row r="857">
          <cell r="A857" t="str">
            <v>10106263-0402001LF</v>
          </cell>
          <cell r="B857"/>
          <cell r="C857"/>
          <cell r="D857"/>
          <cell r="E857"/>
          <cell r="F857"/>
          <cell r="G857">
            <v>3.3000000000000002E-2</v>
          </cell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>
            <v>3.3E-3</v>
          </cell>
        </row>
        <row r="858">
          <cell r="A858" t="str">
            <v>10106263-0403002LF</v>
          </cell>
          <cell r="B858"/>
          <cell r="C858"/>
          <cell r="D858"/>
          <cell r="E858"/>
          <cell r="F858"/>
          <cell r="G858">
            <v>2.1000000000000001E-2</v>
          </cell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>
            <v>3.3E-3</v>
          </cell>
        </row>
        <row r="859">
          <cell r="A859" t="str">
            <v>10106263-2000501LF</v>
          </cell>
          <cell r="B859"/>
          <cell r="C859"/>
          <cell r="D859"/>
          <cell r="E859"/>
          <cell r="F859"/>
          <cell r="G859">
            <v>1.7999999999999999E-2</v>
          </cell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>
            <v>3.0000000000000001E-3</v>
          </cell>
        </row>
        <row r="860">
          <cell r="A860" t="str">
            <v>10106263-2003001LF</v>
          </cell>
          <cell r="B860"/>
          <cell r="C860"/>
          <cell r="D860"/>
          <cell r="E860"/>
          <cell r="F860"/>
          <cell r="G860">
            <v>4.6385000000000003E-2</v>
          </cell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>
            <v>3.3E-3</v>
          </cell>
        </row>
        <row r="861">
          <cell r="A861" t="str">
            <v>10106263-2004001LF</v>
          </cell>
          <cell r="B861"/>
          <cell r="C861"/>
          <cell r="D861"/>
          <cell r="E861"/>
          <cell r="F861"/>
          <cell r="G861">
            <v>3.2000000000000001E-2</v>
          </cell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>
            <v>3.3E-3</v>
          </cell>
        </row>
        <row r="862">
          <cell r="A862" t="str">
            <v>10106263-8004001LF</v>
          </cell>
          <cell r="B862"/>
          <cell r="C862"/>
          <cell r="D862"/>
          <cell r="E862"/>
          <cell r="F862"/>
          <cell r="G862">
            <v>5.2999999999999999E-2</v>
          </cell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>
            <v>3.3E-3</v>
          </cell>
        </row>
        <row r="863">
          <cell r="A863" t="str">
            <v>10106263-8037001LF</v>
          </cell>
          <cell r="B863"/>
          <cell r="C863"/>
          <cell r="D863"/>
          <cell r="E863"/>
          <cell r="F863"/>
          <cell r="G863">
            <v>4.8000000000000001E-2</v>
          </cell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>
            <v>1.0999999999999999E-2</v>
          </cell>
        </row>
        <row r="864">
          <cell r="A864" t="str">
            <v>10106263-B006001LF</v>
          </cell>
          <cell r="B864"/>
          <cell r="C864"/>
          <cell r="D864"/>
          <cell r="E864"/>
          <cell r="F864"/>
          <cell r="G864">
            <v>2.8000000000000001E-2</v>
          </cell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>
            <v>3.0000000000000001E-3</v>
          </cell>
        </row>
        <row r="865">
          <cell r="A865" t="str">
            <v>10106263-B006003LF</v>
          </cell>
          <cell r="B865"/>
          <cell r="C865"/>
          <cell r="D865"/>
          <cell r="E865"/>
          <cell r="F865"/>
          <cell r="G865">
            <v>4.9299999999999997E-2</v>
          </cell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>
            <v>3.3000000000000002E-2</v>
          </cell>
        </row>
        <row r="866">
          <cell r="A866" t="str">
            <v>10106263-D006001LF</v>
          </cell>
          <cell r="B866"/>
          <cell r="C866"/>
          <cell r="D866"/>
          <cell r="E866"/>
          <cell r="F866"/>
          <cell r="G866">
            <v>3.7375949999999998E-2</v>
          </cell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>
            <v>3.0000000000000001E-3</v>
          </cell>
        </row>
        <row r="867">
          <cell r="A867" t="str">
            <v>10106263-E304A01LF</v>
          </cell>
          <cell r="B867"/>
          <cell r="C867"/>
          <cell r="D867"/>
          <cell r="E867"/>
          <cell r="F867"/>
          <cell r="G867">
            <v>4.4999999999999998E-2</v>
          </cell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>
            <v>5.0000000000000001E-3</v>
          </cell>
        </row>
        <row r="868">
          <cell r="A868" t="str">
            <v>10106264-0200501LF</v>
          </cell>
          <cell r="B868"/>
          <cell r="C868"/>
          <cell r="D868"/>
          <cell r="E868"/>
          <cell r="F868"/>
          <cell r="G868">
            <v>2.5999999999999999E-2</v>
          </cell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>
            <v>3.0000000000000001E-3</v>
          </cell>
        </row>
        <row r="869">
          <cell r="A869" t="str">
            <v>10106268-0004001LF</v>
          </cell>
          <cell r="B869"/>
          <cell r="C869"/>
          <cell r="D869"/>
          <cell r="E869"/>
          <cell r="F869"/>
          <cell r="G869">
            <v>2.5000000000000001E-2</v>
          </cell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>
            <v>3.3E-3</v>
          </cell>
        </row>
        <row r="870">
          <cell r="A870" t="str">
            <v>10106268-0009001LF</v>
          </cell>
          <cell r="B870"/>
          <cell r="C870"/>
          <cell r="D870"/>
          <cell r="E870"/>
          <cell r="F870"/>
          <cell r="G870">
            <v>1.4999999999999999E-2</v>
          </cell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>
            <v>0.01</v>
          </cell>
        </row>
        <row r="871">
          <cell r="A871" t="str">
            <v>10106268-0010001LF</v>
          </cell>
          <cell r="B871"/>
          <cell r="C871"/>
          <cell r="D871"/>
          <cell r="E871"/>
          <cell r="F871"/>
          <cell r="G871">
            <v>1.4999999999999999E-2</v>
          </cell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>
            <v>1.0999999999999999E-2</v>
          </cell>
        </row>
        <row r="872">
          <cell r="A872" t="str">
            <v>10106268-0013001LF</v>
          </cell>
          <cell r="B872"/>
          <cell r="C872"/>
          <cell r="D872"/>
          <cell r="E872"/>
          <cell r="F872"/>
          <cell r="G872">
            <v>2.52E-2</v>
          </cell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>
            <v>4.2000000000000003E-2</v>
          </cell>
        </row>
        <row r="873">
          <cell r="A873" t="str">
            <v>10106268-0013101LF</v>
          </cell>
          <cell r="B873"/>
          <cell r="C873"/>
          <cell r="D873"/>
          <cell r="E873"/>
          <cell r="F873"/>
          <cell r="G873">
            <v>0.03</v>
          </cell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>
            <v>1.4999999999999999E-2</v>
          </cell>
        </row>
        <row r="874">
          <cell r="A874" t="str">
            <v>10106268-0013102LF</v>
          </cell>
          <cell r="B874"/>
          <cell r="C874"/>
          <cell r="D874"/>
          <cell r="E874"/>
          <cell r="F874"/>
          <cell r="G874">
            <v>2.8000000000000001E-2</v>
          </cell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>
            <v>1.4E-2</v>
          </cell>
        </row>
        <row r="875">
          <cell r="A875" t="str">
            <v>10106268-0017101LF</v>
          </cell>
          <cell r="B875"/>
          <cell r="C875"/>
          <cell r="D875"/>
          <cell r="E875"/>
          <cell r="F875"/>
          <cell r="G875">
            <v>1.0999999999999999E-2</v>
          </cell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>
            <v>1.9E-2</v>
          </cell>
        </row>
        <row r="876">
          <cell r="A876" t="str">
            <v>10106268-0024K01LF</v>
          </cell>
          <cell r="B876"/>
          <cell r="C876"/>
          <cell r="D876"/>
          <cell r="E876"/>
          <cell r="F876"/>
          <cell r="G876">
            <v>0.03</v>
          </cell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>
            <v>2.5000000000000001E-2</v>
          </cell>
        </row>
        <row r="877">
          <cell r="A877" t="str">
            <v>10106268-0025002LF</v>
          </cell>
          <cell r="B877"/>
          <cell r="C877"/>
          <cell r="D877"/>
          <cell r="E877"/>
          <cell r="F877"/>
          <cell r="G877">
            <v>2.8000000000000001E-2</v>
          </cell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>
            <v>1.4E-2</v>
          </cell>
        </row>
        <row r="878">
          <cell r="A878" t="str">
            <v>10106268-0201001LF</v>
          </cell>
          <cell r="B878"/>
          <cell r="C878"/>
          <cell r="D878"/>
          <cell r="E878"/>
          <cell r="F878"/>
          <cell r="G878">
            <v>1.7000000000000001E-2</v>
          </cell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>
            <v>2E-3</v>
          </cell>
        </row>
        <row r="879">
          <cell r="A879" t="str">
            <v>10106268-0201K01LF</v>
          </cell>
          <cell r="B879"/>
          <cell r="C879"/>
          <cell r="D879"/>
          <cell r="E879"/>
          <cell r="F879"/>
          <cell r="G879">
            <v>1.7999999999999999E-2</v>
          </cell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>
            <v>3.0000000000000001E-3</v>
          </cell>
        </row>
        <row r="880">
          <cell r="A880" t="str">
            <v>10106268-0201K02LF</v>
          </cell>
          <cell r="B880"/>
          <cell r="C880"/>
          <cell r="D880"/>
          <cell r="E880"/>
          <cell r="F880"/>
          <cell r="G880">
            <v>2.5999999999999999E-2</v>
          </cell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>
            <v>3.0000000000000001E-3</v>
          </cell>
        </row>
        <row r="881">
          <cell r="A881" t="str">
            <v>10106268-0204001LF</v>
          </cell>
          <cell r="B881"/>
          <cell r="C881"/>
          <cell r="D881"/>
          <cell r="E881"/>
          <cell r="F881"/>
          <cell r="G881">
            <v>2.1999999999999999E-2</v>
          </cell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>
            <v>4.4000000000000003E-3</v>
          </cell>
        </row>
        <row r="882">
          <cell r="A882" t="str">
            <v>10106268-0323K02LF</v>
          </cell>
          <cell r="B882"/>
          <cell r="C882"/>
          <cell r="D882"/>
          <cell r="E882"/>
          <cell r="F882"/>
          <cell r="G882">
            <v>4.4999999999999998E-2</v>
          </cell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>
            <v>8.0000000000000002E-3</v>
          </cell>
        </row>
        <row r="883">
          <cell r="A883" t="str">
            <v>10106268-0400003LF</v>
          </cell>
          <cell r="B883"/>
          <cell r="C883"/>
          <cell r="D883"/>
          <cell r="E883"/>
          <cell r="F883"/>
          <cell r="G883">
            <v>2.1000000000000001E-2</v>
          </cell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>
            <v>6.1000000000000004E-3</v>
          </cell>
        </row>
        <row r="884">
          <cell r="A884" t="str">
            <v>10106268-0402002LF</v>
          </cell>
          <cell r="B884"/>
          <cell r="C884"/>
          <cell r="D884"/>
          <cell r="E884"/>
          <cell r="F884"/>
          <cell r="G884">
            <v>2.3E-2</v>
          </cell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>
            <v>3.3E-3</v>
          </cell>
        </row>
        <row r="885">
          <cell r="A885" t="str">
            <v>10106268-0402005LF</v>
          </cell>
          <cell r="B885"/>
          <cell r="C885"/>
          <cell r="D885"/>
          <cell r="E885"/>
          <cell r="F885"/>
          <cell r="G885">
            <v>3.5799999999999998E-2</v>
          </cell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>
            <v>6.0000000000000001E-3</v>
          </cell>
        </row>
        <row r="886">
          <cell r="A886" t="str">
            <v>10106268-0527001LF</v>
          </cell>
          <cell r="B886"/>
          <cell r="C886"/>
          <cell r="D886"/>
          <cell r="E886"/>
          <cell r="F886"/>
          <cell r="G886">
            <v>4.2999999999999997E-2</v>
          </cell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>
            <v>0.03</v>
          </cell>
        </row>
        <row r="887">
          <cell r="A887" t="str">
            <v>10106268-0527101LF</v>
          </cell>
          <cell r="B887"/>
          <cell r="C887"/>
          <cell r="D887"/>
          <cell r="E887"/>
          <cell r="F887"/>
          <cell r="G887">
            <v>3.9350000000000003E-2</v>
          </cell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>
            <v>0.03</v>
          </cell>
        </row>
        <row r="888">
          <cell r="A888" t="str">
            <v>10106268-0534001LF</v>
          </cell>
          <cell r="B888"/>
          <cell r="C888"/>
          <cell r="D888"/>
          <cell r="E888"/>
          <cell r="F888"/>
          <cell r="G888">
            <v>5.1999999999999998E-2</v>
          </cell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>
            <v>1.0500000000000001E-2</v>
          </cell>
        </row>
        <row r="889">
          <cell r="A889" t="str">
            <v>10106268-0600001LF</v>
          </cell>
          <cell r="B889"/>
          <cell r="C889"/>
          <cell r="D889"/>
          <cell r="E889"/>
          <cell r="F889"/>
          <cell r="G889">
            <v>4.1000000000000002E-2</v>
          </cell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>
            <v>6.1000000000000004E-3</v>
          </cell>
        </row>
        <row r="890">
          <cell r="A890" t="str">
            <v>10106268-0608101LF</v>
          </cell>
          <cell r="B890"/>
          <cell r="C890"/>
          <cell r="D890"/>
          <cell r="E890"/>
          <cell r="F890"/>
          <cell r="G890">
            <v>3.7999999999999999E-2</v>
          </cell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>
            <v>8.9999999999999993E-3</v>
          </cell>
        </row>
        <row r="891">
          <cell r="A891" t="str">
            <v>10106268-0804001LF</v>
          </cell>
          <cell r="B891"/>
          <cell r="C891"/>
          <cell r="D891"/>
          <cell r="E891"/>
          <cell r="F891"/>
          <cell r="G891">
            <v>2.4E-2</v>
          </cell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>
            <v>4.4000000000000003E-3</v>
          </cell>
        </row>
        <row r="892">
          <cell r="A892" t="str">
            <v>10106268-0A00001LF</v>
          </cell>
          <cell r="B892"/>
          <cell r="C892"/>
          <cell r="D892"/>
          <cell r="E892"/>
          <cell r="F892"/>
          <cell r="G892">
            <v>3.5999999999999997E-2</v>
          </cell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>
            <v>6.1000000000000004E-3</v>
          </cell>
        </row>
        <row r="893">
          <cell r="A893" t="str">
            <v>10106268-0A03002LF</v>
          </cell>
          <cell r="B893"/>
          <cell r="C893"/>
          <cell r="D893"/>
          <cell r="E893"/>
          <cell r="F893"/>
          <cell r="G893">
            <v>3.1E-2</v>
          </cell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>
            <v>3.3E-3</v>
          </cell>
        </row>
        <row r="894">
          <cell r="A894" t="str">
            <v>10106268-0B09002LF</v>
          </cell>
          <cell r="B894"/>
          <cell r="C894"/>
          <cell r="D894"/>
          <cell r="E894"/>
          <cell r="F894"/>
          <cell r="G894">
            <v>3.4000000000000002E-2</v>
          </cell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>
            <v>0.01</v>
          </cell>
        </row>
        <row r="895">
          <cell r="A895" t="str">
            <v>10106268-0C00001LF</v>
          </cell>
          <cell r="B895"/>
          <cell r="C895"/>
          <cell r="D895"/>
          <cell r="E895"/>
          <cell r="F895"/>
          <cell r="G895">
            <v>2.8000000000000001E-2</v>
          </cell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>
            <v>6.1000000000000004E-3</v>
          </cell>
        </row>
        <row r="896">
          <cell r="A896" t="str">
            <v>10106268-0C00002LF</v>
          </cell>
          <cell r="B896"/>
          <cell r="C896"/>
          <cell r="D896"/>
          <cell r="E896"/>
          <cell r="F896"/>
          <cell r="G896">
            <v>4.297136E-2</v>
          </cell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>
            <v>6.1000000000000004E-3</v>
          </cell>
        </row>
        <row r="897">
          <cell r="A897" t="str">
            <v>10106268-0E06A01LF</v>
          </cell>
          <cell r="B897"/>
          <cell r="C897"/>
          <cell r="D897"/>
          <cell r="E897"/>
          <cell r="F897"/>
          <cell r="G897">
            <v>2.8000000000000001E-2</v>
          </cell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>
            <v>6.0000000000000001E-3</v>
          </cell>
        </row>
        <row r="898">
          <cell r="A898" t="str">
            <v>10106268-0F08001LF</v>
          </cell>
          <cell r="B898"/>
          <cell r="C898"/>
          <cell r="D898"/>
          <cell r="E898"/>
          <cell r="F898"/>
          <cell r="G898">
            <v>8.3320000000000009E-3</v>
          </cell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>
            <v>2.4995999999999998E-3</v>
          </cell>
        </row>
        <row r="899">
          <cell r="A899" t="str">
            <v>10106268-0F08005LF</v>
          </cell>
          <cell r="B899"/>
          <cell r="C899"/>
          <cell r="D899"/>
          <cell r="E899"/>
          <cell r="F899"/>
          <cell r="G899">
            <v>3.7999999999999999E-2</v>
          </cell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>
            <v>7.0000000000000001E-3</v>
          </cell>
        </row>
        <row r="900">
          <cell r="A900" t="str">
            <v>10106268-0G02A01LF</v>
          </cell>
          <cell r="B900"/>
          <cell r="C900"/>
          <cell r="D900"/>
          <cell r="E900"/>
          <cell r="F900"/>
          <cell r="G900">
            <v>2.8000000000000001E-2</v>
          </cell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>
            <v>3.3E-3</v>
          </cell>
        </row>
        <row r="901">
          <cell r="A901" t="str">
            <v>10106268-0H15001LF</v>
          </cell>
          <cell r="B901"/>
          <cell r="C901"/>
          <cell r="D901"/>
          <cell r="E901"/>
          <cell r="F901"/>
          <cell r="G901">
            <v>4.2000000000000003E-2</v>
          </cell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>
            <v>1.7999999999999999E-2</v>
          </cell>
        </row>
        <row r="902">
          <cell r="A902" t="str">
            <v>10106268-0R02K01LF</v>
          </cell>
          <cell r="B902"/>
          <cell r="C902"/>
          <cell r="D902"/>
          <cell r="E902"/>
          <cell r="F902"/>
          <cell r="G902">
            <v>2.8000000000000001E-2</v>
          </cell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>
            <v>3.0000000000000001E-3</v>
          </cell>
        </row>
        <row r="903">
          <cell r="A903" t="str">
            <v>10106268-1C03001LF</v>
          </cell>
          <cell r="B903"/>
          <cell r="C903"/>
          <cell r="D903"/>
          <cell r="E903"/>
          <cell r="F903"/>
          <cell r="G903">
            <v>3.2000000000000001E-2</v>
          </cell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>
            <v>3.3E-3</v>
          </cell>
        </row>
        <row r="904">
          <cell r="A904" t="str">
            <v>10106268-1C03002LF</v>
          </cell>
          <cell r="B904"/>
          <cell r="C904"/>
          <cell r="D904"/>
          <cell r="E904"/>
          <cell r="F904"/>
          <cell r="G904">
            <v>3.5732088000000002E-2</v>
          </cell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>
            <v>6.103944E-3</v>
          </cell>
        </row>
        <row r="905">
          <cell r="A905" t="str">
            <v>10106268-2001002LF</v>
          </cell>
          <cell r="B905"/>
          <cell r="C905"/>
          <cell r="D905"/>
          <cell r="E905"/>
          <cell r="F905"/>
          <cell r="G905">
            <v>3.3000000000000002E-2</v>
          </cell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>
            <v>3.3E-3</v>
          </cell>
        </row>
        <row r="906">
          <cell r="A906" t="str">
            <v>10106268-2001003LF</v>
          </cell>
          <cell r="B906"/>
          <cell r="C906"/>
          <cell r="D906"/>
          <cell r="E906"/>
          <cell r="F906"/>
          <cell r="G906">
            <v>2.1000000000000001E-2</v>
          </cell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>
            <v>3.0000000000000001E-3</v>
          </cell>
        </row>
        <row r="907">
          <cell r="A907" t="str">
            <v>10106268-2001501LF</v>
          </cell>
          <cell r="B907"/>
          <cell r="C907"/>
          <cell r="D907"/>
          <cell r="E907"/>
          <cell r="F907"/>
          <cell r="G907">
            <v>2.5000000000000001E-2</v>
          </cell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>
            <v>2.2000000000000001E-3</v>
          </cell>
        </row>
        <row r="908">
          <cell r="A908" t="str">
            <v>10106268-2002001LF</v>
          </cell>
          <cell r="B908"/>
          <cell r="C908"/>
          <cell r="D908"/>
          <cell r="E908"/>
          <cell r="F908"/>
          <cell r="G908">
            <v>3.1E-2</v>
          </cell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>
            <v>3.3E-3</v>
          </cell>
        </row>
        <row r="909">
          <cell r="A909" t="str">
            <v>10106268-2002005LF</v>
          </cell>
          <cell r="B909"/>
          <cell r="C909"/>
          <cell r="D909"/>
          <cell r="E909"/>
          <cell r="F909"/>
          <cell r="G909">
            <v>2.5000000000000001E-2</v>
          </cell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>
            <v>3.0000000000000001E-3</v>
          </cell>
        </row>
        <row r="910">
          <cell r="A910" t="str">
            <v>10106268-2002008LF</v>
          </cell>
          <cell r="B910"/>
          <cell r="C910"/>
          <cell r="D910"/>
          <cell r="E910"/>
          <cell r="F910"/>
          <cell r="G910">
            <v>3.5000000000000003E-2</v>
          </cell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>
            <v>4.0000000000000001E-3</v>
          </cell>
        </row>
        <row r="911">
          <cell r="A911" t="str">
            <v>10106268-2003001LF</v>
          </cell>
          <cell r="B911"/>
          <cell r="C911"/>
          <cell r="D911"/>
          <cell r="E911"/>
          <cell r="F911"/>
          <cell r="G911">
            <v>2.5000000000000001E-2</v>
          </cell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>
            <v>3.3E-3</v>
          </cell>
        </row>
        <row r="912">
          <cell r="A912" t="str">
            <v>10106268-2003002LF</v>
          </cell>
          <cell r="B912"/>
          <cell r="C912"/>
          <cell r="D912"/>
          <cell r="E912"/>
          <cell r="F912"/>
          <cell r="G912">
            <v>2.5999999999999999E-2</v>
          </cell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>
            <v>3.3E-3</v>
          </cell>
        </row>
        <row r="913">
          <cell r="A913" t="str">
            <v>10106268-2003K01LF</v>
          </cell>
          <cell r="B913"/>
          <cell r="C913"/>
          <cell r="D913"/>
          <cell r="E913"/>
          <cell r="F913"/>
          <cell r="G913">
            <v>3.1E-2</v>
          </cell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>
            <v>4.0000000000000001E-3</v>
          </cell>
        </row>
        <row r="914">
          <cell r="A914" t="str">
            <v>10106268-2301K01LF</v>
          </cell>
          <cell r="B914"/>
          <cell r="C914"/>
          <cell r="D914"/>
          <cell r="E914"/>
          <cell r="F914"/>
          <cell r="G914">
            <v>2.3E-2</v>
          </cell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>
            <v>3.0000000000000001E-3</v>
          </cell>
        </row>
        <row r="915">
          <cell r="A915" t="str">
            <v>10106268-2403001LF</v>
          </cell>
          <cell r="B915"/>
          <cell r="C915"/>
          <cell r="D915"/>
          <cell r="E915"/>
          <cell r="F915"/>
          <cell r="G915">
            <v>2.1999999999999999E-2</v>
          </cell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>
            <v>4.4000000000000003E-3</v>
          </cell>
        </row>
        <row r="916">
          <cell r="A916" t="str">
            <v>10106268-2600001LF</v>
          </cell>
          <cell r="B916"/>
          <cell r="C916"/>
          <cell r="D916"/>
          <cell r="E916"/>
          <cell r="F916"/>
          <cell r="G916">
            <v>3.3000000000000002E-2</v>
          </cell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>
            <v>6.1000000000000004E-3</v>
          </cell>
        </row>
        <row r="917">
          <cell r="A917" t="str">
            <v>10106268-2600003LF</v>
          </cell>
          <cell r="B917"/>
          <cell r="C917"/>
          <cell r="D917"/>
          <cell r="E917"/>
          <cell r="F917"/>
          <cell r="G917">
            <v>3.2000000000000001E-2</v>
          </cell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>
            <v>6.1000000000000004E-3</v>
          </cell>
        </row>
        <row r="918">
          <cell r="A918" t="str">
            <v>10106268-2600004LF</v>
          </cell>
          <cell r="B918"/>
          <cell r="C918"/>
          <cell r="D918"/>
          <cell r="E918"/>
          <cell r="F918"/>
          <cell r="G918">
            <v>2.8000000000000001E-2</v>
          </cell>
          <cell r="H918"/>
          <cell r="I918"/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>
            <v>3.3E-3</v>
          </cell>
        </row>
        <row r="919">
          <cell r="A919" t="str">
            <v>10106268-3019001LF</v>
          </cell>
          <cell r="B919"/>
          <cell r="C919"/>
          <cell r="D919"/>
          <cell r="E919"/>
          <cell r="F919"/>
          <cell r="G919">
            <v>1.504E-2</v>
          </cell>
          <cell r="H919"/>
          <cell r="I919"/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>
            <v>0.02</v>
          </cell>
        </row>
        <row r="920">
          <cell r="A920" t="str">
            <v>10106268-3037K01LF</v>
          </cell>
          <cell r="B920"/>
          <cell r="C920"/>
          <cell r="D920"/>
          <cell r="E920"/>
          <cell r="F920"/>
          <cell r="G920">
            <v>3.1E-2</v>
          </cell>
          <cell r="H920"/>
          <cell r="I920"/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>
            <v>3.4000000000000002E-2</v>
          </cell>
        </row>
        <row r="921">
          <cell r="A921" t="str">
            <v>10106268-3606001LF</v>
          </cell>
          <cell r="B921"/>
          <cell r="C921"/>
          <cell r="D921"/>
          <cell r="E921"/>
          <cell r="F921"/>
          <cell r="G921">
            <v>4.5999999999999999E-2</v>
          </cell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>
            <v>6.7000000000000002E-3</v>
          </cell>
        </row>
        <row r="922">
          <cell r="A922" t="str">
            <v>10106268-4508003LF</v>
          </cell>
          <cell r="B922"/>
          <cell r="C922"/>
          <cell r="D922"/>
          <cell r="E922"/>
          <cell r="F922"/>
          <cell r="G922">
            <v>3.2000000000000001E-2</v>
          </cell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>
            <v>4.4000000000000003E-3</v>
          </cell>
        </row>
        <row r="923">
          <cell r="A923" t="str">
            <v>10106268-4A05K01LF</v>
          </cell>
          <cell r="B923"/>
          <cell r="C923"/>
          <cell r="D923"/>
          <cell r="E923"/>
          <cell r="F923"/>
          <cell r="G923">
            <v>3.5000000000000003E-2</v>
          </cell>
          <cell r="H923"/>
          <cell r="I923"/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>
            <v>5.0000000000000001E-3</v>
          </cell>
        </row>
        <row r="924">
          <cell r="A924" t="str">
            <v>10106268-4A06001LF</v>
          </cell>
          <cell r="B924"/>
          <cell r="C924"/>
          <cell r="D924"/>
          <cell r="E924"/>
          <cell r="F924"/>
          <cell r="G924">
            <v>2.9000000000000001E-2</v>
          </cell>
          <cell r="H924"/>
          <cell r="I924"/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>
            <v>7.0000000000000001E-3</v>
          </cell>
        </row>
        <row r="925">
          <cell r="A925" t="str">
            <v>10106268-5206001LF</v>
          </cell>
          <cell r="B925"/>
          <cell r="C925"/>
          <cell r="D925"/>
          <cell r="E925"/>
          <cell r="F925"/>
          <cell r="G925">
            <v>3.2000000000000001E-2</v>
          </cell>
          <cell r="H925"/>
          <cell r="I925"/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>
            <v>5.0000000000000001E-3</v>
          </cell>
        </row>
        <row r="926">
          <cell r="A926" t="str">
            <v>10106268-6000401LF</v>
          </cell>
          <cell r="B926"/>
          <cell r="C926"/>
          <cell r="D926"/>
          <cell r="E926"/>
          <cell r="F926"/>
          <cell r="G926">
            <v>3.1E-2</v>
          </cell>
          <cell r="H926"/>
          <cell r="I926"/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>
            <v>6.1000000000000004E-3</v>
          </cell>
        </row>
        <row r="927">
          <cell r="A927" t="str">
            <v>10106268-6000A01LF</v>
          </cell>
          <cell r="B927"/>
          <cell r="C927"/>
          <cell r="D927"/>
          <cell r="E927"/>
          <cell r="F927"/>
          <cell r="G927">
            <v>3.2000000000000001E-2</v>
          </cell>
          <cell r="H927"/>
          <cell r="I927"/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>
            <v>6.1000000000000004E-3</v>
          </cell>
        </row>
        <row r="928">
          <cell r="A928" t="str">
            <v>10106268-6001001LF</v>
          </cell>
          <cell r="B928"/>
          <cell r="C928"/>
          <cell r="D928"/>
          <cell r="E928"/>
          <cell r="F928"/>
          <cell r="G928">
            <v>2.1000000000000001E-2</v>
          </cell>
          <cell r="H928"/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>
            <v>3.3E-3</v>
          </cell>
        </row>
        <row r="929">
          <cell r="A929" t="str">
            <v>10106268-6003001LF</v>
          </cell>
          <cell r="B929"/>
          <cell r="C929"/>
          <cell r="D929"/>
          <cell r="E929"/>
          <cell r="F929"/>
          <cell r="G929">
            <v>2.5000000000000001E-2</v>
          </cell>
          <cell r="H929"/>
          <cell r="I929"/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>
            <v>3.3E-3</v>
          </cell>
        </row>
        <row r="930">
          <cell r="A930" t="str">
            <v>10106268-6003501LF</v>
          </cell>
          <cell r="B930"/>
          <cell r="C930"/>
          <cell r="D930"/>
          <cell r="E930"/>
          <cell r="F930"/>
          <cell r="G930">
            <v>3.5000000000000003E-2</v>
          </cell>
          <cell r="H930"/>
          <cell r="I930"/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>
            <v>3.3E-3</v>
          </cell>
        </row>
        <row r="931">
          <cell r="A931" t="str">
            <v>10106268-6003A01LF</v>
          </cell>
          <cell r="B931"/>
          <cell r="C931"/>
          <cell r="D931"/>
          <cell r="E931"/>
          <cell r="F931"/>
          <cell r="G931">
            <v>2.9000000000000001E-2</v>
          </cell>
          <cell r="H931"/>
          <cell r="I931"/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>
            <v>4.4000000000000003E-3</v>
          </cell>
        </row>
        <row r="932">
          <cell r="A932" t="str">
            <v>10106268-6005A01LF</v>
          </cell>
          <cell r="B932"/>
          <cell r="C932"/>
          <cell r="D932"/>
          <cell r="E932"/>
          <cell r="F932"/>
          <cell r="G932">
            <v>2.8000000000000001E-2</v>
          </cell>
          <cell r="H932"/>
          <cell r="I932"/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>
            <v>4.4000000000000003E-3</v>
          </cell>
        </row>
        <row r="933">
          <cell r="A933" t="str">
            <v>10106268-6010K01LF</v>
          </cell>
          <cell r="B933"/>
          <cell r="C933"/>
          <cell r="D933"/>
          <cell r="E933"/>
          <cell r="F933"/>
          <cell r="G933">
            <v>2.9000000000000001E-2</v>
          </cell>
          <cell r="H933"/>
          <cell r="I933"/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>
            <v>8.0000000000000002E-3</v>
          </cell>
        </row>
        <row r="934">
          <cell r="A934" t="str">
            <v>10106268-6706001LF</v>
          </cell>
          <cell r="B934"/>
          <cell r="C934"/>
          <cell r="D934"/>
          <cell r="E934"/>
          <cell r="F934"/>
          <cell r="G934">
            <v>3.2899999999999999E-2</v>
          </cell>
          <cell r="H934"/>
          <cell r="I934"/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>
            <v>2.1000000000000001E-2</v>
          </cell>
        </row>
        <row r="935">
          <cell r="A935" t="str">
            <v>10106268-7003001LF</v>
          </cell>
          <cell r="B935"/>
          <cell r="C935"/>
          <cell r="D935"/>
          <cell r="E935"/>
          <cell r="F935"/>
          <cell r="G935">
            <v>4.2999999999999997E-2</v>
          </cell>
          <cell r="H935"/>
          <cell r="I935"/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>
            <v>1.0999999999999999E-2</v>
          </cell>
        </row>
        <row r="936">
          <cell r="A936" t="str">
            <v>10106268-7005001LF</v>
          </cell>
          <cell r="B936"/>
          <cell r="C936"/>
          <cell r="D936"/>
          <cell r="E936"/>
          <cell r="F936"/>
          <cell r="G936">
            <v>2.3E-2</v>
          </cell>
          <cell r="H936"/>
          <cell r="I936"/>
          <cell r="J936"/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>
            <v>5.4999999999999997E-3</v>
          </cell>
        </row>
        <row r="937">
          <cell r="A937" t="str">
            <v>10106268-7006001LF</v>
          </cell>
          <cell r="B937"/>
          <cell r="C937"/>
          <cell r="D937"/>
          <cell r="E937"/>
          <cell r="F937"/>
          <cell r="G937">
            <v>3.0244440000000001E-2</v>
          </cell>
          <cell r="H937"/>
          <cell r="I937"/>
          <cell r="J937"/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>
            <v>6.7000000000000002E-3</v>
          </cell>
        </row>
        <row r="938">
          <cell r="A938" t="str">
            <v>10106268-7013K01LF</v>
          </cell>
          <cell r="B938"/>
          <cell r="C938"/>
          <cell r="D938"/>
          <cell r="E938"/>
          <cell r="F938"/>
          <cell r="G938">
            <v>3.1E-2</v>
          </cell>
          <cell r="H938"/>
          <cell r="I938"/>
          <cell r="J938"/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>
            <v>8.9999999999999993E-3</v>
          </cell>
        </row>
        <row r="939">
          <cell r="A939" t="str">
            <v>10106268-8000001LF</v>
          </cell>
          <cell r="B939"/>
          <cell r="C939"/>
          <cell r="D939"/>
          <cell r="E939"/>
          <cell r="F939"/>
          <cell r="G939">
            <v>2.8000000000000001E-2</v>
          </cell>
          <cell r="H939"/>
          <cell r="I939"/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>
            <v>6.1000000000000004E-3</v>
          </cell>
        </row>
        <row r="940">
          <cell r="A940" t="str">
            <v>10106268-8003001LF</v>
          </cell>
          <cell r="B940"/>
          <cell r="C940"/>
          <cell r="D940"/>
          <cell r="E940"/>
          <cell r="F940"/>
          <cell r="G940">
            <v>3.5999999999999997E-2</v>
          </cell>
          <cell r="H940"/>
          <cell r="I940"/>
          <cell r="J940"/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>
            <v>3.3E-3</v>
          </cell>
        </row>
        <row r="941">
          <cell r="A941" t="str">
            <v>10106268-8004001LF</v>
          </cell>
          <cell r="B941"/>
          <cell r="C941"/>
          <cell r="D941"/>
          <cell r="E941"/>
          <cell r="F941"/>
          <cell r="G941">
            <v>3.4000000000000002E-2</v>
          </cell>
          <cell r="H941"/>
          <cell r="I941"/>
          <cell r="J941"/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>
            <v>4.4000000000000003E-3</v>
          </cell>
        </row>
        <row r="942">
          <cell r="A942" t="str">
            <v>10106268-8004002LF</v>
          </cell>
          <cell r="B942"/>
          <cell r="C942"/>
          <cell r="D942"/>
          <cell r="E942"/>
          <cell r="F942"/>
          <cell r="G942">
            <v>2.5000000000000001E-2</v>
          </cell>
          <cell r="H942"/>
          <cell r="I942"/>
          <cell r="J942"/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>
            <v>4.4000000000000003E-3</v>
          </cell>
        </row>
        <row r="943">
          <cell r="A943" t="str">
            <v>10106268-8004004LF</v>
          </cell>
          <cell r="B943"/>
          <cell r="C943"/>
          <cell r="D943"/>
          <cell r="E943"/>
          <cell r="F943"/>
          <cell r="G943">
            <v>3.2000000000000001E-2</v>
          </cell>
          <cell r="H943"/>
          <cell r="I943"/>
          <cell r="J943"/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>
            <v>4.4000000000000003E-3</v>
          </cell>
        </row>
        <row r="944">
          <cell r="A944" t="str">
            <v>10106268-8004005LF</v>
          </cell>
          <cell r="B944"/>
          <cell r="C944"/>
          <cell r="D944"/>
          <cell r="E944"/>
          <cell r="F944"/>
          <cell r="G944">
            <v>3.0200000000000001E-2</v>
          </cell>
          <cell r="H944"/>
          <cell r="I944"/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>
            <v>3.3E-3</v>
          </cell>
        </row>
        <row r="945">
          <cell r="A945" t="str">
            <v>10106268-8004007LF</v>
          </cell>
          <cell r="B945"/>
          <cell r="C945"/>
          <cell r="D945"/>
          <cell r="E945"/>
          <cell r="F945"/>
          <cell r="G945">
            <v>3.2000000000000001E-2</v>
          </cell>
          <cell r="H945"/>
          <cell r="I945"/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>
            <v>4.4000000000000003E-3</v>
          </cell>
        </row>
        <row r="946">
          <cell r="A946" t="str">
            <v>10106268-8005001LF</v>
          </cell>
          <cell r="B946"/>
          <cell r="C946"/>
          <cell r="D946"/>
          <cell r="E946"/>
          <cell r="F946"/>
          <cell r="G946">
            <v>3.5000000000000003E-2</v>
          </cell>
          <cell r="H946"/>
          <cell r="I946"/>
          <cell r="J946"/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>
            <v>4.0000000000000001E-3</v>
          </cell>
        </row>
        <row r="947">
          <cell r="A947" t="str">
            <v>10106268-8005401LF</v>
          </cell>
          <cell r="B947"/>
          <cell r="C947"/>
          <cell r="D947"/>
          <cell r="E947"/>
          <cell r="F947"/>
          <cell r="G947">
            <v>2.8000000000000001E-2</v>
          </cell>
          <cell r="H947"/>
          <cell r="I947"/>
          <cell r="J947"/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>
            <v>5.0000000000000001E-3</v>
          </cell>
        </row>
        <row r="948">
          <cell r="A948" t="str">
            <v>10106268-9001001LF</v>
          </cell>
          <cell r="B948"/>
          <cell r="C948"/>
          <cell r="D948"/>
          <cell r="E948"/>
          <cell r="F948"/>
          <cell r="G948">
            <v>2.5017306999999999E-2</v>
          </cell>
          <cell r="H948"/>
          <cell r="I948"/>
          <cell r="J948"/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>
            <v>3.3E-3</v>
          </cell>
        </row>
        <row r="949">
          <cell r="A949" t="str">
            <v>10106268-9005001LF</v>
          </cell>
          <cell r="B949"/>
          <cell r="C949"/>
          <cell r="D949"/>
          <cell r="E949"/>
          <cell r="F949"/>
          <cell r="G949">
            <v>2.9499999999999998E-2</v>
          </cell>
          <cell r="H949"/>
          <cell r="I949"/>
          <cell r="J949"/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>
            <v>5.4999999999999997E-3</v>
          </cell>
        </row>
        <row r="950">
          <cell r="A950" t="str">
            <v>10106268-9016K01LF</v>
          </cell>
          <cell r="B950"/>
          <cell r="C950"/>
          <cell r="D950"/>
          <cell r="E950"/>
          <cell r="F950"/>
          <cell r="G950">
            <v>3.5000000000000003E-2</v>
          </cell>
          <cell r="H950"/>
          <cell r="I950"/>
          <cell r="J950"/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>
            <v>1.2E-2</v>
          </cell>
        </row>
        <row r="951">
          <cell r="A951" t="str">
            <v>10106268-9203001LF</v>
          </cell>
          <cell r="B951"/>
          <cell r="C951"/>
          <cell r="D951"/>
          <cell r="E951"/>
          <cell r="F951"/>
          <cell r="G951">
            <v>2.8000000000000001E-2</v>
          </cell>
          <cell r="H951"/>
          <cell r="I951"/>
          <cell r="J951"/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>
            <v>3.3E-3</v>
          </cell>
        </row>
        <row r="952">
          <cell r="A952" t="str">
            <v>10106268-A001001LF</v>
          </cell>
          <cell r="B952"/>
          <cell r="C952"/>
          <cell r="D952"/>
          <cell r="E952"/>
          <cell r="F952"/>
          <cell r="G952">
            <v>3.1E-2</v>
          </cell>
          <cell r="H952"/>
          <cell r="I952"/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>
            <v>3.0000000000000001E-3</v>
          </cell>
        </row>
        <row r="953">
          <cell r="A953" t="str">
            <v>10106268-A203001LF</v>
          </cell>
          <cell r="B953"/>
          <cell r="C953"/>
          <cell r="D953"/>
          <cell r="E953"/>
          <cell r="F953"/>
          <cell r="G953">
            <v>2.5999999999999999E-2</v>
          </cell>
          <cell r="H953"/>
          <cell r="I953"/>
          <cell r="J953"/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>
            <v>3.3E-3</v>
          </cell>
        </row>
        <row r="954">
          <cell r="A954" t="str">
            <v>10106268-B003001LF</v>
          </cell>
          <cell r="B954"/>
          <cell r="C954"/>
          <cell r="D954"/>
          <cell r="E954"/>
          <cell r="F954"/>
          <cell r="G954">
            <v>2.4E-2</v>
          </cell>
          <cell r="H954"/>
          <cell r="I954"/>
          <cell r="J954"/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>
            <v>3.3E-3</v>
          </cell>
        </row>
        <row r="955">
          <cell r="A955" t="str">
            <v>10106268-B006001LF</v>
          </cell>
          <cell r="B955"/>
          <cell r="C955"/>
          <cell r="D955"/>
          <cell r="E955"/>
          <cell r="F955"/>
          <cell r="G955">
            <v>3.5000000000000003E-2</v>
          </cell>
          <cell r="H955"/>
          <cell r="I955"/>
          <cell r="J955"/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>
            <v>6.0000000000000001E-3</v>
          </cell>
        </row>
        <row r="956">
          <cell r="A956" t="str">
            <v>10106268-B016002LF</v>
          </cell>
          <cell r="B956"/>
          <cell r="C956"/>
          <cell r="D956"/>
          <cell r="E956"/>
          <cell r="F956"/>
          <cell r="G956">
            <v>5.2999999999999999E-2</v>
          </cell>
          <cell r="H956"/>
          <cell r="I956"/>
          <cell r="J956"/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>
            <v>2.8000000000000001E-2</v>
          </cell>
        </row>
        <row r="957">
          <cell r="A957" t="str">
            <v>10106268-B016003LF</v>
          </cell>
          <cell r="B957"/>
          <cell r="C957"/>
          <cell r="D957"/>
          <cell r="E957"/>
          <cell r="F957"/>
          <cell r="G957">
            <v>3.2000000000000001E-2</v>
          </cell>
          <cell r="H957"/>
          <cell r="I957"/>
          <cell r="J957"/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>
            <v>2.1999999999999999E-2</v>
          </cell>
        </row>
        <row r="958">
          <cell r="A958" t="str">
            <v>10106268-C014K01LF</v>
          </cell>
          <cell r="B958"/>
          <cell r="C958"/>
          <cell r="D958"/>
          <cell r="E958"/>
          <cell r="F958"/>
          <cell r="G958">
            <v>4.7E-2</v>
          </cell>
          <cell r="H958"/>
          <cell r="I958"/>
          <cell r="J958"/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>
            <v>1.7000000000000001E-2</v>
          </cell>
        </row>
        <row r="959">
          <cell r="A959" t="str">
            <v>10106268-D004001LF</v>
          </cell>
          <cell r="B959"/>
          <cell r="C959"/>
          <cell r="D959"/>
          <cell r="E959"/>
          <cell r="F959"/>
          <cell r="G959">
            <v>3.7999999999999999E-2</v>
          </cell>
          <cell r="H959"/>
          <cell r="I959"/>
          <cell r="J959"/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>
            <v>3.3E-3</v>
          </cell>
        </row>
        <row r="960">
          <cell r="A960" t="str">
            <v>10106268-E001001LF</v>
          </cell>
          <cell r="B960"/>
          <cell r="C960"/>
          <cell r="D960"/>
          <cell r="E960"/>
          <cell r="F960"/>
          <cell r="G960">
            <v>3.7999999999999999E-2</v>
          </cell>
          <cell r="H960"/>
          <cell r="I960"/>
          <cell r="J960"/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>
            <v>4.0000000000000001E-3</v>
          </cell>
        </row>
        <row r="961">
          <cell r="A961" t="str">
            <v>10106268-F012001LF</v>
          </cell>
          <cell r="B961"/>
          <cell r="C961"/>
          <cell r="D961"/>
          <cell r="E961"/>
          <cell r="F961"/>
          <cell r="G961">
            <v>4.7E-2</v>
          </cell>
          <cell r="H961"/>
          <cell r="I961"/>
          <cell r="J961"/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>
            <v>1.2999999999999999E-2</v>
          </cell>
        </row>
        <row r="962">
          <cell r="A962" t="str">
            <v>10106268-F024001LF</v>
          </cell>
          <cell r="B962"/>
          <cell r="C962"/>
          <cell r="D962"/>
          <cell r="E962"/>
          <cell r="F962"/>
          <cell r="G962">
            <v>5.6000000000000001E-2</v>
          </cell>
          <cell r="H962"/>
          <cell r="I962"/>
          <cell r="J962"/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>
            <v>2.5999999999999999E-2</v>
          </cell>
        </row>
        <row r="963">
          <cell r="A963" t="str">
            <v>10106268-T006001LF</v>
          </cell>
          <cell r="B963"/>
          <cell r="C963"/>
          <cell r="D963"/>
          <cell r="E963"/>
          <cell r="F963"/>
          <cell r="G963">
            <v>5.1700000000000003E-2</v>
          </cell>
          <cell r="H963"/>
          <cell r="I963"/>
          <cell r="J963"/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>
            <v>6.7000000000000002E-3</v>
          </cell>
        </row>
        <row r="964">
          <cell r="A964" t="str">
            <v>10106269-0004001LF</v>
          </cell>
          <cell r="B964"/>
          <cell r="C964"/>
          <cell r="D964"/>
          <cell r="E964"/>
          <cell r="F964"/>
          <cell r="G964">
            <v>1.9900000000000001E-2</v>
          </cell>
          <cell r="H964"/>
          <cell r="I964"/>
          <cell r="J964"/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>
            <v>1.4E-2</v>
          </cell>
        </row>
        <row r="965">
          <cell r="A965" t="str">
            <v>10106269-0006401LF</v>
          </cell>
          <cell r="B965"/>
          <cell r="C965"/>
          <cell r="D965"/>
          <cell r="E965"/>
          <cell r="F965"/>
          <cell r="G965">
            <v>2.1000000000000001E-2</v>
          </cell>
          <cell r="H965"/>
          <cell r="I965"/>
          <cell r="J965"/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>
            <v>8.0000000000000002E-3</v>
          </cell>
        </row>
        <row r="966">
          <cell r="A966" t="str">
            <v>10106269-0008001LF</v>
          </cell>
          <cell r="B966"/>
          <cell r="C966"/>
          <cell r="D966"/>
          <cell r="E966"/>
          <cell r="F966"/>
          <cell r="G966">
            <v>2.1999999999999999E-2</v>
          </cell>
          <cell r="H966"/>
          <cell r="I966"/>
          <cell r="J966"/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>
            <v>8.8999999999999999E-3</v>
          </cell>
        </row>
        <row r="967">
          <cell r="A967" t="str">
            <v>10106269-0008002LF</v>
          </cell>
          <cell r="B967"/>
          <cell r="C967"/>
          <cell r="D967"/>
          <cell r="E967"/>
          <cell r="F967"/>
          <cell r="G967">
            <v>2.5999999999999999E-2</v>
          </cell>
          <cell r="H967"/>
          <cell r="I967"/>
          <cell r="J967"/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>
            <v>8.0000000000000002E-3</v>
          </cell>
        </row>
        <row r="968">
          <cell r="A968" t="str">
            <v>10106269-0024001LF</v>
          </cell>
          <cell r="B968"/>
          <cell r="C968"/>
          <cell r="D968"/>
          <cell r="E968"/>
          <cell r="F968"/>
          <cell r="G968">
            <v>2.1000000000000001E-2</v>
          </cell>
          <cell r="H968"/>
          <cell r="I968"/>
          <cell r="J968"/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>
            <v>0.02</v>
          </cell>
        </row>
        <row r="969">
          <cell r="A969" t="str">
            <v>10106269-0037001LF</v>
          </cell>
          <cell r="B969"/>
          <cell r="C969"/>
          <cell r="D969"/>
          <cell r="E969"/>
          <cell r="F969"/>
          <cell r="G969">
            <v>2.8000000000000001E-2</v>
          </cell>
          <cell r="H969"/>
          <cell r="I969"/>
          <cell r="J969"/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>
            <v>4.2000000000000003E-2</v>
          </cell>
        </row>
        <row r="970">
          <cell r="A970" t="str">
            <v>10106269-0038001LF</v>
          </cell>
          <cell r="B970"/>
          <cell r="C970"/>
          <cell r="D970"/>
          <cell r="E970"/>
          <cell r="F970"/>
          <cell r="G970">
            <v>4.4999999999999998E-2</v>
          </cell>
          <cell r="H970"/>
          <cell r="I970"/>
          <cell r="J970"/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>
            <v>1.7999999999999999E-2</v>
          </cell>
        </row>
        <row r="971">
          <cell r="A971" t="str">
            <v>10106269-0201001LF</v>
          </cell>
          <cell r="B971"/>
          <cell r="C971"/>
          <cell r="D971"/>
          <cell r="E971"/>
          <cell r="F971"/>
          <cell r="G971">
            <v>1.7000000000000001E-2</v>
          </cell>
          <cell r="H971"/>
          <cell r="I971"/>
          <cell r="J971"/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>
            <v>2.5000000000000001E-3</v>
          </cell>
        </row>
        <row r="972">
          <cell r="A972" t="str">
            <v>10106269-0202001LF</v>
          </cell>
          <cell r="B972"/>
          <cell r="C972"/>
          <cell r="D972"/>
          <cell r="E972"/>
          <cell r="F972"/>
          <cell r="G972">
            <v>2.1000000000000001E-2</v>
          </cell>
          <cell r="H972"/>
          <cell r="I972"/>
          <cell r="J972"/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>
            <v>2.2000000000000001E-3</v>
          </cell>
        </row>
        <row r="973">
          <cell r="A973" t="str">
            <v>10106269-0202003LF</v>
          </cell>
          <cell r="B973"/>
          <cell r="C973"/>
          <cell r="D973"/>
          <cell r="E973"/>
          <cell r="F973"/>
          <cell r="G973">
            <v>2.8000000000000001E-2</v>
          </cell>
          <cell r="H973"/>
          <cell r="I973"/>
          <cell r="J973"/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>
            <v>3.3E-3</v>
          </cell>
        </row>
        <row r="974">
          <cell r="A974" t="str">
            <v>10106269-0203001LF</v>
          </cell>
          <cell r="B974"/>
          <cell r="C974"/>
          <cell r="D974"/>
          <cell r="E974"/>
          <cell r="F974"/>
          <cell r="G974">
            <v>2.3E-2</v>
          </cell>
          <cell r="H974"/>
          <cell r="I974"/>
          <cell r="J974"/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>
            <v>2.3999999999999998E-3</v>
          </cell>
        </row>
        <row r="975">
          <cell r="A975" t="str">
            <v>10106269-0203002LF</v>
          </cell>
          <cell r="B975"/>
          <cell r="C975"/>
          <cell r="D975"/>
          <cell r="E975"/>
          <cell r="F975"/>
          <cell r="G975">
            <v>2.5000000000000001E-2</v>
          </cell>
          <cell r="H975"/>
          <cell r="I975"/>
          <cell r="J975"/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>
            <v>4.0000000000000001E-3</v>
          </cell>
        </row>
        <row r="976">
          <cell r="A976" t="str">
            <v>10106269-0203003LF</v>
          </cell>
          <cell r="B976"/>
          <cell r="C976"/>
          <cell r="D976"/>
          <cell r="E976"/>
          <cell r="F976"/>
          <cell r="G976">
            <v>2.4E-2</v>
          </cell>
          <cell r="H976"/>
          <cell r="I976"/>
          <cell r="J976"/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>
            <v>4.4000000000000003E-3</v>
          </cell>
        </row>
        <row r="977">
          <cell r="A977" t="str">
            <v>10106269-0203004LF</v>
          </cell>
          <cell r="B977"/>
          <cell r="C977"/>
          <cell r="D977"/>
          <cell r="E977"/>
          <cell r="F977"/>
          <cell r="G977">
            <v>1.6E-2</v>
          </cell>
          <cell r="H977"/>
          <cell r="I977"/>
          <cell r="J977"/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>
            <v>4.4000000000000003E-3</v>
          </cell>
        </row>
        <row r="978">
          <cell r="A978" t="str">
            <v>10106269-0204003LF</v>
          </cell>
          <cell r="B978"/>
          <cell r="C978"/>
          <cell r="D978"/>
          <cell r="E978"/>
          <cell r="F978"/>
          <cell r="G978">
            <v>6.2E-2</v>
          </cell>
          <cell r="H978"/>
          <cell r="I978"/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>
            <v>8.0000000000000002E-3</v>
          </cell>
        </row>
        <row r="979">
          <cell r="A979" t="str">
            <v>10106269-0204K01LF</v>
          </cell>
          <cell r="B979"/>
          <cell r="C979"/>
          <cell r="D979"/>
          <cell r="E979"/>
          <cell r="F979"/>
          <cell r="G979">
            <v>2.8000000000000001E-2</v>
          </cell>
          <cell r="H979"/>
          <cell r="I979"/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>
            <v>5.0000000000000001E-3</v>
          </cell>
        </row>
        <row r="980">
          <cell r="A980" t="str">
            <v>10106269-0204K03LF</v>
          </cell>
          <cell r="B980"/>
          <cell r="C980"/>
          <cell r="D980"/>
          <cell r="E980"/>
          <cell r="F980"/>
          <cell r="G980">
            <v>3.1E-2</v>
          </cell>
          <cell r="H980"/>
          <cell r="I980"/>
          <cell r="J980"/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>
            <v>4.0000000000000001E-3</v>
          </cell>
        </row>
        <row r="981">
          <cell r="A981" t="str">
            <v>10106269-0208001LF</v>
          </cell>
          <cell r="B981"/>
          <cell r="C981"/>
          <cell r="D981"/>
          <cell r="E981"/>
          <cell r="F981"/>
          <cell r="G981">
            <v>2.5999999999999999E-2</v>
          </cell>
          <cell r="H981"/>
          <cell r="I981"/>
          <cell r="J981"/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>
            <v>8.9999999999999993E-3</v>
          </cell>
        </row>
        <row r="982">
          <cell r="A982" t="str">
            <v>10106269-0210001LF</v>
          </cell>
          <cell r="B982"/>
          <cell r="C982"/>
          <cell r="D982"/>
          <cell r="E982"/>
          <cell r="F982"/>
          <cell r="G982">
            <v>2.4E-2</v>
          </cell>
          <cell r="H982"/>
          <cell r="I982"/>
          <cell r="J982"/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>
            <v>1.0999999999999999E-2</v>
          </cell>
        </row>
        <row r="983">
          <cell r="A983" t="str">
            <v>10106269-0215002LF</v>
          </cell>
          <cell r="B983"/>
          <cell r="C983"/>
          <cell r="D983"/>
          <cell r="E983"/>
          <cell r="F983"/>
          <cell r="G983">
            <v>2.7E-2</v>
          </cell>
          <cell r="H983"/>
          <cell r="I983"/>
          <cell r="J983"/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>
            <v>1.2E-2</v>
          </cell>
        </row>
        <row r="984">
          <cell r="A984" t="str">
            <v>10106269-0314001LF</v>
          </cell>
          <cell r="B984"/>
          <cell r="C984"/>
          <cell r="D984"/>
          <cell r="E984"/>
          <cell r="F984"/>
          <cell r="G984">
            <v>2.1999999999999999E-2</v>
          </cell>
          <cell r="H984"/>
          <cell r="I984"/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>
            <v>1.2999999999999999E-2</v>
          </cell>
        </row>
        <row r="985">
          <cell r="A985" t="str">
            <v>10106269-0400001LF</v>
          </cell>
          <cell r="B985"/>
          <cell r="C985"/>
          <cell r="D985"/>
          <cell r="E985"/>
          <cell r="F985"/>
          <cell r="G985">
            <v>3.1350000000000003E-2</v>
          </cell>
          <cell r="H985"/>
          <cell r="I985"/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>
            <v>6.1000000000000004E-3</v>
          </cell>
        </row>
        <row r="986">
          <cell r="A986" t="str">
            <v>10106269-0400002LF</v>
          </cell>
          <cell r="B986"/>
          <cell r="C986"/>
          <cell r="D986"/>
          <cell r="E986"/>
          <cell r="F986"/>
          <cell r="G986">
            <v>2.8000000000000001E-2</v>
          </cell>
          <cell r="H986"/>
          <cell r="I986"/>
          <cell r="J986"/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>
            <v>6.1000000000000004E-3</v>
          </cell>
        </row>
        <row r="987">
          <cell r="A987" t="str">
            <v>10106269-0402001LF</v>
          </cell>
          <cell r="B987"/>
          <cell r="C987"/>
          <cell r="D987"/>
          <cell r="E987"/>
          <cell r="F987"/>
          <cell r="G987">
            <v>2.0764999999999999E-2</v>
          </cell>
          <cell r="H987"/>
          <cell r="I987"/>
          <cell r="J987"/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>
            <v>2.7000000000000001E-3</v>
          </cell>
        </row>
        <row r="988">
          <cell r="A988" t="str">
            <v>10106269-0402002LF</v>
          </cell>
          <cell r="B988"/>
          <cell r="C988"/>
          <cell r="D988"/>
          <cell r="E988"/>
          <cell r="F988"/>
          <cell r="G988">
            <v>3.3000000000000002E-2</v>
          </cell>
          <cell r="H988"/>
          <cell r="I988"/>
          <cell r="J988"/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>
            <v>3.3E-3</v>
          </cell>
        </row>
        <row r="989">
          <cell r="A989" t="str">
            <v>10106269-0402003LF</v>
          </cell>
          <cell r="B989"/>
          <cell r="C989"/>
          <cell r="D989"/>
          <cell r="E989"/>
          <cell r="F989"/>
          <cell r="G989">
            <v>1.7999999999999999E-2</v>
          </cell>
          <cell r="H989"/>
          <cell r="I989"/>
          <cell r="J989"/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>
            <v>3.3E-3</v>
          </cell>
        </row>
        <row r="990">
          <cell r="A990" t="str">
            <v>10106269-0402005LF</v>
          </cell>
          <cell r="B990"/>
          <cell r="C990"/>
          <cell r="D990"/>
          <cell r="E990"/>
          <cell r="F990"/>
          <cell r="G990">
            <v>2.5000000000000001E-2</v>
          </cell>
          <cell r="H990"/>
          <cell r="I990"/>
          <cell r="J990"/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>
            <v>3.3E-3</v>
          </cell>
        </row>
        <row r="991">
          <cell r="A991" t="str">
            <v>10106269-0402006LF</v>
          </cell>
          <cell r="B991"/>
          <cell r="C991"/>
          <cell r="D991"/>
          <cell r="E991"/>
          <cell r="F991"/>
          <cell r="G991">
            <v>2.3E-2</v>
          </cell>
          <cell r="H991"/>
          <cell r="I991"/>
          <cell r="J991"/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>
            <v>3.0000000000000001E-3</v>
          </cell>
        </row>
        <row r="992">
          <cell r="A992" t="str">
            <v>10106269-0403001LF</v>
          </cell>
          <cell r="B992"/>
          <cell r="C992"/>
          <cell r="D992"/>
          <cell r="E992"/>
          <cell r="F992"/>
          <cell r="G992">
            <v>2.3E-2</v>
          </cell>
          <cell r="H992"/>
          <cell r="I992"/>
          <cell r="J992"/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>
            <v>3.0000000000000001E-3</v>
          </cell>
        </row>
        <row r="993">
          <cell r="A993" t="str">
            <v>10106269-0403002LF</v>
          </cell>
          <cell r="B993"/>
          <cell r="C993"/>
          <cell r="D993"/>
          <cell r="E993"/>
          <cell r="F993"/>
          <cell r="G993">
            <v>2.1000000000000001E-2</v>
          </cell>
          <cell r="H993"/>
          <cell r="I993"/>
          <cell r="J993"/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>
            <v>3.3E-3</v>
          </cell>
        </row>
        <row r="994">
          <cell r="A994" t="str">
            <v>10106269-0403003LF</v>
          </cell>
          <cell r="B994"/>
          <cell r="C994"/>
          <cell r="D994"/>
          <cell r="E994"/>
          <cell r="F994"/>
          <cell r="G994">
            <v>2.1000000000000001E-2</v>
          </cell>
          <cell r="H994"/>
          <cell r="I994"/>
          <cell r="J994"/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>
            <v>3.3E-3</v>
          </cell>
        </row>
        <row r="995">
          <cell r="A995" t="str">
            <v>10106269-0405001LF</v>
          </cell>
          <cell r="B995"/>
          <cell r="C995"/>
          <cell r="D995"/>
          <cell r="E995"/>
          <cell r="F995"/>
          <cell r="G995">
            <v>1.7999999999999999E-2</v>
          </cell>
          <cell r="H995"/>
          <cell r="I995"/>
          <cell r="J995"/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>
            <v>4.4000000000000003E-3</v>
          </cell>
        </row>
        <row r="996">
          <cell r="A996" t="str">
            <v>10106269-0502001LF</v>
          </cell>
          <cell r="B996"/>
          <cell r="C996"/>
          <cell r="D996"/>
          <cell r="E996"/>
          <cell r="F996"/>
          <cell r="G996">
            <v>2.1600000000000001E-2</v>
          </cell>
          <cell r="H996"/>
          <cell r="I996"/>
          <cell r="J996"/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>
            <v>2E-3</v>
          </cell>
        </row>
        <row r="997">
          <cell r="A997" t="str">
            <v>10106269-0504001LF</v>
          </cell>
          <cell r="B997"/>
          <cell r="C997"/>
          <cell r="D997"/>
          <cell r="E997"/>
          <cell r="F997"/>
          <cell r="G997">
            <v>1.9E-2</v>
          </cell>
          <cell r="H997"/>
          <cell r="I997"/>
          <cell r="J997"/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>
            <v>3.3E-3</v>
          </cell>
        </row>
        <row r="998">
          <cell r="A998" t="str">
            <v>10106269-0505K01LF</v>
          </cell>
          <cell r="B998"/>
          <cell r="C998"/>
          <cell r="D998"/>
          <cell r="E998"/>
          <cell r="F998"/>
          <cell r="G998">
            <v>2.5000000000000001E-2</v>
          </cell>
          <cell r="H998"/>
          <cell r="I998"/>
          <cell r="J998"/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>
            <v>5.0000000000000001E-3</v>
          </cell>
        </row>
        <row r="999">
          <cell r="A999" t="str">
            <v>10106269-0804001LF</v>
          </cell>
          <cell r="B999"/>
          <cell r="C999"/>
          <cell r="D999"/>
          <cell r="E999"/>
          <cell r="F999"/>
          <cell r="G999">
            <v>2.5999999999999999E-2</v>
          </cell>
          <cell r="H999"/>
          <cell r="I999"/>
          <cell r="J999"/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>
            <v>0.01</v>
          </cell>
        </row>
        <row r="1000">
          <cell r="A1000" t="str">
            <v>10106269-0C00002LF</v>
          </cell>
          <cell r="B1000"/>
          <cell r="C1000"/>
          <cell r="D1000"/>
          <cell r="E1000"/>
          <cell r="F1000"/>
          <cell r="G1000">
            <v>3.1E-2</v>
          </cell>
          <cell r="H1000"/>
          <cell r="I1000"/>
          <cell r="J1000"/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>
            <v>6.1000000000000004E-3</v>
          </cell>
        </row>
        <row r="1001">
          <cell r="A1001" t="str">
            <v>10106269-0D03001LF</v>
          </cell>
          <cell r="B1001"/>
          <cell r="C1001"/>
          <cell r="D1001"/>
          <cell r="E1001"/>
          <cell r="F1001"/>
          <cell r="G1001">
            <v>3.4000000000000002E-2</v>
          </cell>
          <cell r="H1001"/>
          <cell r="I1001"/>
          <cell r="J1001"/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>
            <v>3.3E-3</v>
          </cell>
        </row>
        <row r="1002">
          <cell r="A1002" t="str">
            <v>10106269-0D03002LF</v>
          </cell>
          <cell r="B1002"/>
          <cell r="C1002"/>
          <cell r="D1002"/>
          <cell r="E1002"/>
          <cell r="F1002"/>
          <cell r="G1002">
            <v>3.7999999999999999E-2</v>
          </cell>
          <cell r="H1002"/>
          <cell r="I1002"/>
          <cell r="J1002"/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>
            <v>3.3E-3</v>
          </cell>
        </row>
        <row r="1003">
          <cell r="A1003" t="str">
            <v>10106269-0F08001LF</v>
          </cell>
          <cell r="B1003"/>
          <cell r="C1003"/>
          <cell r="D1003"/>
          <cell r="E1003"/>
          <cell r="F1003"/>
          <cell r="G1003">
            <v>3.9E-2</v>
          </cell>
          <cell r="H1003"/>
          <cell r="I1003"/>
          <cell r="J1003"/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>
            <v>8.9999999999999993E-3</v>
          </cell>
        </row>
        <row r="1004">
          <cell r="A1004" t="str">
            <v>10106269-1C03001LF</v>
          </cell>
          <cell r="B1004"/>
          <cell r="C1004"/>
          <cell r="D1004"/>
          <cell r="E1004"/>
          <cell r="F1004"/>
          <cell r="G1004">
            <v>1.35E-2</v>
          </cell>
          <cell r="H1004"/>
          <cell r="I1004"/>
          <cell r="J1004"/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>
            <v>2E-3</v>
          </cell>
        </row>
        <row r="1005">
          <cell r="A1005" t="str">
            <v>10106269-1C03002LF</v>
          </cell>
          <cell r="B1005"/>
          <cell r="C1005"/>
          <cell r="D1005"/>
          <cell r="E1005"/>
          <cell r="F1005"/>
          <cell r="G1005">
            <v>3.5999999999999997E-2</v>
          </cell>
          <cell r="H1005"/>
          <cell r="I1005"/>
          <cell r="J1005"/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>
            <v>3.3E-3</v>
          </cell>
        </row>
        <row r="1006">
          <cell r="A1006" t="str">
            <v>10106269-1C03005LF</v>
          </cell>
          <cell r="B1006"/>
          <cell r="C1006"/>
          <cell r="D1006"/>
          <cell r="E1006"/>
          <cell r="F1006"/>
          <cell r="G1006">
            <v>3.77778E-2</v>
          </cell>
          <cell r="H1006"/>
          <cell r="I1006"/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>
            <v>4.1666999999999997E-3</v>
          </cell>
        </row>
        <row r="1007">
          <cell r="A1007" t="str">
            <v>10106269-2000401LF</v>
          </cell>
          <cell r="B1007"/>
          <cell r="C1007"/>
          <cell r="D1007"/>
          <cell r="E1007"/>
          <cell r="F1007"/>
          <cell r="G1007">
            <v>2.5000000000000001E-2</v>
          </cell>
          <cell r="H1007"/>
          <cell r="I1007"/>
          <cell r="J1007"/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>
            <v>6.1000000000000004E-3</v>
          </cell>
        </row>
        <row r="1008">
          <cell r="A1008" t="str">
            <v>10106269-2000501LF</v>
          </cell>
          <cell r="B1008"/>
          <cell r="C1008"/>
          <cell r="D1008"/>
          <cell r="E1008"/>
          <cell r="F1008"/>
          <cell r="G1008">
            <v>1.7999999999999999E-2</v>
          </cell>
          <cell r="H1008"/>
          <cell r="I1008"/>
          <cell r="J1008"/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>
            <v>3.0000000000000001E-3</v>
          </cell>
        </row>
        <row r="1009">
          <cell r="A1009" t="str">
            <v>10106269-2001002LF</v>
          </cell>
          <cell r="B1009"/>
          <cell r="C1009"/>
          <cell r="D1009"/>
          <cell r="E1009"/>
          <cell r="F1009"/>
          <cell r="G1009">
            <v>0.03</v>
          </cell>
          <cell r="H1009"/>
          <cell r="I1009"/>
          <cell r="J1009"/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>
            <v>3.0000000000000001E-3</v>
          </cell>
        </row>
        <row r="1010">
          <cell r="A1010" t="str">
            <v>10106269-2002001LF</v>
          </cell>
          <cell r="B1010"/>
          <cell r="C1010"/>
          <cell r="D1010"/>
          <cell r="E1010"/>
          <cell r="F1010"/>
          <cell r="G1010">
            <v>2.1999999999999999E-2</v>
          </cell>
          <cell r="H1010"/>
          <cell r="I1010"/>
          <cell r="J1010"/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>
            <v>3.0000000000000001E-3</v>
          </cell>
        </row>
        <row r="1011">
          <cell r="A1011" t="str">
            <v>10106269-2002002LF</v>
          </cell>
          <cell r="B1011"/>
          <cell r="C1011"/>
          <cell r="D1011"/>
          <cell r="E1011"/>
          <cell r="F1011"/>
          <cell r="G1011">
            <v>1.7000000000000001E-2</v>
          </cell>
          <cell r="H1011"/>
          <cell r="I1011"/>
          <cell r="J1011"/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>
            <v>3.0000000000000001E-3</v>
          </cell>
        </row>
        <row r="1012">
          <cell r="A1012" t="str">
            <v>10106269-2003001LF</v>
          </cell>
          <cell r="B1012"/>
          <cell r="C1012"/>
          <cell r="D1012"/>
          <cell r="E1012"/>
          <cell r="F1012"/>
          <cell r="G1012">
            <v>1.06E-2</v>
          </cell>
          <cell r="H1012"/>
          <cell r="I1012"/>
          <cell r="J1012"/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>
            <v>1.2800000000000001E-2</v>
          </cell>
        </row>
        <row r="1013">
          <cell r="A1013" t="str">
            <v>10106269-2003002LF</v>
          </cell>
          <cell r="B1013"/>
          <cell r="C1013"/>
          <cell r="D1013"/>
          <cell r="E1013"/>
          <cell r="F1013"/>
          <cell r="G1013">
            <v>1.7899999999999999E-2</v>
          </cell>
          <cell r="H1013"/>
          <cell r="I1013"/>
          <cell r="J1013"/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>
            <v>3.3E-3</v>
          </cell>
        </row>
        <row r="1014">
          <cell r="A1014" t="str">
            <v>10106269-2004001LF</v>
          </cell>
          <cell r="B1014"/>
          <cell r="C1014"/>
          <cell r="D1014"/>
          <cell r="E1014"/>
          <cell r="F1014"/>
          <cell r="G1014">
            <v>2.5999999999999999E-2</v>
          </cell>
          <cell r="H1014"/>
          <cell r="I1014"/>
          <cell r="J1014"/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>
            <v>4.4000000000000003E-3</v>
          </cell>
        </row>
        <row r="1015">
          <cell r="A1015" t="str">
            <v>10106269-2005402LF</v>
          </cell>
          <cell r="B1015"/>
          <cell r="C1015"/>
          <cell r="D1015"/>
          <cell r="E1015"/>
          <cell r="F1015"/>
          <cell r="G1015">
            <v>0.04</v>
          </cell>
          <cell r="H1015"/>
          <cell r="I1015"/>
          <cell r="J1015"/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>
            <v>7.0000000000000007E-2</v>
          </cell>
        </row>
        <row r="1016">
          <cell r="A1016" t="str">
            <v>10106269-2005K02LF</v>
          </cell>
          <cell r="B1016"/>
          <cell r="C1016"/>
          <cell r="D1016"/>
          <cell r="E1016"/>
          <cell r="F1016"/>
          <cell r="G1016">
            <v>2.5000000000000001E-2</v>
          </cell>
          <cell r="H1016"/>
          <cell r="I1016"/>
          <cell r="J1016"/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>
            <v>5.0000000000000001E-3</v>
          </cell>
        </row>
        <row r="1017">
          <cell r="A1017" t="str">
            <v>10106269-2006002LF</v>
          </cell>
          <cell r="B1017"/>
          <cell r="C1017"/>
          <cell r="D1017"/>
          <cell r="E1017"/>
          <cell r="F1017"/>
          <cell r="G1017">
            <v>2.3E-2</v>
          </cell>
          <cell r="H1017"/>
          <cell r="I1017"/>
          <cell r="J1017"/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>
            <v>2.0199999999999999E-2</v>
          </cell>
        </row>
        <row r="1018">
          <cell r="A1018" t="str">
            <v>10106269-2006003LF</v>
          </cell>
          <cell r="B1018"/>
          <cell r="C1018"/>
          <cell r="D1018"/>
          <cell r="E1018"/>
          <cell r="F1018"/>
          <cell r="G1018">
            <v>2.4E-2</v>
          </cell>
          <cell r="H1018"/>
          <cell r="I1018"/>
          <cell r="J1018"/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>
            <v>0.02</v>
          </cell>
        </row>
        <row r="1019">
          <cell r="A1019" t="str">
            <v>10106269-2006202LF</v>
          </cell>
          <cell r="B1019"/>
          <cell r="C1019"/>
          <cell r="D1019"/>
          <cell r="E1019"/>
          <cell r="F1019"/>
          <cell r="G1019">
            <v>2.64E-2</v>
          </cell>
          <cell r="H1019"/>
          <cell r="I1019"/>
          <cell r="J1019"/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>
            <v>2.0199999999999999E-2</v>
          </cell>
        </row>
        <row r="1020">
          <cell r="A1020" t="str">
            <v>10106269-2D03001LF</v>
          </cell>
          <cell r="B1020"/>
          <cell r="C1020"/>
          <cell r="D1020"/>
          <cell r="E1020"/>
          <cell r="F1020"/>
          <cell r="G1020">
            <v>3.5000000000000003E-2</v>
          </cell>
          <cell r="H1020"/>
          <cell r="I1020"/>
          <cell r="J1020"/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>
            <v>4.4000000000000003E-3</v>
          </cell>
        </row>
        <row r="1021">
          <cell r="A1021" t="str">
            <v>10106269-2LUB202LF</v>
          </cell>
          <cell r="B1021"/>
          <cell r="C1021"/>
          <cell r="D1021"/>
          <cell r="E1021"/>
          <cell r="F1021"/>
          <cell r="G1021">
            <v>2.7199999999999998E-2</v>
          </cell>
          <cell r="H1021"/>
          <cell r="I1021"/>
          <cell r="J1021"/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>
            <v>6.7000000000000002E-3</v>
          </cell>
        </row>
        <row r="1022">
          <cell r="A1022" t="str">
            <v>10106269-3002001LF</v>
          </cell>
          <cell r="B1022"/>
          <cell r="C1022"/>
          <cell r="D1022"/>
          <cell r="E1022"/>
          <cell r="F1022"/>
          <cell r="G1022">
            <v>4.2000000000000003E-2</v>
          </cell>
          <cell r="H1022"/>
          <cell r="I1022"/>
          <cell r="J1022"/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>
            <v>3.0000000000000001E-3</v>
          </cell>
        </row>
        <row r="1023">
          <cell r="A1023" t="str">
            <v>10106269-3606001LF</v>
          </cell>
          <cell r="B1023"/>
          <cell r="C1023"/>
          <cell r="D1023"/>
          <cell r="E1023"/>
          <cell r="F1023"/>
          <cell r="G1023">
            <v>3.6545399999999999E-2</v>
          </cell>
          <cell r="H1023"/>
          <cell r="I1023"/>
          <cell r="J1023"/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</row>
        <row r="1024">
          <cell r="A1024" t="str">
            <v>10106269-4000001LF</v>
          </cell>
          <cell r="B1024"/>
          <cell r="C1024"/>
          <cell r="D1024"/>
          <cell r="E1024"/>
          <cell r="F1024"/>
          <cell r="G1024">
            <v>2.1000000000000001E-2</v>
          </cell>
          <cell r="H1024"/>
          <cell r="I1024"/>
          <cell r="J1024"/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>
            <v>6.1000000000000004E-3</v>
          </cell>
        </row>
        <row r="1025">
          <cell r="A1025" t="str">
            <v>10106269-4000401LF</v>
          </cell>
          <cell r="B1025"/>
          <cell r="C1025"/>
          <cell r="D1025"/>
          <cell r="E1025"/>
          <cell r="F1025"/>
          <cell r="G1025">
            <v>2.5999999999999999E-2</v>
          </cell>
          <cell r="H1025"/>
          <cell r="I1025"/>
          <cell r="J1025"/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>
            <v>6.1000000000000004E-3</v>
          </cell>
        </row>
        <row r="1026">
          <cell r="A1026" t="str">
            <v>10106269-4001401LF</v>
          </cell>
          <cell r="B1026"/>
          <cell r="C1026"/>
          <cell r="D1026"/>
          <cell r="E1026"/>
          <cell r="F1026"/>
          <cell r="G1026">
            <v>1.6E-2</v>
          </cell>
          <cell r="H1026"/>
          <cell r="I1026"/>
          <cell r="J1026"/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>
            <v>3.0000000000000001E-3</v>
          </cell>
        </row>
        <row r="1027">
          <cell r="A1027" t="str">
            <v>10106269-4003001LF</v>
          </cell>
          <cell r="B1027"/>
          <cell r="C1027"/>
          <cell r="D1027"/>
          <cell r="E1027"/>
          <cell r="F1027"/>
          <cell r="G1027">
            <v>2.5000000000000001E-2</v>
          </cell>
          <cell r="H1027"/>
          <cell r="I1027"/>
          <cell r="J1027"/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>
            <v>3.3E-3</v>
          </cell>
        </row>
        <row r="1028">
          <cell r="A1028" t="str">
            <v>10106269-4004001LF</v>
          </cell>
          <cell r="B1028"/>
          <cell r="C1028"/>
          <cell r="D1028"/>
          <cell r="E1028"/>
          <cell r="F1028"/>
          <cell r="G1028">
            <v>2.9000000000000001E-2</v>
          </cell>
          <cell r="H1028"/>
          <cell r="I1028"/>
          <cell r="J1028"/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>
            <v>1.4E-2</v>
          </cell>
        </row>
        <row r="1029">
          <cell r="A1029" t="str">
            <v>10106269-4004201LF</v>
          </cell>
          <cell r="B1029"/>
          <cell r="C1029"/>
          <cell r="D1029"/>
          <cell r="E1029"/>
          <cell r="F1029"/>
          <cell r="G1029">
            <v>3.5000000000000003E-2</v>
          </cell>
          <cell r="H1029"/>
          <cell r="I1029"/>
          <cell r="J1029"/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>
            <v>1.4999999999999999E-2</v>
          </cell>
        </row>
        <row r="1030">
          <cell r="A1030" t="str">
            <v>10106269-4008002LF</v>
          </cell>
          <cell r="B1030"/>
          <cell r="C1030"/>
          <cell r="D1030"/>
          <cell r="E1030"/>
          <cell r="F1030"/>
          <cell r="G1030">
            <v>3.5999999999999997E-2</v>
          </cell>
          <cell r="H1030"/>
          <cell r="I1030"/>
          <cell r="J1030"/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>
            <v>0.01</v>
          </cell>
        </row>
        <row r="1031">
          <cell r="A1031" t="str">
            <v>10106269-4009001LF</v>
          </cell>
          <cell r="B1031"/>
          <cell r="C1031"/>
          <cell r="D1031"/>
          <cell r="E1031"/>
          <cell r="F1031"/>
          <cell r="G1031">
            <v>1.9E-2</v>
          </cell>
          <cell r="H1031"/>
          <cell r="I1031"/>
          <cell r="J1031"/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>
            <v>0.01</v>
          </cell>
        </row>
        <row r="1032">
          <cell r="A1032" t="str">
            <v>10106269-5004001LF</v>
          </cell>
          <cell r="B1032"/>
          <cell r="C1032"/>
          <cell r="D1032"/>
          <cell r="E1032"/>
          <cell r="F1032"/>
          <cell r="G1032">
            <v>3.2000000000000001E-2</v>
          </cell>
          <cell r="H1032"/>
          <cell r="I1032"/>
          <cell r="J1032"/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>
            <v>4.4000000000000003E-3</v>
          </cell>
        </row>
        <row r="1033">
          <cell r="A1033" t="str">
            <v>10106269-5004002LF</v>
          </cell>
          <cell r="B1033"/>
          <cell r="C1033"/>
          <cell r="D1033"/>
          <cell r="E1033"/>
          <cell r="F1033"/>
          <cell r="G1033">
            <v>3.2000000000000001E-2</v>
          </cell>
          <cell r="H1033"/>
          <cell r="I1033"/>
          <cell r="J1033"/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>
            <v>4.4000000000000003E-3</v>
          </cell>
        </row>
        <row r="1034">
          <cell r="A1034" t="str">
            <v>10106269-5005001LF</v>
          </cell>
          <cell r="B1034"/>
          <cell r="C1034"/>
          <cell r="D1034"/>
          <cell r="E1034"/>
          <cell r="F1034"/>
          <cell r="G1034">
            <v>3.3000000000000002E-2</v>
          </cell>
          <cell r="H1034"/>
          <cell r="I1034"/>
          <cell r="J1034"/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>
            <v>1.7000000000000001E-2</v>
          </cell>
        </row>
        <row r="1035">
          <cell r="A1035" t="str">
            <v>10106269-5203001LF</v>
          </cell>
          <cell r="B1035"/>
          <cell r="C1035"/>
          <cell r="D1035"/>
          <cell r="E1035"/>
          <cell r="F1035"/>
          <cell r="G1035">
            <v>3.1697000000000003E-2</v>
          </cell>
          <cell r="H1035"/>
          <cell r="I1035"/>
          <cell r="J1035"/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>
            <v>5.4530000000000004E-3</v>
          </cell>
        </row>
        <row r="1036">
          <cell r="A1036" t="str">
            <v>10106269-5206002LF</v>
          </cell>
          <cell r="B1036"/>
          <cell r="C1036"/>
          <cell r="D1036"/>
          <cell r="E1036"/>
          <cell r="F1036"/>
          <cell r="G1036">
            <v>2.1399999999999999E-2</v>
          </cell>
          <cell r="H1036"/>
          <cell r="I1036"/>
          <cell r="J1036"/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>
            <v>5.0000000000000001E-3</v>
          </cell>
        </row>
        <row r="1037">
          <cell r="A1037" t="str">
            <v>10106269-6000401LF</v>
          </cell>
          <cell r="B1037"/>
          <cell r="C1037"/>
          <cell r="D1037"/>
          <cell r="E1037"/>
          <cell r="F1037"/>
          <cell r="G1037">
            <v>2.1000000000000001E-2</v>
          </cell>
          <cell r="H1037"/>
          <cell r="I1037"/>
          <cell r="J1037"/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>
            <v>3.0000000000000001E-3</v>
          </cell>
        </row>
        <row r="1038">
          <cell r="A1038" t="str">
            <v>10106269-6003001LF</v>
          </cell>
          <cell r="B1038"/>
          <cell r="C1038"/>
          <cell r="D1038"/>
          <cell r="E1038"/>
          <cell r="F1038"/>
          <cell r="G1038">
            <v>2.1000000000000001E-2</v>
          </cell>
          <cell r="H1038"/>
          <cell r="I1038"/>
          <cell r="J1038"/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>
            <v>3.3E-3</v>
          </cell>
        </row>
        <row r="1039">
          <cell r="A1039" t="str">
            <v>10106269-6003002LF</v>
          </cell>
          <cell r="B1039"/>
          <cell r="C1039"/>
          <cell r="D1039"/>
          <cell r="E1039"/>
          <cell r="F1039"/>
          <cell r="G1039">
            <v>2.1999999999999999E-2</v>
          </cell>
          <cell r="H1039"/>
          <cell r="I1039"/>
          <cell r="J1039"/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>
            <v>3.3E-3</v>
          </cell>
        </row>
        <row r="1040">
          <cell r="A1040" t="str">
            <v>10106269-6003003LF</v>
          </cell>
          <cell r="B1040"/>
          <cell r="C1040"/>
          <cell r="D1040"/>
          <cell r="E1040"/>
          <cell r="F1040"/>
          <cell r="G1040">
            <v>2.1999999999999999E-2</v>
          </cell>
          <cell r="H1040"/>
          <cell r="I1040"/>
          <cell r="J1040"/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>
            <v>3.3E-3</v>
          </cell>
        </row>
        <row r="1041">
          <cell r="A1041" t="str">
            <v>10106269-6003401LF</v>
          </cell>
          <cell r="B1041"/>
          <cell r="C1041"/>
          <cell r="D1041"/>
          <cell r="E1041"/>
          <cell r="F1041"/>
          <cell r="G1041">
            <v>2.5999999999999999E-2</v>
          </cell>
          <cell r="H1041"/>
          <cell r="I1041"/>
          <cell r="J1041"/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>
            <v>5.0000000000000001E-3</v>
          </cell>
        </row>
        <row r="1042">
          <cell r="A1042" t="str">
            <v>10106269-6206001LF</v>
          </cell>
          <cell r="B1042"/>
          <cell r="C1042"/>
          <cell r="D1042"/>
          <cell r="E1042"/>
          <cell r="F1042"/>
          <cell r="G1042">
            <v>5.0999999999999997E-2</v>
          </cell>
          <cell r="H1042"/>
          <cell r="I1042"/>
          <cell r="J1042"/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>
            <v>2.1000000000000001E-2</v>
          </cell>
        </row>
        <row r="1043">
          <cell r="A1043" t="str">
            <v>10106269-6206002LF</v>
          </cell>
          <cell r="B1043"/>
          <cell r="C1043"/>
          <cell r="D1043"/>
          <cell r="E1043"/>
          <cell r="F1043"/>
          <cell r="G1043">
            <v>2.3400000000000001E-2</v>
          </cell>
          <cell r="H1043"/>
          <cell r="I1043"/>
          <cell r="J1043"/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>
            <v>6.7000000000000002E-3</v>
          </cell>
        </row>
        <row r="1044">
          <cell r="A1044" t="str">
            <v>10106269-6208001LF</v>
          </cell>
          <cell r="B1044"/>
          <cell r="C1044"/>
          <cell r="D1044"/>
          <cell r="E1044"/>
          <cell r="F1044"/>
          <cell r="G1044">
            <v>4.8000000000000001E-2</v>
          </cell>
          <cell r="H1044"/>
          <cell r="I1044"/>
          <cell r="J1044"/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>
            <v>2.7E-2</v>
          </cell>
        </row>
        <row r="1045">
          <cell r="A1045" t="str">
            <v>10106269-6712001LF</v>
          </cell>
          <cell r="B1045"/>
          <cell r="C1045"/>
          <cell r="D1045"/>
          <cell r="E1045"/>
          <cell r="F1045"/>
          <cell r="G1045">
            <v>3.2000000000000001E-2</v>
          </cell>
          <cell r="H1045"/>
          <cell r="I1045"/>
          <cell r="J1045"/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>
            <v>1.2E-2</v>
          </cell>
        </row>
        <row r="1046">
          <cell r="A1046" t="str">
            <v>10106269-7003002LF</v>
          </cell>
          <cell r="B1046"/>
          <cell r="C1046"/>
          <cell r="D1046"/>
          <cell r="E1046"/>
          <cell r="F1046"/>
          <cell r="G1046">
            <v>2.5000000000000001E-2</v>
          </cell>
          <cell r="H1046"/>
          <cell r="I1046"/>
          <cell r="J1046"/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>
            <v>3.3E-3</v>
          </cell>
        </row>
        <row r="1047">
          <cell r="A1047" t="str">
            <v>10106269-7003003LF</v>
          </cell>
          <cell r="B1047"/>
          <cell r="C1047"/>
          <cell r="D1047"/>
          <cell r="E1047"/>
          <cell r="F1047"/>
          <cell r="G1047">
            <v>2.7E-2</v>
          </cell>
          <cell r="H1047"/>
          <cell r="I1047"/>
          <cell r="J1047"/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>
            <v>3.3E-3</v>
          </cell>
        </row>
        <row r="1048">
          <cell r="A1048" t="str">
            <v>10106269-7004001LF</v>
          </cell>
          <cell r="B1048"/>
          <cell r="C1048"/>
          <cell r="D1048"/>
          <cell r="E1048"/>
          <cell r="F1048"/>
          <cell r="G1048">
            <v>3.6999999999999998E-2</v>
          </cell>
          <cell r="H1048"/>
          <cell r="I1048"/>
          <cell r="J1048"/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>
            <v>2.7000000000000001E-3</v>
          </cell>
        </row>
        <row r="1049">
          <cell r="A1049" t="str">
            <v>10106269-7005001LF</v>
          </cell>
          <cell r="B1049"/>
          <cell r="C1049"/>
          <cell r="D1049"/>
          <cell r="E1049"/>
          <cell r="F1049"/>
          <cell r="G1049">
            <v>4.1000000000000002E-2</v>
          </cell>
          <cell r="H1049"/>
          <cell r="I1049"/>
          <cell r="J1049"/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>
            <v>1.72E-2</v>
          </cell>
        </row>
        <row r="1050">
          <cell r="A1050" t="str">
            <v>10106269-7005003LF</v>
          </cell>
          <cell r="B1050"/>
          <cell r="C1050"/>
          <cell r="D1050"/>
          <cell r="E1050"/>
          <cell r="F1050"/>
          <cell r="G1050">
            <v>0.03</v>
          </cell>
          <cell r="H1050"/>
          <cell r="I1050"/>
          <cell r="J1050"/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>
            <v>4.0000000000000001E-3</v>
          </cell>
        </row>
        <row r="1051">
          <cell r="A1051" t="str">
            <v>10106269-7009001LF</v>
          </cell>
          <cell r="B1051"/>
          <cell r="C1051"/>
          <cell r="D1051"/>
          <cell r="E1051"/>
          <cell r="F1051"/>
          <cell r="G1051">
            <v>2.8000000000000001E-2</v>
          </cell>
          <cell r="H1051"/>
          <cell r="I1051"/>
          <cell r="J1051"/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>
            <v>8.9999999999999993E-3</v>
          </cell>
        </row>
        <row r="1052">
          <cell r="A1052" t="str">
            <v>10106269-8004001LF</v>
          </cell>
          <cell r="B1052"/>
          <cell r="C1052"/>
          <cell r="D1052"/>
          <cell r="E1052"/>
          <cell r="F1052"/>
          <cell r="G1052">
            <v>3.5000000000000003E-2</v>
          </cell>
          <cell r="H1052"/>
          <cell r="I1052"/>
          <cell r="J1052"/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>
            <v>4.4000000000000003E-3</v>
          </cell>
        </row>
        <row r="1053">
          <cell r="A1053" t="str">
            <v>10106269-8037001LF</v>
          </cell>
          <cell r="B1053"/>
          <cell r="C1053"/>
          <cell r="D1053"/>
          <cell r="E1053"/>
          <cell r="F1053"/>
          <cell r="G1053">
            <v>3.5000000000000003E-2</v>
          </cell>
          <cell r="H1053"/>
          <cell r="I1053"/>
          <cell r="J1053"/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>
            <v>4.2000000000000003E-2</v>
          </cell>
        </row>
        <row r="1054">
          <cell r="A1054" t="str">
            <v>10106269-9001001LF</v>
          </cell>
          <cell r="B1054"/>
          <cell r="C1054"/>
          <cell r="D1054"/>
          <cell r="E1054"/>
          <cell r="F1054"/>
          <cell r="G1054">
            <v>2.7E-2</v>
          </cell>
          <cell r="H1054"/>
          <cell r="I1054"/>
          <cell r="J1054"/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>
            <v>3.3E-3</v>
          </cell>
        </row>
        <row r="1055">
          <cell r="A1055" t="str">
            <v>10106269-9005001LF</v>
          </cell>
          <cell r="B1055"/>
          <cell r="C1055"/>
          <cell r="D1055"/>
          <cell r="E1055"/>
          <cell r="F1055"/>
          <cell r="G1055">
            <v>4.9000000000000002E-2</v>
          </cell>
          <cell r="H1055"/>
          <cell r="I1055"/>
          <cell r="J1055"/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>
            <v>1.72E-2</v>
          </cell>
        </row>
        <row r="1056">
          <cell r="A1056" t="str">
            <v>10106269-9005002LF</v>
          </cell>
          <cell r="B1056"/>
          <cell r="C1056"/>
          <cell r="D1056"/>
          <cell r="E1056"/>
          <cell r="F1056"/>
          <cell r="G1056">
            <v>2.9000000000000001E-2</v>
          </cell>
          <cell r="H1056"/>
          <cell r="I1056"/>
          <cell r="J1056"/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>
            <v>6.0000000000000001E-3</v>
          </cell>
        </row>
        <row r="1057">
          <cell r="A1057" t="str">
            <v>10106269-9005003LF</v>
          </cell>
          <cell r="B1057"/>
          <cell r="C1057"/>
          <cell r="D1057"/>
          <cell r="E1057"/>
          <cell r="F1057"/>
          <cell r="G1057">
            <v>2.1999999999999999E-2</v>
          </cell>
          <cell r="H1057"/>
          <cell r="I1057"/>
          <cell r="J1057"/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>
            <v>6.0000000000000001E-3</v>
          </cell>
        </row>
        <row r="1058">
          <cell r="A1058" t="str">
            <v>10106269-A003001LF</v>
          </cell>
          <cell r="B1058"/>
          <cell r="C1058"/>
          <cell r="D1058"/>
          <cell r="E1058"/>
          <cell r="F1058"/>
          <cell r="G1058">
            <v>5.0999999999999997E-2</v>
          </cell>
          <cell r="H1058"/>
          <cell r="I1058"/>
          <cell r="J1058"/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>
            <v>1.2E-2</v>
          </cell>
        </row>
        <row r="1059">
          <cell r="A1059" t="str">
            <v>10106269-A004001LF</v>
          </cell>
          <cell r="B1059"/>
          <cell r="C1059"/>
          <cell r="D1059"/>
          <cell r="E1059"/>
          <cell r="F1059"/>
          <cell r="G1059">
            <v>2.3E-2</v>
          </cell>
          <cell r="H1059"/>
          <cell r="I1059"/>
          <cell r="J1059"/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>
            <v>3.3E-3</v>
          </cell>
        </row>
        <row r="1060">
          <cell r="A1060" t="str">
            <v>10106269-B003002LF</v>
          </cell>
          <cell r="B1060"/>
          <cell r="C1060"/>
          <cell r="D1060"/>
          <cell r="E1060"/>
          <cell r="F1060"/>
          <cell r="G1060">
            <v>3.4000000000000002E-2</v>
          </cell>
          <cell r="H1060"/>
          <cell r="I1060"/>
          <cell r="J1060"/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>
            <v>3.3E-3</v>
          </cell>
        </row>
        <row r="1061">
          <cell r="A1061" t="str">
            <v>10106269-B005001LF</v>
          </cell>
          <cell r="B1061"/>
          <cell r="C1061"/>
          <cell r="D1061"/>
          <cell r="E1061"/>
          <cell r="F1061"/>
          <cell r="G1061">
            <v>4.4999999999999998E-2</v>
          </cell>
          <cell r="H1061"/>
          <cell r="I1061"/>
          <cell r="J1061"/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>
            <v>5.5999999999999999E-3</v>
          </cell>
        </row>
        <row r="1062">
          <cell r="A1062" t="str">
            <v>10106269-B006001LF</v>
          </cell>
          <cell r="B1062"/>
          <cell r="C1062"/>
          <cell r="D1062"/>
          <cell r="E1062"/>
          <cell r="F1062"/>
          <cell r="G1062">
            <v>3.9E-2</v>
          </cell>
          <cell r="H1062"/>
          <cell r="I1062"/>
          <cell r="J1062"/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>
            <v>6.7000000000000002E-3</v>
          </cell>
        </row>
        <row r="1063">
          <cell r="A1063" t="str">
            <v>10106269-B006002LF</v>
          </cell>
          <cell r="B1063"/>
          <cell r="C1063"/>
          <cell r="D1063"/>
          <cell r="E1063"/>
          <cell r="F1063"/>
          <cell r="G1063">
            <v>4.8000000000000001E-2</v>
          </cell>
          <cell r="H1063"/>
          <cell r="I1063"/>
          <cell r="J1063"/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>
            <v>6.6E-3</v>
          </cell>
        </row>
        <row r="1064">
          <cell r="A1064" t="str">
            <v>10106269-B006003LF</v>
          </cell>
          <cell r="B1064"/>
          <cell r="C1064"/>
          <cell r="D1064"/>
          <cell r="E1064"/>
          <cell r="F1064"/>
          <cell r="G1064">
            <v>3.4000000000000002E-2</v>
          </cell>
          <cell r="H1064"/>
          <cell r="I1064"/>
          <cell r="J1064"/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>
            <v>6.7000000000000002E-3</v>
          </cell>
        </row>
        <row r="1065">
          <cell r="A1065" t="str">
            <v>10106269-B006004LF</v>
          </cell>
          <cell r="B1065"/>
          <cell r="C1065"/>
          <cell r="D1065"/>
          <cell r="E1065"/>
          <cell r="F1065"/>
          <cell r="G1065">
            <v>3.1E-2</v>
          </cell>
          <cell r="H1065"/>
          <cell r="I1065"/>
          <cell r="J1065"/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>
            <v>7.0000000000000001E-3</v>
          </cell>
        </row>
        <row r="1066">
          <cell r="A1066" t="str">
            <v>10106269-B010001LF</v>
          </cell>
          <cell r="B1066"/>
          <cell r="C1066"/>
          <cell r="D1066"/>
          <cell r="E1066"/>
          <cell r="F1066"/>
          <cell r="G1066">
            <v>3.8300000000000001E-2</v>
          </cell>
          <cell r="H1066"/>
          <cell r="I1066"/>
          <cell r="J1066"/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>
            <v>1.0999999999999999E-2</v>
          </cell>
        </row>
        <row r="1067">
          <cell r="A1067" t="str">
            <v>10106269-B010005LF</v>
          </cell>
          <cell r="B1067"/>
          <cell r="C1067"/>
          <cell r="D1067"/>
          <cell r="E1067"/>
          <cell r="F1067"/>
          <cell r="G1067">
            <v>0.04</v>
          </cell>
          <cell r="H1067"/>
          <cell r="I1067"/>
          <cell r="J1067"/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>
            <v>1.2E-2</v>
          </cell>
        </row>
        <row r="1068">
          <cell r="A1068" t="str">
            <v>10106269-C002001LF</v>
          </cell>
          <cell r="B1068"/>
          <cell r="C1068"/>
          <cell r="D1068"/>
          <cell r="E1068"/>
          <cell r="F1068"/>
          <cell r="G1068">
            <v>2.1999999999999999E-2</v>
          </cell>
          <cell r="H1068"/>
          <cell r="I1068"/>
          <cell r="J1068"/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>
            <v>3.3E-3</v>
          </cell>
        </row>
        <row r="1069">
          <cell r="A1069" t="str">
            <v>10106269-D006001LF</v>
          </cell>
          <cell r="B1069"/>
          <cell r="C1069"/>
          <cell r="D1069"/>
          <cell r="E1069"/>
          <cell r="F1069"/>
          <cell r="G1069">
            <v>4.82075E-2</v>
          </cell>
          <cell r="H1069"/>
          <cell r="I1069"/>
          <cell r="J1069"/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>
            <v>2.1000000000000001E-2</v>
          </cell>
        </row>
        <row r="1070">
          <cell r="A1070" t="str">
            <v>10106269-D010001LF</v>
          </cell>
          <cell r="B1070"/>
          <cell r="C1070"/>
          <cell r="D1070"/>
          <cell r="E1070"/>
          <cell r="F1070"/>
          <cell r="G1070">
            <v>3.0028124999999999E-2</v>
          </cell>
          <cell r="H1070"/>
          <cell r="I1070"/>
          <cell r="J1070"/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>
            <v>1.0999999999999999E-2</v>
          </cell>
        </row>
        <row r="1071">
          <cell r="A1071" t="str">
            <v>10106269-E209001LF</v>
          </cell>
          <cell r="B1071"/>
          <cell r="C1071"/>
          <cell r="D1071"/>
          <cell r="E1071"/>
          <cell r="F1071"/>
          <cell r="G1071">
            <v>5.3999999999999999E-2</v>
          </cell>
          <cell r="H1071"/>
          <cell r="I1071"/>
          <cell r="J1071"/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>
            <v>0.01</v>
          </cell>
        </row>
        <row r="1072">
          <cell r="A1072" t="str">
            <v>10106269-HWPHD01LF</v>
          </cell>
          <cell r="B1072"/>
          <cell r="C1072"/>
          <cell r="D1072"/>
          <cell r="E1072"/>
          <cell r="F1072"/>
          <cell r="G1072">
            <v>3.5000000000000003E-2</v>
          </cell>
          <cell r="H1072"/>
          <cell r="I1072"/>
          <cell r="J1072"/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>
            <v>1.2E-2</v>
          </cell>
        </row>
        <row r="1073">
          <cell r="A1073" t="str">
            <v>10106269-K002001LF</v>
          </cell>
          <cell r="B1073"/>
          <cell r="C1073"/>
          <cell r="D1073"/>
          <cell r="E1073"/>
          <cell r="F1073"/>
          <cell r="G1073">
            <v>4.1000000000000002E-2</v>
          </cell>
          <cell r="H1073"/>
          <cell r="I1073"/>
          <cell r="J1073"/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>
            <v>3.3E-3</v>
          </cell>
        </row>
        <row r="1074">
          <cell r="A1074" t="str">
            <v>10106269-P306201LF</v>
          </cell>
          <cell r="B1074"/>
          <cell r="C1074"/>
          <cell r="D1074"/>
          <cell r="E1074"/>
          <cell r="F1074"/>
          <cell r="G1074">
            <v>7.4999999999999997E-2</v>
          </cell>
          <cell r="H1074"/>
          <cell r="I1074"/>
          <cell r="J1074"/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>
            <v>6.7000000000000002E-3</v>
          </cell>
        </row>
        <row r="1075">
          <cell r="A1075" t="str">
            <v>10110432-001A</v>
          </cell>
          <cell r="B1075"/>
          <cell r="C1075"/>
          <cell r="D1075"/>
          <cell r="E1075"/>
          <cell r="F1075"/>
          <cell r="G1075">
            <v>0.02</v>
          </cell>
          <cell r="H1075"/>
          <cell r="I1075"/>
          <cell r="J1075"/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</row>
        <row r="1076">
          <cell r="A1076" t="str">
            <v>10113570-04-054</v>
          </cell>
          <cell r="B1076"/>
          <cell r="C1076"/>
          <cell r="D1076"/>
          <cell r="E1076"/>
          <cell r="F1076"/>
          <cell r="G1076"/>
          <cell r="H1076"/>
          <cell r="I1076"/>
          <cell r="J1076"/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</row>
        <row r="1077">
          <cell r="A1077" t="str">
            <v>10114463-0C054001</v>
          </cell>
          <cell r="B1077"/>
          <cell r="C1077"/>
          <cell r="D1077"/>
          <cell r="E1077"/>
          <cell r="F1077">
            <v>2.2222000000000001E-3</v>
          </cell>
          <cell r="G1077">
            <v>1.3887999999999999E-3</v>
          </cell>
          <cell r="H1077"/>
          <cell r="I1077"/>
          <cell r="J1077"/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</row>
        <row r="1078">
          <cell r="A1078" t="str">
            <v>10121750-0802081LF</v>
          </cell>
          <cell r="B1078"/>
          <cell r="C1078"/>
          <cell r="D1078"/>
          <cell r="E1078"/>
          <cell r="F1078"/>
          <cell r="G1078">
            <v>5.8000000000000003E-2</v>
          </cell>
          <cell r="H1078"/>
          <cell r="I1078"/>
          <cell r="J1078"/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>
            <v>3.3E-3</v>
          </cell>
        </row>
        <row r="1079">
          <cell r="A1079" t="str">
            <v>10122539-0802081LF</v>
          </cell>
          <cell r="B1079"/>
          <cell r="C1079"/>
          <cell r="D1079"/>
          <cell r="E1079"/>
          <cell r="F1079"/>
          <cell r="G1079">
            <v>6.6699999999999995E-2</v>
          </cell>
          <cell r="H1079"/>
          <cell r="I1079"/>
          <cell r="J1079"/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>
            <v>8.0999999999999996E-3</v>
          </cell>
        </row>
        <row r="1080">
          <cell r="A1080" t="str">
            <v>10123370-001</v>
          </cell>
          <cell r="B1080"/>
          <cell r="C1080">
            <v>0</v>
          </cell>
          <cell r="D1080"/>
          <cell r="E1080"/>
          <cell r="F1080">
            <v>6.2500000000000001E-4</v>
          </cell>
          <cell r="G1080">
            <v>1.8083000000000001E-3</v>
          </cell>
          <cell r="H1080"/>
          <cell r="I1080"/>
          <cell r="J1080"/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</row>
        <row r="1081">
          <cell r="A1081" t="str">
            <v>10123436-001LF</v>
          </cell>
          <cell r="B1081"/>
          <cell r="C1081"/>
          <cell r="D1081"/>
          <cell r="E1081"/>
          <cell r="F1081"/>
          <cell r="G1081"/>
          <cell r="H1081"/>
          <cell r="I1081"/>
          <cell r="J1081"/>
          <cell r="K1081"/>
          <cell r="L1081"/>
          <cell r="M1081"/>
          <cell r="N1081"/>
          <cell r="O1081"/>
          <cell r="P1081"/>
          <cell r="Q1081"/>
          <cell r="R1081"/>
          <cell r="S1081"/>
          <cell r="T1081">
            <v>0</v>
          </cell>
          <cell r="U1081"/>
          <cell r="V1081"/>
          <cell r="W1081"/>
        </row>
        <row r="1082">
          <cell r="A1082" t="str">
            <v>10123436-001U</v>
          </cell>
          <cell r="B1082"/>
          <cell r="C1082"/>
          <cell r="D1082"/>
          <cell r="E1082"/>
          <cell r="F1082"/>
          <cell r="G1082"/>
          <cell r="H1082"/>
          <cell r="I1082"/>
          <cell r="J1082"/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</row>
        <row r="1083">
          <cell r="A1083" t="str">
            <v>10123436-002LF</v>
          </cell>
          <cell r="B1083"/>
          <cell r="C1083">
            <v>0</v>
          </cell>
          <cell r="D1083"/>
          <cell r="E1083"/>
          <cell r="F1083"/>
          <cell r="G1083"/>
          <cell r="H1083"/>
          <cell r="I1083"/>
          <cell r="J1083"/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>
            <v>3.3300000000000003E-5</v>
          </cell>
          <cell r="W1083"/>
        </row>
        <row r="1084">
          <cell r="A1084" t="str">
            <v>10123436-002U</v>
          </cell>
          <cell r="B1084"/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</row>
        <row r="1085">
          <cell r="A1085" t="str">
            <v>10123436-003LF</v>
          </cell>
          <cell r="B1085"/>
          <cell r="C1085">
            <v>0</v>
          </cell>
          <cell r="D1085"/>
          <cell r="E1085"/>
          <cell r="F1085"/>
          <cell r="G1085"/>
          <cell r="H1085"/>
          <cell r="I1085"/>
          <cell r="J1085"/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>
            <v>5.5600000000000003E-5</v>
          </cell>
          <cell r="W1085"/>
        </row>
        <row r="1086">
          <cell r="A1086" t="str">
            <v>10123436-003U</v>
          </cell>
          <cell r="B1086"/>
          <cell r="C1086"/>
          <cell r="D1086"/>
          <cell r="E1086"/>
          <cell r="F1086"/>
          <cell r="G1086"/>
          <cell r="H1086"/>
          <cell r="I1086"/>
          <cell r="J1086"/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</row>
        <row r="1087">
          <cell r="A1087" t="str">
            <v>10123436-004LF</v>
          </cell>
          <cell r="B1087"/>
          <cell r="C1087">
            <v>0</v>
          </cell>
          <cell r="D1087"/>
          <cell r="E1087"/>
          <cell r="F1087"/>
          <cell r="G1087"/>
          <cell r="H1087"/>
          <cell r="I1087"/>
          <cell r="J1087"/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>
            <v>3.3300000000000003E-5</v>
          </cell>
          <cell r="W1087"/>
        </row>
        <row r="1088">
          <cell r="A1088" t="str">
            <v>10123436-004U</v>
          </cell>
          <cell r="B1088"/>
          <cell r="C1088"/>
          <cell r="D1088"/>
          <cell r="E1088"/>
          <cell r="F1088"/>
          <cell r="G1088"/>
          <cell r="H1088"/>
          <cell r="I1088"/>
          <cell r="J1088"/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</row>
        <row r="1089">
          <cell r="A1089" t="str">
            <v>10123437-001LF</v>
          </cell>
          <cell r="B1089"/>
          <cell r="C1089">
            <v>0</v>
          </cell>
          <cell r="D1089"/>
          <cell r="E1089"/>
          <cell r="F1089"/>
          <cell r="G1089">
            <v>3.65E-3</v>
          </cell>
          <cell r="H1089"/>
          <cell r="I1089"/>
          <cell r="J1089"/>
          <cell r="K1089"/>
          <cell r="L1089"/>
          <cell r="M1089"/>
          <cell r="N1089">
            <v>1.17E-3</v>
          </cell>
          <cell r="O1089"/>
          <cell r="P1089"/>
          <cell r="Q1089"/>
          <cell r="R1089"/>
          <cell r="S1089"/>
          <cell r="T1089"/>
          <cell r="U1089"/>
          <cell r="V1089"/>
          <cell r="W1089"/>
        </row>
        <row r="1090">
          <cell r="A1090" t="str">
            <v>10123437-001P</v>
          </cell>
          <cell r="B1090"/>
          <cell r="C1090"/>
          <cell r="D1090"/>
          <cell r="E1090"/>
          <cell r="F1090"/>
          <cell r="G1090"/>
          <cell r="H1090"/>
          <cell r="I1090"/>
          <cell r="J1090"/>
          <cell r="K1090"/>
          <cell r="L1090"/>
          <cell r="M1090"/>
          <cell r="N1090"/>
          <cell r="O1090"/>
          <cell r="P1090"/>
          <cell r="Q1090"/>
          <cell r="R1090"/>
          <cell r="S1090"/>
          <cell r="T1090">
            <v>0</v>
          </cell>
          <cell r="U1090"/>
          <cell r="V1090">
            <v>1.3329999999999999E-4</v>
          </cell>
          <cell r="W1090"/>
        </row>
        <row r="1091">
          <cell r="A1091" t="str">
            <v>10123437-001TLF</v>
          </cell>
          <cell r="B1091"/>
          <cell r="C1091">
            <v>0</v>
          </cell>
          <cell r="D1091"/>
          <cell r="E1091"/>
          <cell r="F1091"/>
          <cell r="G1091">
            <v>3.9833000000000004E-3</v>
          </cell>
          <cell r="H1091"/>
          <cell r="I1091"/>
          <cell r="J1091"/>
          <cell r="K1091"/>
          <cell r="L1091"/>
          <cell r="M1091"/>
          <cell r="N1091">
            <v>1.17E-3</v>
          </cell>
          <cell r="O1091"/>
          <cell r="P1091"/>
          <cell r="Q1091"/>
          <cell r="R1091"/>
          <cell r="S1091"/>
          <cell r="T1091"/>
          <cell r="U1091"/>
          <cell r="V1091"/>
          <cell r="W1091"/>
        </row>
        <row r="1092">
          <cell r="A1092" t="str">
            <v>10123437-001U</v>
          </cell>
          <cell r="B1092"/>
          <cell r="C1092"/>
          <cell r="D1092"/>
          <cell r="E1092"/>
          <cell r="F1092"/>
          <cell r="G1092"/>
          <cell r="H1092"/>
          <cell r="I1092"/>
          <cell r="J1092"/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</row>
        <row r="1093">
          <cell r="A1093" t="str">
            <v>10123439-001LF</v>
          </cell>
          <cell r="B1093"/>
          <cell r="C1093">
            <v>0</v>
          </cell>
          <cell r="D1093"/>
          <cell r="E1093"/>
          <cell r="F1093"/>
          <cell r="G1093">
            <v>3.65E-3</v>
          </cell>
          <cell r="H1093"/>
          <cell r="I1093"/>
          <cell r="J1093"/>
          <cell r="K1093"/>
          <cell r="L1093"/>
          <cell r="M1093"/>
          <cell r="N1093">
            <v>1.17E-3</v>
          </cell>
          <cell r="O1093"/>
          <cell r="P1093"/>
          <cell r="Q1093"/>
          <cell r="R1093"/>
          <cell r="S1093"/>
          <cell r="T1093"/>
          <cell r="U1093"/>
          <cell r="V1093"/>
          <cell r="W1093"/>
        </row>
        <row r="1094">
          <cell r="A1094" t="str">
            <v>10123439-001P</v>
          </cell>
          <cell r="B1094"/>
          <cell r="C1094"/>
          <cell r="D1094"/>
          <cell r="E1094"/>
          <cell r="F1094"/>
          <cell r="G1094"/>
          <cell r="H1094"/>
          <cell r="I1094"/>
          <cell r="J1094"/>
          <cell r="K1094"/>
          <cell r="L1094"/>
          <cell r="M1094"/>
          <cell r="N1094"/>
          <cell r="O1094"/>
          <cell r="P1094"/>
          <cell r="Q1094"/>
          <cell r="R1094"/>
          <cell r="S1094"/>
          <cell r="T1094">
            <v>0</v>
          </cell>
          <cell r="U1094"/>
          <cell r="V1094">
            <v>1.3329999999999999E-4</v>
          </cell>
          <cell r="W1094"/>
        </row>
        <row r="1095">
          <cell r="A1095" t="str">
            <v>10123439-001TLF</v>
          </cell>
          <cell r="B1095"/>
          <cell r="C1095">
            <v>0</v>
          </cell>
          <cell r="D1095"/>
          <cell r="E1095"/>
          <cell r="F1095"/>
          <cell r="G1095">
            <v>3.9833000000000004E-3</v>
          </cell>
          <cell r="H1095"/>
          <cell r="I1095"/>
          <cell r="J1095"/>
          <cell r="K1095"/>
          <cell r="L1095"/>
          <cell r="M1095"/>
          <cell r="N1095">
            <v>1.17E-3</v>
          </cell>
          <cell r="O1095"/>
          <cell r="P1095"/>
          <cell r="Q1095"/>
          <cell r="R1095"/>
          <cell r="S1095"/>
          <cell r="T1095"/>
          <cell r="U1095"/>
          <cell r="V1095"/>
          <cell r="W1095"/>
        </row>
        <row r="1096">
          <cell r="A1096" t="str">
            <v>10123439-001U</v>
          </cell>
          <cell r="B1096"/>
          <cell r="C1096"/>
          <cell r="D1096"/>
          <cell r="E1096"/>
          <cell r="F1096"/>
          <cell r="G1096"/>
          <cell r="H1096"/>
          <cell r="I1096"/>
          <cell r="J1096"/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</row>
        <row r="1097">
          <cell r="A1097" t="str">
            <v>10123440-001LF</v>
          </cell>
          <cell r="B1097"/>
          <cell r="C1097">
            <v>0</v>
          </cell>
          <cell r="D1097"/>
          <cell r="E1097"/>
          <cell r="F1097"/>
          <cell r="G1097">
            <v>3.3007000000000002E-3</v>
          </cell>
          <cell r="H1097"/>
          <cell r="I1097"/>
          <cell r="J1097"/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>
            <v>1.268E-3</v>
          </cell>
        </row>
        <row r="1098">
          <cell r="A1098" t="str">
            <v>10126769-001LF</v>
          </cell>
          <cell r="B1098"/>
          <cell r="C1098"/>
          <cell r="D1098"/>
          <cell r="E1098"/>
          <cell r="F1098"/>
          <cell r="G1098">
            <v>2.4600000000000002E-5</v>
          </cell>
          <cell r="H1098"/>
          <cell r="I1098"/>
          <cell r="J1098"/>
          <cell r="K1098">
            <v>2.97E-5</v>
          </cell>
          <cell r="L1098"/>
          <cell r="M1098"/>
          <cell r="N1098"/>
          <cell r="O1098"/>
          <cell r="P1098"/>
          <cell r="Q1098"/>
          <cell r="R1098"/>
          <cell r="S1098"/>
          <cell r="T1098">
            <v>0</v>
          </cell>
          <cell r="U1098"/>
          <cell r="V1098"/>
          <cell r="W1098"/>
        </row>
        <row r="1099">
          <cell r="A1099" t="str">
            <v>10126769-001U</v>
          </cell>
          <cell r="B1099"/>
          <cell r="C1099"/>
          <cell r="D1099"/>
          <cell r="E1099"/>
          <cell r="F1099"/>
          <cell r="G1099"/>
          <cell r="H1099"/>
          <cell r="I1099"/>
          <cell r="J1099"/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</row>
        <row r="1100">
          <cell r="A1100" t="str">
            <v>10126769-002LF</v>
          </cell>
          <cell r="B1100"/>
          <cell r="C1100"/>
          <cell r="D1100"/>
          <cell r="E1100"/>
          <cell r="F1100"/>
          <cell r="G1100">
            <v>2.4600000000000002E-5</v>
          </cell>
          <cell r="H1100"/>
          <cell r="I1100"/>
          <cell r="J1100"/>
          <cell r="K1100">
            <v>2.97E-5</v>
          </cell>
          <cell r="L1100"/>
          <cell r="M1100"/>
          <cell r="N1100"/>
          <cell r="O1100"/>
          <cell r="P1100"/>
          <cell r="Q1100"/>
          <cell r="R1100"/>
          <cell r="S1100"/>
          <cell r="T1100">
            <v>0</v>
          </cell>
          <cell r="U1100"/>
          <cell r="V1100"/>
          <cell r="W1100"/>
        </row>
        <row r="1101">
          <cell r="A1101" t="str">
            <v>10126769-002U</v>
          </cell>
          <cell r="B1101"/>
          <cell r="C1101"/>
          <cell r="D1101"/>
          <cell r="E1101"/>
          <cell r="F1101"/>
          <cell r="G1101"/>
          <cell r="H1101"/>
          <cell r="I1101"/>
          <cell r="J1101"/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</row>
        <row r="1102">
          <cell r="A1102" t="str">
            <v>10126770-001LF</v>
          </cell>
          <cell r="B1102"/>
          <cell r="C1102"/>
          <cell r="D1102"/>
          <cell r="E1102"/>
          <cell r="F1102"/>
          <cell r="G1102">
            <v>6.0099999999999997E-5</v>
          </cell>
          <cell r="H1102"/>
          <cell r="I1102"/>
          <cell r="J1102"/>
          <cell r="K1102">
            <v>4.4499999999999997E-5</v>
          </cell>
          <cell r="L1102"/>
          <cell r="M1102"/>
          <cell r="N1102"/>
          <cell r="O1102"/>
          <cell r="P1102"/>
          <cell r="Q1102"/>
          <cell r="R1102"/>
          <cell r="S1102"/>
          <cell r="T1102">
            <v>0</v>
          </cell>
          <cell r="U1102"/>
          <cell r="V1102"/>
          <cell r="W1102"/>
        </row>
        <row r="1103">
          <cell r="A1103" t="str">
            <v>10126770-001U</v>
          </cell>
          <cell r="B1103"/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</row>
        <row r="1104">
          <cell r="A1104" t="str">
            <v>10126771-001LF</v>
          </cell>
          <cell r="B1104"/>
          <cell r="C1104"/>
          <cell r="D1104"/>
          <cell r="E1104"/>
          <cell r="F1104"/>
          <cell r="G1104">
            <v>2.2556E-3</v>
          </cell>
          <cell r="H1104"/>
          <cell r="I1104"/>
          <cell r="J1104"/>
          <cell r="K1104"/>
          <cell r="L1104"/>
          <cell r="M1104"/>
          <cell r="N1104"/>
          <cell r="O1104"/>
          <cell r="P1104"/>
          <cell r="Q1104"/>
          <cell r="R1104">
            <v>0</v>
          </cell>
          <cell r="S1104"/>
          <cell r="T1104"/>
          <cell r="U1104"/>
          <cell r="V1104"/>
          <cell r="W1104"/>
        </row>
        <row r="1105">
          <cell r="A1105" t="str">
            <v>10126798-001LF</v>
          </cell>
          <cell r="B1105"/>
          <cell r="C1105"/>
          <cell r="D1105"/>
          <cell r="E1105"/>
          <cell r="F1105"/>
          <cell r="G1105"/>
          <cell r="H1105"/>
          <cell r="I1105"/>
          <cell r="J1105"/>
          <cell r="K1105"/>
          <cell r="L1105"/>
          <cell r="M1105"/>
          <cell r="N1105"/>
          <cell r="O1105"/>
          <cell r="P1105"/>
          <cell r="Q1105"/>
          <cell r="R1105"/>
          <cell r="S1105"/>
          <cell r="T1105">
            <v>0</v>
          </cell>
          <cell r="U1105"/>
          <cell r="V1105"/>
          <cell r="W1105"/>
        </row>
        <row r="1106">
          <cell r="A1106" t="str">
            <v>10126798-001U</v>
          </cell>
          <cell r="B1106"/>
          <cell r="C1106"/>
          <cell r="D1106"/>
          <cell r="E1106"/>
          <cell r="F1106"/>
          <cell r="G1106"/>
          <cell r="H1106"/>
          <cell r="I1106"/>
          <cell r="J1106"/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</row>
        <row r="1107">
          <cell r="A1107" t="str">
            <v>10126799-001A</v>
          </cell>
          <cell r="B1107"/>
          <cell r="C1107"/>
          <cell r="D1107"/>
          <cell r="E1107"/>
          <cell r="F1107"/>
          <cell r="G1107"/>
          <cell r="H1107"/>
          <cell r="I1107"/>
          <cell r="J1107"/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</row>
        <row r="1108">
          <cell r="A1108" t="str">
            <v>10126799-001LF</v>
          </cell>
          <cell r="B1108"/>
          <cell r="C1108"/>
          <cell r="D1108"/>
          <cell r="E1108"/>
          <cell r="F1108"/>
          <cell r="G1108"/>
          <cell r="H1108"/>
          <cell r="I1108"/>
          <cell r="J1108"/>
          <cell r="K1108"/>
          <cell r="L1108"/>
          <cell r="M1108"/>
          <cell r="N1108"/>
          <cell r="O1108"/>
          <cell r="P1108"/>
          <cell r="Q1108"/>
          <cell r="R1108"/>
          <cell r="S1108"/>
          <cell r="T1108">
            <v>0</v>
          </cell>
          <cell r="U1108"/>
          <cell r="V1108"/>
          <cell r="W1108"/>
        </row>
        <row r="1109">
          <cell r="A1109" t="str">
            <v>10126799-002LF</v>
          </cell>
          <cell r="B1109"/>
          <cell r="C1109">
            <v>0</v>
          </cell>
          <cell r="D1109"/>
          <cell r="E1109"/>
          <cell r="F1109"/>
          <cell r="G1109">
            <v>1.25E-3</v>
          </cell>
          <cell r="H1109"/>
          <cell r="I1109"/>
          <cell r="J1109"/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</row>
        <row r="1110">
          <cell r="A1110" t="str">
            <v>10126800-001LF</v>
          </cell>
          <cell r="B1110"/>
          <cell r="C1110">
            <v>0</v>
          </cell>
          <cell r="D1110"/>
          <cell r="E1110"/>
          <cell r="F1110"/>
          <cell r="G1110">
            <v>4.3333E-3</v>
          </cell>
          <cell r="H1110"/>
          <cell r="I1110"/>
          <cell r="J1110"/>
          <cell r="K1110"/>
          <cell r="L1110"/>
          <cell r="M1110"/>
          <cell r="N1110"/>
          <cell r="O1110"/>
          <cell r="P1110">
            <v>6.3889000000000003E-3</v>
          </cell>
          <cell r="Q1110"/>
          <cell r="R1110">
            <v>3.2222000000000002E-3</v>
          </cell>
          <cell r="S1110"/>
          <cell r="T1110"/>
          <cell r="U1110"/>
          <cell r="V1110"/>
          <cell r="W1110"/>
        </row>
        <row r="1111">
          <cell r="A1111" t="str">
            <v>10127065-011LF</v>
          </cell>
          <cell r="B1111"/>
          <cell r="C1111">
            <v>0</v>
          </cell>
          <cell r="D1111"/>
          <cell r="E1111"/>
          <cell r="F1111"/>
          <cell r="G1111"/>
          <cell r="H1111"/>
          <cell r="I1111"/>
          <cell r="J1111"/>
          <cell r="K1111"/>
          <cell r="L1111"/>
          <cell r="M1111"/>
          <cell r="N1111"/>
          <cell r="O1111"/>
          <cell r="P1111"/>
          <cell r="Q1111"/>
          <cell r="R1111"/>
          <cell r="S1111"/>
          <cell r="T1111">
            <v>8.7500000000000002E-4</v>
          </cell>
          <cell r="U1111"/>
          <cell r="V1111"/>
          <cell r="W1111"/>
        </row>
        <row r="1112">
          <cell r="A1112" t="str">
            <v>10127066-001LF</v>
          </cell>
          <cell r="B1112"/>
          <cell r="C1112"/>
          <cell r="D1112"/>
          <cell r="E1112"/>
          <cell r="F1112"/>
          <cell r="G1112"/>
          <cell r="H1112"/>
          <cell r="I1112"/>
          <cell r="J1112"/>
          <cell r="K1112"/>
          <cell r="L1112"/>
          <cell r="M1112"/>
          <cell r="N1112"/>
          <cell r="O1112"/>
          <cell r="P1112"/>
          <cell r="Q1112"/>
          <cell r="R1112"/>
          <cell r="S1112"/>
          <cell r="T1112">
            <v>0</v>
          </cell>
          <cell r="U1112"/>
          <cell r="V1112">
            <v>7.4999999999999993E-5</v>
          </cell>
          <cell r="W1112"/>
        </row>
        <row r="1113">
          <cell r="A1113" t="str">
            <v>10127952-011LF</v>
          </cell>
          <cell r="B1113"/>
          <cell r="C1113"/>
          <cell r="D1113"/>
          <cell r="E1113"/>
          <cell r="F1113">
            <v>8.0599999999999995E-3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  <cell r="P1113"/>
          <cell r="Q1113"/>
          <cell r="R1113">
            <v>0</v>
          </cell>
          <cell r="S1113"/>
          <cell r="T1113"/>
          <cell r="U1113"/>
          <cell r="V1113"/>
          <cell r="W1113"/>
        </row>
        <row r="1114">
          <cell r="A1114" t="str">
            <v>10127952-012LF</v>
          </cell>
          <cell r="B1114"/>
          <cell r="C1114"/>
          <cell r="D1114"/>
          <cell r="E1114"/>
          <cell r="F1114">
            <v>8.0599999999999995E-3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  <cell r="P1114"/>
          <cell r="Q1114"/>
          <cell r="R1114">
            <v>0</v>
          </cell>
          <cell r="S1114"/>
          <cell r="T1114"/>
          <cell r="U1114"/>
          <cell r="V1114"/>
          <cell r="W1114"/>
        </row>
        <row r="1115">
          <cell r="A1115" t="str">
            <v>10127953-002LF</v>
          </cell>
          <cell r="B1115"/>
          <cell r="C1115"/>
          <cell r="D1115"/>
          <cell r="E1115"/>
          <cell r="F1115"/>
          <cell r="G1115"/>
          <cell r="H1115"/>
          <cell r="I1115"/>
          <cell r="J1115"/>
          <cell r="K1115"/>
          <cell r="L1115"/>
          <cell r="M1115"/>
          <cell r="N1115"/>
          <cell r="O1115"/>
          <cell r="P1115"/>
          <cell r="Q1115"/>
          <cell r="R1115"/>
          <cell r="S1115"/>
          <cell r="T1115">
            <v>0</v>
          </cell>
          <cell r="U1115"/>
          <cell r="V1115"/>
          <cell r="W1115"/>
        </row>
        <row r="1116">
          <cell r="A1116" t="str">
            <v>10127954-002</v>
          </cell>
          <cell r="B1116"/>
          <cell r="C1116"/>
          <cell r="D1116"/>
          <cell r="E1116"/>
          <cell r="F1116"/>
          <cell r="G1116"/>
          <cell r="H1116"/>
          <cell r="I1116"/>
          <cell r="J1116"/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</row>
        <row r="1117">
          <cell r="A1117" t="str">
            <v>10127954-002LF</v>
          </cell>
          <cell r="B1117"/>
          <cell r="C1117"/>
          <cell r="D1117"/>
          <cell r="E1117"/>
          <cell r="F1117"/>
          <cell r="G1117"/>
          <cell r="H1117"/>
          <cell r="I1117"/>
          <cell r="J1117"/>
          <cell r="K1117"/>
          <cell r="L1117"/>
          <cell r="M1117"/>
          <cell r="N1117"/>
          <cell r="O1117"/>
          <cell r="P1117"/>
          <cell r="Q1117"/>
          <cell r="R1117"/>
          <cell r="S1117"/>
          <cell r="T1117">
            <v>0</v>
          </cell>
          <cell r="U1117"/>
          <cell r="V1117">
            <v>2.3340000000000001E-4</v>
          </cell>
          <cell r="W1117"/>
        </row>
        <row r="1118">
          <cell r="A1118" t="str">
            <v>10127954-003LF</v>
          </cell>
          <cell r="B1118"/>
          <cell r="C1118"/>
          <cell r="D1118"/>
          <cell r="E1118"/>
          <cell r="F1118">
            <v>3.1250000000000002E-3</v>
          </cell>
          <cell r="G1118">
            <v>1.9E-3</v>
          </cell>
          <cell r="H1118"/>
          <cell r="I1118"/>
          <cell r="J1118"/>
          <cell r="K1118"/>
          <cell r="L1118"/>
          <cell r="M1118"/>
          <cell r="N1118"/>
          <cell r="O1118"/>
          <cell r="P1118"/>
          <cell r="Q1118"/>
          <cell r="R1118">
            <v>0</v>
          </cell>
          <cell r="S1118"/>
          <cell r="T1118"/>
          <cell r="U1118"/>
          <cell r="V1118"/>
          <cell r="W1118"/>
        </row>
        <row r="1119">
          <cell r="A1119" t="str">
            <v>10128887-306</v>
          </cell>
          <cell r="B1119"/>
          <cell r="C1119"/>
          <cell r="D1119"/>
          <cell r="E1119"/>
          <cell r="F1119">
            <v>8.3333000000000001E-3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</row>
        <row r="1120">
          <cell r="A1120" t="str">
            <v>10129053-003</v>
          </cell>
          <cell r="B1120"/>
          <cell r="C1120"/>
          <cell r="D1120"/>
          <cell r="E1120"/>
          <cell r="F1120">
            <v>4.4444000000000003E-3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</row>
        <row r="1121">
          <cell r="A1121" t="str">
            <v>10129053-K03</v>
          </cell>
          <cell r="B1121"/>
          <cell r="C1121"/>
          <cell r="D1121"/>
          <cell r="E1121"/>
          <cell r="F1121">
            <v>4.4444000000000003E-3</v>
          </cell>
          <cell r="G1121"/>
          <cell r="H1121">
            <v>4.4444000000000003E-3</v>
          </cell>
          <cell r="I1121"/>
          <cell r="J1121"/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</row>
        <row r="1122">
          <cell r="A1122" t="str">
            <v>10129054-001</v>
          </cell>
          <cell r="B1122"/>
          <cell r="C1122"/>
          <cell r="D1122"/>
          <cell r="E1122"/>
          <cell r="F1122"/>
          <cell r="G1122"/>
          <cell r="H1122"/>
          <cell r="I1122"/>
          <cell r="J1122"/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</row>
        <row r="1123">
          <cell r="A1123" t="str">
            <v>10129054-004</v>
          </cell>
          <cell r="B1123"/>
          <cell r="C1123"/>
          <cell r="D1123"/>
          <cell r="E1123"/>
          <cell r="F1123"/>
          <cell r="G1123"/>
          <cell r="H1123"/>
          <cell r="I1123"/>
          <cell r="J1123"/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</row>
        <row r="1124">
          <cell r="A1124" t="str">
            <v>10129054-S01LF</v>
          </cell>
          <cell r="B1124"/>
          <cell r="C1124"/>
          <cell r="D1124"/>
          <cell r="E1124"/>
          <cell r="F1124"/>
          <cell r="G1124"/>
          <cell r="H1124"/>
          <cell r="I1124"/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>
            <v>9.9699999999999998E-5</v>
          </cell>
          <cell r="W1124"/>
        </row>
        <row r="1125">
          <cell r="A1125" t="str">
            <v>10129054-S04LF</v>
          </cell>
          <cell r="B1125"/>
          <cell r="C1125"/>
          <cell r="D1125"/>
          <cell r="E1125"/>
          <cell r="F1125"/>
          <cell r="G1125"/>
          <cell r="H1125"/>
          <cell r="I1125"/>
          <cell r="J1125"/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>
            <v>9.9699999999999998E-5</v>
          </cell>
          <cell r="W1125"/>
        </row>
        <row r="1126">
          <cell r="A1126" t="str">
            <v>10129443-099</v>
          </cell>
          <cell r="B1126"/>
          <cell r="C1126"/>
          <cell r="D1126"/>
          <cell r="E1126"/>
          <cell r="F1126">
            <v>2.0833000000000002E-3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</row>
        <row r="1127">
          <cell r="A1127" t="str">
            <v>10129443-162</v>
          </cell>
          <cell r="B1127"/>
          <cell r="C1127"/>
          <cell r="D1127"/>
          <cell r="E1127"/>
          <cell r="F1127">
            <v>2.7778E-3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</row>
        <row r="1128">
          <cell r="A1128" t="str">
            <v>10129500-6VB0870LF</v>
          </cell>
          <cell r="B1128"/>
          <cell r="C1128"/>
          <cell r="D1128"/>
          <cell r="E1128"/>
          <cell r="F1128"/>
          <cell r="G1128">
            <v>0.1232639</v>
          </cell>
          <cell r="H1128"/>
          <cell r="I1128"/>
          <cell r="J1128"/>
          <cell r="K1128"/>
          <cell r="L1128"/>
          <cell r="M1128"/>
          <cell r="N1128">
            <v>1.0020833</v>
          </cell>
          <cell r="O1128"/>
          <cell r="P1128"/>
          <cell r="Q1128"/>
          <cell r="R1128"/>
          <cell r="S1128"/>
          <cell r="T1128"/>
          <cell r="U1128"/>
          <cell r="V1128"/>
          <cell r="W1128"/>
        </row>
        <row r="1129">
          <cell r="A1129" t="str">
            <v>10129500-6VB0871LF</v>
          </cell>
          <cell r="B1129"/>
          <cell r="C1129"/>
          <cell r="D1129"/>
          <cell r="E1129"/>
          <cell r="F1129"/>
          <cell r="G1129">
            <v>0.1232639</v>
          </cell>
          <cell r="H1129"/>
          <cell r="I1129"/>
          <cell r="J1129"/>
          <cell r="K1129"/>
          <cell r="L1129"/>
          <cell r="M1129"/>
          <cell r="N1129">
            <v>1.0020833</v>
          </cell>
          <cell r="O1129"/>
          <cell r="P1129"/>
          <cell r="Q1129"/>
          <cell r="R1129"/>
          <cell r="S1129"/>
          <cell r="T1129"/>
          <cell r="U1129"/>
          <cell r="V1129"/>
          <cell r="W1129"/>
        </row>
        <row r="1130">
          <cell r="A1130" t="str">
            <v>10129500-6VB0872LF</v>
          </cell>
          <cell r="B1130"/>
          <cell r="C1130"/>
          <cell r="D1130"/>
          <cell r="E1130"/>
          <cell r="F1130"/>
          <cell r="G1130">
            <v>0.1232639</v>
          </cell>
          <cell r="H1130"/>
          <cell r="I1130"/>
          <cell r="J1130"/>
          <cell r="K1130"/>
          <cell r="L1130"/>
          <cell r="M1130"/>
          <cell r="N1130">
            <v>1.0020833</v>
          </cell>
          <cell r="O1130"/>
          <cell r="P1130"/>
          <cell r="Q1130"/>
          <cell r="R1130"/>
          <cell r="S1130"/>
          <cell r="T1130"/>
          <cell r="U1130"/>
          <cell r="V1130"/>
          <cell r="W1130"/>
        </row>
        <row r="1131">
          <cell r="A1131" t="str">
            <v>10129500-6VB0873LF</v>
          </cell>
          <cell r="B1131"/>
          <cell r="C1131"/>
          <cell r="D1131"/>
          <cell r="E1131"/>
          <cell r="F1131"/>
          <cell r="G1131">
            <v>0.1232639</v>
          </cell>
          <cell r="H1131"/>
          <cell r="I1131"/>
          <cell r="J1131"/>
          <cell r="K1131"/>
          <cell r="L1131"/>
          <cell r="M1131"/>
          <cell r="N1131">
            <v>1.0020833</v>
          </cell>
          <cell r="O1131"/>
          <cell r="P1131"/>
          <cell r="Q1131"/>
          <cell r="R1131"/>
          <cell r="S1131"/>
          <cell r="T1131"/>
          <cell r="U1131"/>
          <cell r="V1131"/>
          <cell r="W1131"/>
        </row>
        <row r="1132">
          <cell r="A1132" t="str">
            <v>10129500-6VB0874LF</v>
          </cell>
          <cell r="B1132"/>
          <cell r="C1132"/>
          <cell r="D1132"/>
          <cell r="E1132"/>
          <cell r="F1132"/>
          <cell r="G1132">
            <v>0.1232639</v>
          </cell>
          <cell r="H1132"/>
          <cell r="I1132"/>
          <cell r="J1132"/>
          <cell r="K1132"/>
          <cell r="L1132"/>
          <cell r="M1132"/>
          <cell r="N1132">
            <v>1.0020833</v>
          </cell>
          <cell r="O1132"/>
          <cell r="P1132"/>
          <cell r="Q1132"/>
          <cell r="R1132"/>
          <cell r="S1132"/>
          <cell r="T1132"/>
          <cell r="U1132"/>
          <cell r="V1132"/>
          <cell r="W1132"/>
        </row>
        <row r="1133">
          <cell r="A1133" t="str">
            <v>10129500-6VB0875LF</v>
          </cell>
          <cell r="B1133"/>
          <cell r="C1133"/>
          <cell r="D1133"/>
          <cell r="E1133"/>
          <cell r="F1133"/>
          <cell r="G1133">
            <v>0.1232639</v>
          </cell>
          <cell r="H1133"/>
          <cell r="I1133"/>
          <cell r="J1133"/>
          <cell r="K1133"/>
          <cell r="L1133"/>
          <cell r="M1133"/>
          <cell r="N1133">
            <v>1.0020833</v>
          </cell>
          <cell r="O1133"/>
          <cell r="P1133"/>
          <cell r="Q1133"/>
          <cell r="R1133"/>
          <cell r="S1133"/>
          <cell r="T1133"/>
          <cell r="U1133"/>
          <cell r="V1133"/>
          <cell r="W1133"/>
        </row>
        <row r="1134">
          <cell r="A1134" t="str">
            <v>10129500-6VB0876LF</v>
          </cell>
          <cell r="B1134"/>
          <cell r="C1134"/>
          <cell r="D1134"/>
          <cell r="E1134"/>
          <cell r="F1134"/>
          <cell r="G1134">
            <v>0.1232639</v>
          </cell>
          <cell r="H1134"/>
          <cell r="I1134"/>
          <cell r="J1134"/>
          <cell r="K1134"/>
          <cell r="L1134"/>
          <cell r="M1134"/>
          <cell r="N1134">
            <v>1.0020833</v>
          </cell>
          <cell r="O1134"/>
          <cell r="P1134"/>
          <cell r="Q1134"/>
          <cell r="R1134"/>
          <cell r="S1134"/>
          <cell r="T1134"/>
          <cell r="U1134"/>
          <cell r="V1134"/>
          <cell r="W1134"/>
        </row>
        <row r="1135">
          <cell r="A1135" t="str">
            <v>10129500-6VB0877LF</v>
          </cell>
          <cell r="B1135"/>
          <cell r="C1135"/>
          <cell r="D1135"/>
          <cell r="E1135"/>
          <cell r="F1135"/>
          <cell r="G1135">
            <v>0.1232639</v>
          </cell>
          <cell r="H1135"/>
          <cell r="I1135"/>
          <cell r="J1135"/>
          <cell r="K1135"/>
          <cell r="L1135"/>
          <cell r="M1135"/>
          <cell r="N1135">
            <v>1.0020833</v>
          </cell>
          <cell r="O1135"/>
          <cell r="P1135"/>
          <cell r="Q1135"/>
          <cell r="R1135"/>
          <cell r="S1135"/>
          <cell r="T1135"/>
          <cell r="U1135"/>
          <cell r="V1135"/>
          <cell r="W1135"/>
        </row>
        <row r="1136">
          <cell r="A1136" t="str">
            <v>10129500-6VB0878LF</v>
          </cell>
          <cell r="B1136"/>
          <cell r="C1136"/>
          <cell r="D1136"/>
          <cell r="E1136"/>
          <cell r="F1136"/>
          <cell r="G1136">
            <v>0.1232639</v>
          </cell>
          <cell r="H1136"/>
          <cell r="I1136"/>
          <cell r="J1136"/>
          <cell r="K1136"/>
          <cell r="L1136"/>
          <cell r="M1136"/>
          <cell r="N1136">
            <v>1.0020833</v>
          </cell>
          <cell r="O1136"/>
          <cell r="P1136"/>
          <cell r="Q1136"/>
          <cell r="R1136"/>
          <cell r="S1136"/>
          <cell r="T1136"/>
          <cell r="U1136"/>
          <cell r="V1136"/>
          <cell r="W1136"/>
        </row>
        <row r="1137">
          <cell r="A1137" t="str">
            <v>10129500-6VB0879LF</v>
          </cell>
          <cell r="B1137"/>
          <cell r="C1137"/>
          <cell r="D1137"/>
          <cell r="E1137"/>
          <cell r="F1137"/>
          <cell r="G1137">
            <v>0.1232639</v>
          </cell>
          <cell r="H1137"/>
          <cell r="I1137"/>
          <cell r="J1137"/>
          <cell r="K1137"/>
          <cell r="L1137"/>
          <cell r="M1137"/>
          <cell r="N1137">
            <v>1.0020833</v>
          </cell>
          <cell r="O1137"/>
          <cell r="P1137"/>
          <cell r="Q1137"/>
          <cell r="R1137"/>
          <cell r="S1137"/>
          <cell r="T1137"/>
          <cell r="U1137"/>
          <cell r="V1137"/>
          <cell r="W1137"/>
        </row>
        <row r="1138">
          <cell r="A1138" t="str">
            <v>10130389-001060</v>
          </cell>
          <cell r="B1138"/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</row>
        <row r="1139">
          <cell r="A1139" t="str">
            <v>10130389-001080</v>
          </cell>
          <cell r="B1139"/>
          <cell r="C1139"/>
          <cell r="D1139"/>
          <cell r="E1139"/>
          <cell r="F1139"/>
          <cell r="G1139"/>
          <cell r="H1139"/>
          <cell r="I1139"/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</row>
        <row r="1140">
          <cell r="A1140" t="str">
            <v>10130389-001100</v>
          </cell>
          <cell r="B1140"/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</row>
        <row r="1141">
          <cell r="A1141" t="str">
            <v>10130389-002060</v>
          </cell>
          <cell r="B1141"/>
          <cell r="C1141"/>
          <cell r="D1141"/>
          <cell r="E1141"/>
          <cell r="F1141"/>
          <cell r="G1141"/>
          <cell r="H1141"/>
          <cell r="I1141"/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</row>
        <row r="1142">
          <cell r="A1142" t="str">
            <v>10130389-002080</v>
          </cell>
          <cell r="B1142"/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</row>
        <row r="1143">
          <cell r="A1143" t="str">
            <v>10130389-002100</v>
          </cell>
          <cell r="B1143"/>
          <cell r="C1143"/>
          <cell r="D1143"/>
          <cell r="E1143"/>
          <cell r="F1143"/>
          <cell r="G1143"/>
          <cell r="H1143"/>
          <cell r="I1143"/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</row>
        <row r="1144">
          <cell r="A1144" t="str">
            <v>10130389-091061LF</v>
          </cell>
          <cell r="B1144"/>
          <cell r="C1144"/>
          <cell r="D1144"/>
          <cell r="E1144"/>
          <cell r="F1144"/>
          <cell r="G1144"/>
          <cell r="H1144"/>
          <cell r="I1144"/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>
            <v>1.01E-4</v>
          </cell>
          <cell r="W1144"/>
        </row>
        <row r="1145">
          <cell r="A1145" t="str">
            <v>10130389-091062LF</v>
          </cell>
          <cell r="B1145"/>
          <cell r="C1145"/>
          <cell r="D1145"/>
          <cell r="E1145"/>
          <cell r="F1145"/>
          <cell r="G1145"/>
          <cell r="H1145"/>
          <cell r="I1145"/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</row>
        <row r="1146">
          <cell r="A1146" t="str">
            <v>10130389-091081LF</v>
          </cell>
          <cell r="B1146"/>
          <cell r="C1146"/>
          <cell r="D1146"/>
          <cell r="E1146"/>
          <cell r="F1146"/>
          <cell r="G1146"/>
          <cell r="H1146"/>
          <cell r="I1146"/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>
            <v>1E-4</v>
          </cell>
          <cell r="W1146"/>
        </row>
        <row r="1147">
          <cell r="A1147" t="str">
            <v>10130389-091082LF</v>
          </cell>
          <cell r="B1147"/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</row>
        <row r="1148">
          <cell r="A1148" t="str">
            <v>10130389-091082P</v>
          </cell>
          <cell r="B1148"/>
          <cell r="C1148"/>
          <cell r="D1148"/>
          <cell r="E1148"/>
          <cell r="F1148"/>
          <cell r="G1148"/>
          <cell r="H1148"/>
          <cell r="I1148"/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>
            <v>1E-4</v>
          </cell>
          <cell r="W1148"/>
        </row>
        <row r="1149">
          <cell r="A1149" t="str">
            <v>10130389-091082S</v>
          </cell>
          <cell r="B1149"/>
          <cell r="C1149"/>
          <cell r="D1149"/>
          <cell r="E1149"/>
          <cell r="F1149"/>
          <cell r="G1149"/>
          <cell r="H1149"/>
          <cell r="I1149"/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</row>
        <row r="1150">
          <cell r="A1150" t="str">
            <v>10130389-091101LF</v>
          </cell>
          <cell r="B1150"/>
          <cell r="C1150"/>
          <cell r="D1150"/>
          <cell r="E1150"/>
          <cell r="F1150"/>
          <cell r="G1150"/>
          <cell r="H1150"/>
          <cell r="I1150"/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>
            <v>1E-4</v>
          </cell>
          <cell r="W1150"/>
        </row>
        <row r="1151">
          <cell r="A1151" t="str">
            <v>10130389-091102LF</v>
          </cell>
          <cell r="B1151"/>
          <cell r="C1151"/>
          <cell r="D1151"/>
          <cell r="E1151"/>
          <cell r="F1151"/>
          <cell r="G1151"/>
          <cell r="H1151"/>
          <cell r="I1151"/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</row>
        <row r="1152">
          <cell r="A1152" t="str">
            <v>10130389-091102P</v>
          </cell>
          <cell r="B1152"/>
          <cell r="C1152"/>
          <cell r="D1152"/>
          <cell r="E1152"/>
          <cell r="F1152"/>
          <cell r="G1152"/>
          <cell r="H1152"/>
          <cell r="I1152"/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>
            <v>1E-4</v>
          </cell>
          <cell r="W1152"/>
        </row>
        <row r="1153">
          <cell r="A1153" t="str">
            <v>10130389-091102S</v>
          </cell>
          <cell r="B1153"/>
          <cell r="C1153"/>
          <cell r="D1153"/>
          <cell r="E1153"/>
          <cell r="F1153"/>
          <cell r="G1153"/>
          <cell r="H1153"/>
          <cell r="I1153"/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</row>
        <row r="1154">
          <cell r="A1154" t="str">
            <v>10130389-092061LF</v>
          </cell>
          <cell r="B1154"/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>
            <v>1E-4</v>
          </cell>
          <cell r="W1154"/>
        </row>
        <row r="1155">
          <cell r="A1155" t="str">
            <v>10130389-092062LF</v>
          </cell>
          <cell r="B1155"/>
          <cell r="C1155"/>
          <cell r="D1155"/>
          <cell r="E1155"/>
          <cell r="F1155"/>
          <cell r="G1155"/>
          <cell r="H1155"/>
          <cell r="I1155"/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</row>
        <row r="1156">
          <cell r="A1156" t="str">
            <v>10130389-092062P</v>
          </cell>
          <cell r="B1156"/>
          <cell r="C1156"/>
          <cell r="D1156"/>
          <cell r="E1156"/>
          <cell r="F1156"/>
          <cell r="G1156"/>
          <cell r="H1156"/>
          <cell r="I1156"/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>
            <v>1E-4</v>
          </cell>
          <cell r="W1156"/>
        </row>
        <row r="1157">
          <cell r="A1157" t="str">
            <v>10130389-092062S</v>
          </cell>
          <cell r="B1157"/>
          <cell r="C1157"/>
          <cell r="D1157"/>
          <cell r="E1157"/>
          <cell r="F1157"/>
          <cell r="G1157"/>
          <cell r="H1157"/>
          <cell r="I1157"/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</row>
        <row r="1158">
          <cell r="A1158" t="str">
            <v>10130389-092081LF</v>
          </cell>
          <cell r="B1158"/>
          <cell r="C1158"/>
          <cell r="D1158"/>
          <cell r="E1158"/>
          <cell r="F1158"/>
          <cell r="G1158"/>
          <cell r="H1158"/>
          <cell r="I1158"/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>
            <v>1E-4</v>
          </cell>
          <cell r="W1158"/>
        </row>
        <row r="1159">
          <cell r="A1159" t="str">
            <v>10130389-092082LF</v>
          </cell>
          <cell r="B1159"/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</row>
        <row r="1160">
          <cell r="A1160" t="str">
            <v>10130389-092082P</v>
          </cell>
          <cell r="B1160"/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>
            <v>1E-4</v>
          </cell>
          <cell r="W1160"/>
        </row>
        <row r="1161">
          <cell r="A1161" t="str">
            <v>10130389-092082S</v>
          </cell>
          <cell r="B1161"/>
          <cell r="C1161"/>
          <cell r="D1161"/>
          <cell r="E1161"/>
          <cell r="F1161"/>
          <cell r="G1161"/>
          <cell r="H1161"/>
          <cell r="I1161"/>
          <cell r="J1161"/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</row>
        <row r="1162">
          <cell r="A1162" t="str">
            <v>10130389-092101LF</v>
          </cell>
          <cell r="B1162"/>
          <cell r="C1162"/>
          <cell r="D1162"/>
          <cell r="E1162"/>
          <cell r="F1162"/>
          <cell r="G1162"/>
          <cell r="H1162"/>
          <cell r="I1162"/>
          <cell r="J1162"/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>
            <v>1E-4</v>
          </cell>
          <cell r="W1162"/>
        </row>
        <row r="1163">
          <cell r="A1163" t="str">
            <v>10130389-092102LF</v>
          </cell>
          <cell r="B1163"/>
          <cell r="C1163"/>
          <cell r="D1163"/>
          <cell r="E1163"/>
          <cell r="F1163"/>
          <cell r="G1163"/>
          <cell r="H1163"/>
          <cell r="I1163"/>
          <cell r="J1163"/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</row>
        <row r="1164">
          <cell r="A1164" t="str">
            <v>10130389-092102P</v>
          </cell>
          <cell r="B1164"/>
          <cell r="C1164"/>
          <cell r="D1164"/>
          <cell r="E1164"/>
          <cell r="F1164"/>
          <cell r="G1164"/>
          <cell r="H1164"/>
          <cell r="I1164"/>
          <cell r="J1164"/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>
            <v>1E-4</v>
          </cell>
          <cell r="W1164"/>
        </row>
        <row r="1165">
          <cell r="A1165" t="str">
            <v>10130389-092102S</v>
          </cell>
          <cell r="B1165"/>
          <cell r="C1165"/>
          <cell r="D1165"/>
          <cell r="E1165"/>
          <cell r="F1165"/>
          <cell r="G1165"/>
          <cell r="H1165"/>
          <cell r="I1165"/>
          <cell r="J1165"/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</row>
        <row r="1166">
          <cell r="A1166" t="str">
            <v>10130664-1RF412LF</v>
          </cell>
          <cell r="B1166"/>
          <cell r="C1166"/>
          <cell r="D1166"/>
          <cell r="E1166"/>
          <cell r="F1166"/>
          <cell r="G1166">
            <v>2.0833299999999999E-2</v>
          </cell>
          <cell r="H1166"/>
          <cell r="I1166"/>
          <cell r="J1166"/>
          <cell r="K1166"/>
          <cell r="L1166"/>
          <cell r="M1166"/>
          <cell r="N1166">
            <v>0.27569440000000001</v>
          </cell>
          <cell r="O1166"/>
          <cell r="P1166"/>
          <cell r="Q1166"/>
          <cell r="R1166"/>
          <cell r="S1166"/>
          <cell r="T1166"/>
          <cell r="U1166"/>
          <cell r="V1166"/>
          <cell r="W1166"/>
        </row>
        <row r="1167">
          <cell r="A1167" t="str">
            <v>10130664-1RF474HF</v>
          </cell>
          <cell r="B1167"/>
          <cell r="C1167"/>
          <cell r="D1167"/>
          <cell r="E1167"/>
          <cell r="F1167"/>
          <cell r="G1167">
            <v>3.61111E-2</v>
          </cell>
          <cell r="H1167"/>
          <cell r="I1167"/>
          <cell r="J1167"/>
          <cell r="K1167"/>
          <cell r="L1167"/>
          <cell r="M1167"/>
          <cell r="N1167">
            <v>0.27534720000000001</v>
          </cell>
          <cell r="O1167"/>
          <cell r="P1167"/>
          <cell r="Q1167"/>
          <cell r="R1167"/>
          <cell r="S1167"/>
          <cell r="T1167"/>
          <cell r="U1167"/>
          <cell r="V1167"/>
          <cell r="W1167"/>
        </row>
        <row r="1168">
          <cell r="A1168" t="str">
            <v>10130664-1SF472HF</v>
          </cell>
          <cell r="B1168"/>
          <cell r="C1168"/>
          <cell r="D1168"/>
          <cell r="E1168"/>
          <cell r="F1168"/>
          <cell r="G1168">
            <v>5.1041700000000002E-2</v>
          </cell>
          <cell r="H1168"/>
          <cell r="I1168"/>
          <cell r="J1168"/>
          <cell r="K1168"/>
          <cell r="L1168"/>
          <cell r="M1168"/>
          <cell r="N1168">
            <v>0.15729170000000001</v>
          </cell>
          <cell r="O1168"/>
          <cell r="P1168"/>
          <cell r="Q1168"/>
          <cell r="R1168"/>
          <cell r="S1168"/>
          <cell r="T1168"/>
          <cell r="U1168"/>
          <cell r="V1168"/>
          <cell r="W1168"/>
        </row>
        <row r="1169">
          <cell r="A1169" t="str">
            <v>10130664-1SF473HF</v>
          </cell>
          <cell r="B1169"/>
          <cell r="C1169"/>
          <cell r="D1169"/>
          <cell r="E1169"/>
          <cell r="F1169"/>
          <cell r="G1169">
            <v>5.1041700000000002E-2</v>
          </cell>
          <cell r="H1169"/>
          <cell r="I1169"/>
          <cell r="J1169"/>
          <cell r="K1169"/>
          <cell r="L1169"/>
          <cell r="M1169"/>
          <cell r="N1169">
            <v>0.15729170000000001</v>
          </cell>
          <cell r="O1169"/>
          <cell r="P1169"/>
          <cell r="Q1169"/>
          <cell r="R1169"/>
          <cell r="S1169"/>
          <cell r="T1169"/>
          <cell r="U1169"/>
          <cell r="V1169"/>
          <cell r="W1169"/>
        </row>
        <row r="1170">
          <cell r="A1170" t="str">
            <v>10130664-2A0282LF</v>
          </cell>
          <cell r="B1170"/>
          <cell r="C1170"/>
          <cell r="D1170"/>
          <cell r="E1170"/>
          <cell r="F1170"/>
          <cell r="G1170"/>
          <cell r="H1170"/>
          <cell r="I1170"/>
          <cell r="J1170"/>
          <cell r="K1170"/>
          <cell r="L1170"/>
          <cell r="M1170"/>
          <cell r="N1170">
            <v>0.4</v>
          </cell>
          <cell r="O1170"/>
          <cell r="P1170"/>
          <cell r="Q1170"/>
          <cell r="R1170"/>
          <cell r="S1170"/>
          <cell r="T1170"/>
          <cell r="U1170"/>
          <cell r="V1170"/>
          <cell r="W1170"/>
        </row>
        <row r="1171">
          <cell r="A1171" t="str">
            <v>10130664-2A0283LF</v>
          </cell>
          <cell r="B1171"/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  <cell r="M1171"/>
          <cell r="N1171">
            <v>0.4</v>
          </cell>
          <cell r="O1171"/>
          <cell r="P1171"/>
          <cell r="Q1171"/>
          <cell r="R1171"/>
          <cell r="S1171"/>
          <cell r="T1171"/>
          <cell r="U1171"/>
          <cell r="V1171"/>
          <cell r="W1171"/>
        </row>
        <row r="1172">
          <cell r="A1172" t="str">
            <v>10130664-2A0296LF</v>
          </cell>
          <cell r="B1172"/>
          <cell r="C1172"/>
          <cell r="D1172"/>
          <cell r="E1172"/>
          <cell r="F1172"/>
          <cell r="G1172"/>
          <cell r="H1172"/>
          <cell r="I1172"/>
          <cell r="J1172"/>
          <cell r="K1172"/>
          <cell r="L1172"/>
          <cell r="M1172"/>
          <cell r="N1172">
            <v>0.25</v>
          </cell>
          <cell r="O1172"/>
          <cell r="P1172"/>
          <cell r="Q1172"/>
          <cell r="R1172"/>
          <cell r="S1172"/>
          <cell r="T1172"/>
          <cell r="U1172"/>
          <cell r="V1172"/>
          <cell r="W1172"/>
        </row>
        <row r="1173">
          <cell r="A1173" t="str">
            <v>10130664-2A0297LF</v>
          </cell>
          <cell r="B1173"/>
          <cell r="C1173"/>
          <cell r="D1173"/>
          <cell r="E1173"/>
          <cell r="F1173"/>
          <cell r="G1173"/>
          <cell r="H1173"/>
          <cell r="I1173"/>
          <cell r="J1173"/>
          <cell r="K1173"/>
          <cell r="L1173"/>
          <cell r="M1173"/>
          <cell r="N1173">
            <v>0.25</v>
          </cell>
          <cell r="O1173"/>
          <cell r="P1173"/>
          <cell r="Q1173"/>
          <cell r="R1173"/>
          <cell r="S1173"/>
          <cell r="T1173"/>
          <cell r="U1173"/>
          <cell r="V1173"/>
          <cell r="W1173"/>
        </row>
        <row r="1174">
          <cell r="A1174" t="str">
            <v>10130664-2A0298LF</v>
          </cell>
          <cell r="B1174"/>
          <cell r="C1174"/>
          <cell r="D1174"/>
          <cell r="E1174"/>
          <cell r="F1174"/>
          <cell r="G1174"/>
          <cell r="H1174"/>
          <cell r="I1174"/>
          <cell r="J1174"/>
          <cell r="K1174"/>
          <cell r="L1174"/>
          <cell r="M1174"/>
          <cell r="N1174">
            <v>0.25</v>
          </cell>
          <cell r="O1174"/>
          <cell r="P1174"/>
          <cell r="Q1174"/>
          <cell r="R1174"/>
          <cell r="S1174"/>
          <cell r="T1174"/>
          <cell r="U1174"/>
          <cell r="V1174"/>
          <cell r="W1174"/>
        </row>
        <row r="1175">
          <cell r="A1175" t="str">
            <v>10130664-2A0312LF</v>
          </cell>
          <cell r="B1175"/>
          <cell r="C1175"/>
          <cell r="D1175"/>
          <cell r="E1175"/>
          <cell r="F1175"/>
          <cell r="G1175"/>
          <cell r="H1175"/>
          <cell r="I1175"/>
          <cell r="J1175"/>
          <cell r="K1175"/>
          <cell r="L1175"/>
          <cell r="M1175"/>
          <cell r="N1175">
            <v>0.4</v>
          </cell>
          <cell r="O1175"/>
          <cell r="P1175"/>
          <cell r="Q1175"/>
          <cell r="R1175"/>
          <cell r="S1175"/>
          <cell r="T1175"/>
          <cell r="U1175"/>
          <cell r="V1175"/>
          <cell r="W1175"/>
        </row>
        <row r="1176">
          <cell r="A1176" t="str">
            <v>10130664-2A0313LF</v>
          </cell>
          <cell r="B1176"/>
          <cell r="C1176"/>
          <cell r="D1176"/>
          <cell r="E1176"/>
          <cell r="F1176"/>
          <cell r="G1176"/>
          <cell r="H1176"/>
          <cell r="I1176"/>
          <cell r="J1176"/>
          <cell r="K1176"/>
          <cell r="L1176"/>
          <cell r="M1176"/>
          <cell r="N1176">
            <v>0.4</v>
          </cell>
          <cell r="O1176"/>
          <cell r="P1176"/>
          <cell r="Q1176"/>
          <cell r="R1176"/>
          <cell r="S1176"/>
          <cell r="T1176"/>
          <cell r="U1176"/>
          <cell r="V1176"/>
          <cell r="W1176"/>
        </row>
        <row r="1177">
          <cell r="A1177" t="str">
            <v>10130664-2A0322LF</v>
          </cell>
          <cell r="B1177"/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  <cell r="M1177"/>
          <cell r="N1177">
            <v>0.4</v>
          </cell>
          <cell r="O1177"/>
          <cell r="P1177"/>
          <cell r="Q1177"/>
          <cell r="R1177"/>
          <cell r="S1177"/>
          <cell r="T1177"/>
          <cell r="U1177"/>
          <cell r="V1177"/>
          <cell r="W1177"/>
        </row>
        <row r="1178">
          <cell r="A1178" t="str">
            <v>10130664-2A0362LF</v>
          </cell>
          <cell r="B1178"/>
          <cell r="C1178"/>
          <cell r="D1178"/>
          <cell r="E1178"/>
          <cell r="F1178"/>
          <cell r="G1178">
            <v>1.9097200000000002E-2</v>
          </cell>
          <cell r="H1178"/>
          <cell r="I1178"/>
          <cell r="J1178"/>
          <cell r="K1178"/>
          <cell r="L1178"/>
          <cell r="M1178"/>
          <cell r="N1178">
            <v>0.14930560000000001</v>
          </cell>
          <cell r="O1178"/>
          <cell r="P1178"/>
          <cell r="Q1178"/>
          <cell r="R1178"/>
          <cell r="S1178"/>
          <cell r="T1178"/>
          <cell r="U1178"/>
          <cell r="V1178"/>
          <cell r="W1178"/>
        </row>
        <row r="1179">
          <cell r="A1179" t="str">
            <v>10130664-2A0363LF</v>
          </cell>
          <cell r="B1179"/>
          <cell r="C1179"/>
          <cell r="D1179"/>
          <cell r="E1179"/>
          <cell r="F1179"/>
          <cell r="G1179">
            <v>1.9097200000000002E-2</v>
          </cell>
          <cell r="H1179"/>
          <cell r="I1179"/>
          <cell r="J1179"/>
          <cell r="K1179"/>
          <cell r="L1179"/>
          <cell r="M1179"/>
          <cell r="N1179">
            <v>0.14930560000000001</v>
          </cell>
          <cell r="O1179"/>
          <cell r="P1179"/>
          <cell r="Q1179"/>
          <cell r="R1179"/>
          <cell r="S1179"/>
          <cell r="T1179"/>
          <cell r="U1179"/>
          <cell r="V1179"/>
          <cell r="W1179"/>
        </row>
        <row r="1180">
          <cell r="A1180" t="str">
            <v>10130664-2D0186LF</v>
          </cell>
          <cell r="B1180"/>
          <cell r="C1180"/>
          <cell r="D1180"/>
          <cell r="E1180"/>
          <cell r="F1180"/>
          <cell r="G1180"/>
          <cell r="H1180"/>
          <cell r="I1180"/>
          <cell r="J1180"/>
          <cell r="K1180"/>
          <cell r="L1180"/>
          <cell r="M1180"/>
          <cell r="N1180">
            <v>0.15</v>
          </cell>
          <cell r="O1180"/>
          <cell r="P1180"/>
          <cell r="Q1180"/>
          <cell r="R1180"/>
          <cell r="S1180"/>
          <cell r="T1180"/>
          <cell r="U1180"/>
          <cell r="V1180"/>
          <cell r="W1180"/>
        </row>
        <row r="1181">
          <cell r="A1181" t="str">
            <v>10130664-3A0250LF</v>
          </cell>
          <cell r="B1181"/>
          <cell r="C1181"/>
          <cell r="D1181"/>
          <cell r="E1181"/>
          <cell r="F1181"/>
          <cell r="G1181"/>
          <cell r="H1181"/>
          <cell r="I1181"/>
          <cell r="J1181"/>
          <cell r="K1181"/>
          <cell r="L1181"/>
          <cell r="M1181"/>
          <cell r="N1181">
            <v>0.42</v>
          </cell>
          <cell r="O1181"/>
          <cell r="P1181"/>
          <cell r="Q1181"/>
          <cell r="R1181"/>
          <cell r="S1181"/>
          <cell r="T1181"/>
          <cell r="U1181"/>
          <cell r="V1181"/>
          <cell r="W1181"/>
        </row>
        <row r="1182">
          <cell r="A1182" t="str">
            <v>10130664-3A0263LF</v>
          </cell>
          <cell r="B1182"/>
          <cell r="C1182"/>
          <cell r="D1182"/>
          <cell r="E1182"/>
          <cell r="F1182"/>
          <cell r="G1182"/>
          <cell r="H1182"/>
          <cell r="I1182"/>
          <cell r="J1182"/>
          <cell r="K1182"/>
          <cell r="L1182"/>
          <cell r="M1182"/>
          <cell r="N1182">
            <v>0.625</v>
          </cell>
          <cell r="O1182"/>
          <cell r="P1182"/>
          <cell r="Q1182"/>
          <cell r="R1182"/>
          <cell r="S1182"/>
          <cell r="T1182"/>
          <cell r="U1182"/>
          <cell r="V1182"/>
          <cell r="W1182"/>
        </row>
        <row r="1183">
          <cell r="A1183" t="str">
            <v>10130664-3B0223LF</v>
          </cell>
          <cell r="B1183"/>
          <cell r="C1183"/>
          <cell r="D1183"/>
          <cell r="E1183"/>
          <cell r="F1183"/>
          <cell r="G1183"/>
          <cell r="H1183"/>
          <cell r="I1183"/>
          <cell r="J1183"/>
          <cell r="K1183"/>
          <cell r="L1183"/>
          <cell r="M1183"/>
          <cell r="N1183">
            <v>0.25</v>
          </cell>
          <cell r="O1183"/>
          <cell r="P1183"/>
          <cell r="Q1183"/>
          <cell r="R1183"/>
          <cell r="S1183"/>
          <cell r="T1183"/>
          <cell r="U1183"/>
          <cell r="V1183"/>
          <cell r="W1183"/>
        </row>
        <row r="1184">
          <cell r="A1184" t="str">
            <v>10130664-3B0254LF</v>
          </cell>
          <cell r="B1184"/>
          <cell r="C1184"/>
          <cell r="D1184"/>
          <cell r="E1184"/>
          <cell r="F1184"/>
          <cell r="G1184"/>
          <cell r="H1184"/>
          <cell r="I1184"/>
          <cell r="J1184"/>
          <cell r="K1184"/>
          <cell r="L1184"/>
          <cell r="M1184"/>
          <cell r="N1184">
            <v>0.3</v>
          </cell>
          <cell r="O1184"/>
          <cell r="P1184"/>
          <cell r="Q1184"/>
          <cell r="R1184"/>
          <cell r="S1184"/>
          <cell r="T1184"/>
          <cell r="U1184"/>
          <cell r="V1184"/>
          <cell r="W1184"/>
        </row>
        <row r="1185">
          <cell r="A1185" t="str">
            <v>10130664-3B0287LF</v>
          </cell>
          <cell r="B1185"/>
          <cell r="C1185"/>
          <cell r="D1185"/>
          <cell r="E1185"/>
          <cell r="F1185"/>
          <cell r="G1185">
            <v>5.5555599999999997E-2</v>
          </cell>
          <cell r="H1185"/>
          <cell r="I1185"/>
          <cell r="J1185"/>
          <cell r="K1185"/>
          <cell r="L1185"/>
          <cell r="M1185"/>
          <cell r="N1185">
            <v>0.46319440000000001</v>
          </cell>
          <cell r="O1185"/>
          <cell r="P1185"/>
          <cell r="Q1185"/>
          <cell r="R1185"/>
          <cell r="S1185"/>
          <cell r="T1185"/>
          <cell r="U1185"/>
          <cell r="V1185"/>
          <cell r="W1185"/>
        </row>
        <row r="1186">
          <cell r="A1186" t="str">
            <v>10130664-3B0319HLF</v>
          </cell>
          <cell r="B1186"/>
          <cell r="C1186"/>
          <cell r="D1186"/>
          <cell r="E1186"/>
          <cell r="F1186"/>
          <cell r="G1186">
            <v>3.1597199999999999E-2</v>
          </cell>
          <cell r="H1186"/>
          <cell r="I1186"/>
          <cell r="J1186"/>
          <cell r="K1186"/>
          <cell r="L1186"/>
          <cell r="M1186"/>
          <cell r="N1186">
            <v>0.2434028</v>
          </cell>
          <cell r="O1186"/>
          <cell r="P1186"/>
          <cell r="Q1186"/>
          <cell r="R1186"/>
          <cell r="S1186"/>
          <cell r="T1186"/>
          <cell r="U1186"/>
          <cell r="V1186"/>
          <cell r="W1186"/>
        </row>
        <row r="1187">
          <cell r="A1187" t="str">
            <v>10130664-3B0359LF</v>
          </cell>
          <cell r="B1187"/>
          <cell r="C1187"/>
          <cell r="D1187"/>
          <cell r="E1187"/>
          <cell r="F1187"/>
          <cell r="G1187">
            <v>5.3749999999999999E-2</v>
          </cell>
          <cell r="H1187"/>
          <cell r="I1187"/>
          <cell r="J1187"/>
          <cell r="K1187"/>
          <cell r="L1187"/>
          <cell r="M1187"/>
          <cell r="N1187">
            <v>0.26344719999999999</v>
          </cell>
          <cell r="O1187"/>
          <cell r="P1187"/>
          <cell r="Q1187"/>
          <cell r="R1187"/>
          <cell r="S1187"/>
          <cell r="T1187"/>
          <cell r="U1187"/>
          <cell r="V1187"/>
          <cell r="W1187"/>
        </row>
        <row r="1188">
          <cell r="A1188" t="str">
            <v>10130664-3C0073QLF</v>
          </cell>
          <cell r="B1188"/>
          <cell r="C1188"/>
          <cell r="D1188"/>
          <cell r="E1188"/>
          <cell r="F1188"/>
          <cell r="G1188"/>
          <cell r="H1188"/>
          <cell r="I1188"/>
          <cell r="J1188"/>
          <cell r="K1188"/>
          <cell r="L1188"/>
          <cell r="M1188"/>
          <cell r="N1188">
            <v>0.14499999999999999</v>
          </cell>
          <cell r="O1188"/>
          <cell r="P1188"/>
          <cell r="Q1188"/>
          <cell r="R1188"/>
          <cell r="S1188"/>
          <cell r="T1188"/>
          <cell r="U1188"/>
          <cell r="V1188"/>
          <cell r="W1188"/>
        </row>
        <row r="1189">
          <cell r="A1189" t="str">
            <v>10130664-3C0151LF</v>
          </cell>
          <cell r="B1189"/>
          <cell r="C1189"/>
          <cell r="D1189"/>
          <cell r="E1189"/>
          <cell r="F1189"/>
          <cell r="G1189"/>
          <cell r="H1189"/>
          <cell r="I1189"/>
          <cell r="J1189"/>
          <cell r="K1189"/>
          <cell r="L1189"/>
          <cell r="M1189"/>
          <cell r="N1189">
            <v>0.14111109999999999</v>
          </cell>
          <cell r="O1189"/>
          <cell r="P1189"/>
          <cell r="Q1189"/>
          <cell r="R1189"/>
          <cell r="S1189"/>
          <cell r="T1189"/>
          <cell r="U1189"/>
          <cell r="V1189"/>
          <cell r="W1189"/>
        </row>
        <row r="1190">
          <cell r="A1190" t="str">
            <v>10130664-3D0049LF</v>
          </cell>
          <cell r="B1190"/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  <cell r="M1190"/>
          <cell r="N1190">
            <v>0.42499999999999999</v>
          </cell>
          <cell r="O1190"/>
          <cell r="P1190"/>
          <cell r="Q1190"/>
          <cell r="R1190"/>
          <cell r="S1190"/>
          <cell r="T1190"/>
          <cell r="U1190"/>
          <cell r="V1190"/>
          <cell r="W1190"/>
        </row>
        <row r="1191">
          <cell r="A1191" t="str">
            <v>10130664-3D0050LF</v>
          </cell>
          <cell r="B1191"/>
          <cell r="C1191"/>
          <cell r="D1191"/>
          <cell r="E1191"/>
          <cell r="F1191"/>
          <cell r="G1191"/>
          <cell r="H1191"/>
          <cell r="I1191"/>
          <cell r="J1191"/>
          <cell r="K1191"/>
          <cell r="L1191"/>
          <cell r="M1191"/>
          <cell r="N1191">
            <v>0.57388890000000004</v>
          </cell>
          <cell r="O1191"/>
          <cell r="P1191"/>
          <cell r="Q1191"/>
          <cell r="R1191"/>
          <cell r="S1191"/>
          <cell r="T1191"/>
          <cell r="U1191"/>
          <cell r="V1191"/>
          <cell r="W1191"/>
        </row>
        <row r="1192">
          <cell r="A1192" t="str">
            <v>10130664-3D0145LF</v>
          </cell>
          <cell r="B1192"/>
          <cell r="C1192"/>
          <cell r="D1192"/>
          <cell r="E1192"/>
          <cell r="F1192"/>
          <cell r="G1192"/>
          <cell r="H1192"/>
          <cell r="I1192"/>
          <cell r="J1192"/>
          <cell r="K1192"/>
          <cell r="L1192"/>
          <cell r="M1192"/>
          <cell r="N1192">
            <v>0.4</v>
          </cell>
          <cell r="O1192"/>
          <cell r="P1192"/>
          <cell r="Q1192"/>
          <cell r="R1192"/>
          <cell r="S1192"/>
          <cell r="T1192"/>
          <cell r="U1192"/>
          <cell r="V1192"/>
          <cell r="W1192"/>
        </row>
        <row r="1193">
          <cell r="A1193" t="str">
            <v>10130664-3D0146LF</v>
          </cell>
          <cell r="B1193"/>
          <cell r="C1193"/>
          <cell r="D1193"/>
          <cell r="E1193"/>
          <cell r="F1193"/>
          <cell r="G1193"/>
          <cell r="H1193"/>
          <cell r="I1193"/>
          <cell r="J1193"/>
          <cell r="K1193"/>
          <cell r="L1193"/>
          <cell r="M1193"/>
          <cell r="N1193">
            <v>0.4</v>
          </cell>
          <cell r="O1193"/>
          <cell r="P1193"/>
          <cell r="Q1193"/>
          <cell r="R1193"/>
          <cell r="S1193"/>
          <cell r="T1193"/>
          <cell r="U1193"/>
          <cell r="V1193"/>
          <cell r="W1193"/>
        </row>
        <row r="1194">
          <cell r="A1194" t="str">
            <v>10130664-3D0230LF</v>
          </cell>
          <cell r="B1194"/>
          <cell r="C1194"/>
          <cell r="D1194"/>
          <cell r="E1194"/>
          <cell r="F1194"/>
          <cell r="G1194"/>
          <cell r="H1194"/>
          <cell r="I1194"/>
          <cell r="J1194"/>
          <cell r="K1194"/>
          <cell r="L1194"/>
          <cell r="M1194"/>
          <cell r="N1194">
            <v>0.14000000000000001</v>
          </cell>
          <cell r="O1194"/>
          <cell r="P1194"/>
          <cell r="Q1194"/>
          <cell r="R1194"/>
          <cell r="S1194"/>
          <cell r="T1194"/>
          <cell r="U1194"/>
          <cell r="V1194"/>
          <cell r="W1194"/>
        </row>
        <row r="1195">
          <cell r="A1195" t="str">
            <v>10130664-3D0284LF</v>
          </cell>
          <cell r="B1195"/>
          <cell r="C1195"/>
          <cell r="D1195"/>
          <cell r="E1195"/>
          <cell r="F1195"/>
          <cell r="G1195"/>
          <cell r="H1195"/>
          <cell r="I1195"/>
          <cell r="J1195"/>
          <cell r="K1195"/>
          <cell r="L1195"/>
          <cell r="M1195"/>
          <cell r="N1195">
            <v>0.4</v>
          </cell>
          <cell r="O1195"/>
          <cell r="P1195"/>
          <cell r="Q1195"/>
          <cell r="R1195"/>
          <cell r="S1195"/>
          <cell r="T1195"/>
          <cell r="U1195"/>
          <cell r="V1195"/>
          <cell r="W1195"/>
        </row>
        <row r="1196">
          <cell r="A1196" t="str">
            <v>10130664-3D0302LF</v>
          </cell>
          <cell r="B1196"/>
          <cell r="C1196"/>
          <cell r="D1196"/>
          <cell r="E1196"/>
          <cell r="F1196"/>
          <cell r="G1196"/>
          <cell r="H1196"/>
          <cell r="I1196"/>
          <cell r="J1196"/>
          <cell r="K1196"/>
          <cell r="L1196"/>
          <cell r="M1196"/>
          <cell r="N1196">
            <v>0.155</v>
          </cell>
          <cell r="O1196"/>
          <cell r="P1196"/>
          <cell r="Q1196"/>
          <cell r="R1196"/>
          <cell r="S1196"/>
          <cell r="T1196"/>
          <cell r="U1196"/>
          <cell r="V1196"/>
          <cell r="W1196"/>
        </row>
        <row r="1197">
          <cell r="A1197" t="str">
            <v>10130664-3D0354LF</v>
          </cell>
          <cell r="B1197"/>
          <cell r="C1197"/>
          <cell r="D1197"/>
          <cell r="E1197"/>
          <cell r="F1197"/>
          <cell r="G1197"/>
          <cell r="H1197"/>
          <cell r="I1197"/>
          <cell r="J1197"/>
          <cell r="K1197"/>
          <cell r="L1197"/>
          <cell r="M1197"/>
          <cell r="N1197">
            <v>0.2</v>
          </cell>
          <cell r="O1197"/>
          <cell r="P1197"/>
          <cell r="Q1197"/>
          <cell r="R1197"/>
          <cell r="S1197"/>
          <cell r="T1197"/>
          <cell r="U1197"/>
          <cell r="V1197"/>
          <cell r="W1197"/>
        </row>
        <row r="1198">
          <cell r="A1198" t="str">
            <v>10130664-3D0355LF</v>
          </cell>
          <cell r="B1198"/>
          <cell r="C1198"/>
          <cell r="D1198"/>
          <cell r="E1198"/>
          <cell r="F1198"/>
          <cell r="G1198"/>
          <cell r="H1198"/>
          <cell r="I1198"/>
          <cell r="J1198"/>
          <cell r="K1198"/>
          <cell r="L1198"/>
          <cell r="M1198"/>
          <cell r="N1198">
            <v>0.2</v>
          </cell>
          <cell r="O1198"/>
          <cell r="P1198"/>
          <cell r="Q1198"/>
          <cell r="R1198"/>
          <cell r="S1198"/>
          <cell r="T1198"/>
          <cell r="U1198"/>
          <cell r="V1198"/>
          <cell r="W1198"/>
        </row>
        <row r="1199">
          <cell r="A1199" t="str">
            <v>10130664-3D0356LF</v>
          </cell>
          <cell r="B1199"/>
          <cell r="C1199"/>
          <cell r="D1199"/>
          <cell r="E1199"/>
          <cell r="F1199"/>
          <cell r="G1199"/>
          <cell r="H1199"/>
          <cell r="I1199"/>
          <cell r="J1199"/>
          <cell r="K1199"/>
          <cell r="L1199"/>
          <cell r="M1199"/>
          <cell r="N1199">
            <v>0.2</v>
          </cell>
          <cell r="O1199"/>
          <cell r="P1199"/>
          <cell r="Q1199"/>
          <cell r="R1199"/>
          <cell r="S1199"/>
          <cell r="T1199"/>
          <cell r="U1199"/>
          <cell r="V1199"/>
          <cell r="W1199"/>
        </row>
        <row r="1200">
          <cell r="A1200" t="str">
            <v>10130664-9A0250LF</v>
          </cell>
          <cell r="B1200"/>
          <cell r="C1200"/>
          <cell r="D1200"/>
          <cell r="E1200"/>
          <cell r="F1200"/>
          <cell r="G1200"/>
          <cell r="H1200"/>
          <cell r="I1200"/>
          <cell r="J1200"/>
          <cell r="K1200"/>
          <cell r="L1200"/>
          <cell r="M1200"/>
          <cell r="N1200">
            <v>0.42</v>
          </cell>
          <cell r="O1200"/>
          <cell r="P1200"/>
          <cell r="Q1200"/>
          <cell r="R1200"/>
          <cell r="S1200"/>
          <cell r="T1200"/>
          <cell r="U1200"/>
          <cell r="V1200"/>
          <cell r="W1200"/>
        </row>
        <row r="1201">
          <cell r="A1201" t="str">
            <v>10130664-9A0263LF</v>
          </cell>
          <cell r="B1201"/>
          <cell r="C1201"/>
          <cell r="D1201"/>
          <cell r="E1201"/>
          <cell r="F1201"/>
          <cell r="G1201"/>
          <cell r="H1201"/>
          <cell r="I1201"/>
          <cell r="J1201"/>
          <cell r="K1201"/>
          <cell r="L1201"/>
          <cell r="M1201"/>
          <cell r="N1201">
            <v>0.625</v>
          </cell>
          <cell r="O1201"/>
          <cell r="P1201"/>
          <cell r="Q1201"/>
          <cell r="R1201"/>
          <cell r="S1201"/>
          <cell r="T1201"/>
          <cell r="U1201"/>
          <cell r="V1201"/>
          <cell r="W1201"/>
        </row>
        <row r="1202">
          <cell r="A1202" t="str">
            <v>10130664-9B0223LF</v>
          </cell>
          <cell r="B1202"/>
          <cell r="C1202"/>
          <cell r="D1202"/>
          <cell r="E1202"/>
          <cell r="F1202"/>
          <cell r="G1202"/>
          <cell r="H1202"/>
          <cell r="I1202"/>
          <cell r="J1202"/>
          <cell r="K1202"/>
          <cell r="L1202"/>
          <cell r="M1202"/>
          <cell r="N1202">
            <v>0.25</v>
          </cell>
          <cell r="O1202"/>
          <cell r="P1202"/>
          <cell r="Q1202"/>
          <cell r="R1202"/>
          <cell r="S1202"/>
          <cell r="T1202"/>
          <cell r="U1202"/>
          <cell r="V1202"/>
          <cell r="W1202"/>
        </row>
        <row r="1203">
          <cell r="A1203" t="str">
            <v>10130664-9B0254LF</v>
          </cell>
          <cell r="B1203"/>
          <cell r="C1203"/>
          <cell r="D1203"/>
          <cell r="E1203"/>
          <cell r="F1203"/>
          <cell r="G1203"/>
          <cell r="H1203"/>
          <cell r="I1203"/>
          <cell r="J1203"/>
          <cell r="K1203"/>
          <cell r="L1203"/>
          <cell r="M1203"/>
          <cell r="N1203">
            <v>0.37951109999999999</v>
          </cell>
          <cell r="O1203"/>
          <cell r="P1203"/>
          <cell r="Q1203"/>
          <cell r="R1203"/>
          <cell r="S1203"/>
          <cell r="T1203"/>
          <cell r="U1203"/>
          <cell r="V1203"/>
          <cell r="W1203"/>
        </row>
        <row r="1204">
          <cell r="A1204" t="str">
            <v>10130664-9B0287LF</v>
          </cell>
          <cell r="B1204"/>
          <cell r="C1204"/>
          <cell r="D1204"/>
          <cell r="E1204"/>
          <cell r="F1204"/>
          <cell r="G1204">
            <v>5.5555599999999997E-2</v>
          </cell>
          <cell r="H1204"/>
          <cell r="I1204"/>
          <cell r="J1204"/>
          <cell r="K1204"/>
          <cell r="L1204"/>
          <cell r="M1204"/>
          <cell r="N1204">
            <v>0.46319440000000001</v>
          </cell>
          <cell r="O1204"/>
          <cell r="P1204"/>
          <cell r="Q1204"/>
          <cell r="R1204"/>
          <cell r="S1204"/>
          <cell r="T1204"/>
          <cell r="U1204"/>
          <cell r="V1204"/>
          <cell r="W1204"/>
        </row>
        <row r="1205">
          <cell r="A1205" t="str">
            <v>10130664-9B0288LF</v>
          </cell>
          <cell r="B1205"/>
          <cell r="C1205"/>
          <cell r="D1205"/>
          <cell r="E1205"/>
          <cell r="F1205"/>
          <cell r="G1205">
            <v>5.2083299999999999E-2</v>
          </cell>
          <cell r="H1205"/>
          <cell r="I1205"/>
          <cell r="J1205"/>
          <cell r="K1205"/>
          <cell r="L1205"/>
          <cell r="M1205"/>
          <cell r="N1205">
            <v>0.22812499999999999</v>
          </cell>
          <cell r="O1205"/>
          <cell r="P1205"/>
          <cell r="Q1205"/>
          <cell r="R1205"/>
          <cell r="S1205"/>
          <cell r="T1205"/>
          <cell r="U1205"/>
          <cell r="V1205"/>
          <cell r="W1205">
            <v>0.16972219999999999</v>
          </cell>
        </row>
        <row r="1206">
          <cell r="A1206" t="str">
            <v>10130664-9B0319HLF</v>
          </cell>
          <cell r="B1206"/>
          <cell r="C1206"/>
          <cell r="D1206"/>
          <cell r="E1206"/>
          <cell r="F1206"/>
          <cell r="G1206">
            <v>3.1597199999999999E-2</v>
          </cell>
          <cell r="H1206"/>
          <cell r="I1206"/>
          <cell r="J1206"/>
          <cell r="K1206"/>
          <cell r="L1206"/>
          <cell r="M1206"/>
          <cell r="N1206">
            <v>0.2434028</v>
          </cell>
          <cell r="O1206"/>
          <cell r="P1206"/>
          <cell r="Q1206"/>
          <cell r="R1206"/>
          <cell r="S1206"/>
          <cell r="T1206"/>
          <cell r="U1206"/>
          <cell r="V1206"/>
          <cell r="W1206"/>
        </row>
        <row r="1207">
          <cell r="A1207" t="str">
            <v>10130664-9B0337LF</v>
          </cell>
          <cell r="B1207"/>
          <cell r="C1207"/>
          <cell r="D1207"/>
          <cell r="E1207"/>
          <cell r="F1207"/>
          <cell r="G1207">
            <v>0.15157219999999999</v>
          </cell>
          <cell r="H1207"/>
          <cell r="I1207"/>
          <cell r="J1207"/>
          <cell r="K1207"/>
          <cell r="L1207"/>
          <cell r="M1207"/>
          <cell r="N1207">
            <v>0.16562499999999999</v>
          </cell>
          <cell r="O1207"/>
          <cell r="P1207"/>
          <cell r="Q1207"/>
          <cell r="R1207"/>
          <cell r="S1207"/>
          <cell r="T1207"/>
          <cell r="U1207"/>
          <cell r="V1207"/>
          <cell r="W1207"/>
        </row>
        <row r="1208">
          <cell r="A1208" t="str">
            <v>10130664-9B0359LF</v>
          </cell>
          <cell r="B1208"/>
          <cell r="C1208"/>
          <cell r="D1208"/>
          <cell r="E1208"/>
          <cell r="F1208"/>
          <cell r="G1208">
            <v>5.3749999999999999E-2</v>
          </cell>
          <cell r="H1208"/>
          <cell r="I1208"/>
          <cell r="J1208"/>
          <cell r="K1208"/>
          <cell r="L1208"/>
          <cell r="M1208"/>
          <cell r="N1208">
            <v>0.26344719999999999</v>
          </cell>
          <cell r="O1208"/>
          <cell r="P1208"/>
          <cell r="Q1208"/>
          <cell r="R1208"/>
          <cell r="S1208"/>
          <cell r="T1208"/>
          <cell r="U1208"/>
          <cell r="V1208"/>
          <cell r="W1208"/>
        </row>
        <row r="1209">
          <cell r="A1209" t="str">
            <v>10130664-9C0073QLF</v>
          </cell>
          <cell r="B1209"/>
          <cell r="C1209"/>
          <cell r="D1209"/>
          <cell r="E1209"/>
          <cell r="F1209"/>
          <cell r="G1209"/>
          <cell r="H1209"/>
          <cell r="I1209"/>
          <cell r="J1209"/>
          <cell r="K1209"/>
          <cell r="L1209"/>
          <cell r="M1209"/>
          <cell r="N1209">
            <v>0.14499999999999999</v>
          </cell>
          <cell r="O1209"/>
          <cell r="P1209"/>
          <cell r="Q1209"/>
          <cell r="R1209"/>
          <cell r="S1209"/>
          <cell r="T1209"/>
          <cell r="U1209"/>
          <cell r="V1209"/>
          <cell r="W1209"/>
        </row>
        <row r="1210">
          <cell r="A1210" t="str">
            <v>10130664-9C0151LF</v>
          </cell>
          <cell r="B1210"/>
          <cell r="C1210"/>
          <cell r="D1210"/>
          <cell r="E1210"/>
          <cell r="F1210"/>
          <cell r="G1210"/>
          <cell r="H1210"/>
          <cell r="I1210"/>
          <cell r="J1210"/>
          <cell r="K1210"/>
          <cell r="L1210"/>
          <cell r="M1210"/>
          <cell r="N1210">
            <v>0.14111109999999999</v>
          </cell>
          <cell r="O1210"/>
          <cell r="P1210"/>
          <cell r="Q1210"/>
          <cell r="R1210"/>
          <cell r="S1210"/>
          <cell r="T1210"/>
          <cell r="U1210"/>
          <cell r="V1210"/>
          <cell r="W1210"/>
        </row>
        <row r="1211">
          <cell r="A1211" t="str">
            <v>10130664-9C0151QLF</v>
          </cell>
          <cell r="B1211"/>
          <cell r="C1211"/>
          <cell r="D1211"/>
          <cell r="E1211"/>
          <cell r="F1211"/>
          <cell r="G1211"/>
          <cell r="H1211"/>
          <cell r="I1211"/>
          <cell r="J1211"/>
          <cell r="K1211"/>
          <cell r="L1211"/>
          <cell r="M1211"/>
          <cell r="N1211">
            <v>0.14111109999999999</v>
          </cell>
          <cell r="O1211"/>
          <cell r="P1211"/>
          <cell r="Q1211"/>
          <cell r="R1211"/>
          <cell r="S1211"/>
          <cell r="T1211"/>
          <cell r="U1211"/>
          <cell r="V1211"/>
          <cell r="W1211"/>
        </row>
        <row r="1212">
          <cell r="A1212" t="str">
            <v>10130664-9D0119LF</v>
          </cell>
          <cell r="B1212"/>
          <cell r="C1212"/>
          <cell r="D1212"/>
          <cell r="E1212"/>
          <cell r="F1212"/>
          <cell r="G1212">
            <v>1.5277799999999999E-2</v>
          </cell>
          <cell r="H1212"/>
          <cell r="I1212"/>
          <cell r="J1212"/>
          <cell r="K1212"/>
          <cell r="L1212"/>
          <cell r="M1212"/>
          <cell r="N1212">
            <v>5.9722200000000003E-2</v>
          </cell>
          <cell r="O1212"/>
          <cell r="P1212"/>
          <cell r="Q1212"/>
          <cell r="R1212"/>
          <cell r="S1212"/>
          <cell r="T1212"/>
          <cell r="U1212"/>
          <cell r="V1212"/>
          <cell r="W1212"/>
        </row>
        <row r="1213">
          <cell r="A1213" t="str">
            <v>10130664-9D0230LF</v>
          </cell>
          <cell r="B1213"/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  <cell r="M1213"/>
          <cell r="N1213">
            <v>0.14000000000000001</v>
          </cell>
          <cell r="O1213"/>
          <cell r="P1213"/>
          <cell r="Q1213"/>
          <cell r="R1213"/>
          <cell r="S1213"/>
          <cell r="T1213"/>
          <cell r="U1213"/>
          <cell r="V1213"/>
          <cell r="W1213"/>
        </row>
        <row r="1214">
          <cell r="A1214" t="str">
            <v>10130664-9D0354LF</v>
          </cell>
          <cell r="B1214"/>
          <cell r="C1214"/>
          <cell r="D1214"/>
          <cell r="E1214"/>
          <cell r="F1214"/>
          <cell r="G1214"/>
          <cell r="H1214"/>
          <cell r="I1214"/>
          <cell r="J1214"/>
          <cell r="K1214"/>
          <cell r="L1214"/>
          <cell r="M1214"/>
          <cell r="N1214">
            <v>0.2</v>
          </cell>
          <cell r="O1214"/>
          <cell r="P1214"/>
          <cell r="Q1214"/>
          <cell r="R1214"/>
          <cell r="S1214"/>
          <cell r="T1214"/>
          <cell r="U1214"/>
          <cell r="V1214"/>
          <cell r="W1214"/>
        </row>
        <row r="1215">
          <cell r="A1215" t="str">
            <v>10130664-9D0355LF</v>
          </cell>
          <cell r="B1215"/>
          <cell r="C1215"/>
          <cell r="D1215"/>
          <cell r="E1215"/>
          <cell r="F1215"/>
          <cell r="G1215"/>
          <cell r="H1215"/>
          <cell r="I1215"/>
          <cell r="J1215"/>
          <cell r="K1215"/>
          <cell r="L1215"/>
          <cell r="M1215"/>
          <cell r="N1215">
            <v>0.2</v>
          </cell>
          <cell r="O1215"/>
          <cell r="P1215"/>
          <cell r="Q1215"/>
          <cell r="R1215"/>
          <cell r="S1215"/>
          <cell r="T1215"/>
          <cell r="U1215"/>
          <cell r="V1215"/>
          <cell r="W1215"/>
        </row>
        <row r="1216">
          <cell r="A1216" t="str">
            <v>10130664-9D0356LF</v>
          </cell>
          <cell r="B1216"/>
          <cell r="C1216"/>
          <cell r="D1216"/>
          <cell r="E1216"/>
          <cell r="F1216"/>
          <cell r="G1216"/>
          <cell r="H1216"/>
          <cell r="I1216"/>
          <cell r="J1216"/>
          <cell r="K1216"/>
          <cell r="L1216"/>
          <cell r="M1216"/>
          <cell r="N1216">
            <v>0.2</v>
          </cell>
          <cell r="O1216"/>
          <cell r="P1216"/>
          <cell r="Q1216"/>
          <cell r="R1216"/>
          <cell r="S1216"/>
          <cell r="T1216"/>
          <cell r="U1216"/>
          <cell r="V1216"/>
          <cell r="W1216"/>
        </row>
        <row r="1217">
          <cell r="A1217" t="str">
            <v>10130664-9RF438LF</v>
          </cell>
          <cell r="B1217"/>
          <cell r="C1217"/>
          <cell r="D1217"/>
          <cell r="E1217"/>
          <cell r="F1217"/>
          <cell r="G1217">
            <v>3.125E-2</v>
          </cell>
          <cell r="H1217"/>
          <cell r="I1217"/>
          <cell r="J1217"/>
          <cell r="K1217"/>
          <cell r="L1217"/>
          <cell r="M1217"/>
          <cell r="N1217">
            <v>0.21006939999999999</v>
          </cell>
          <cell r="O1217"/>
          <cell r="P1217"/>
          <cell r="Q1217"/>
          <cell r="R1217"/>
          <cell r="S1217"/>
          <cell r="T1217"/>
          <cell r="U1217"/>
          <cell r="V1217"/>
          <cell r="W1217"/>
        </row>
        <row r="1218">
          <cell r="A1218" t="str">
            <v>10130664-9RF474HF</v>
          </cell>
          <cell r="B1218"/>
          <cell r="C1218"/>
          <cell r="D1218"/>
          <cell r="E1218"/>
          <cell r="F1218"/>
          <cell r="G1218">
            <v>3.61111E-2</v>
          </cell>
          <cell r="H1218"/>
          <cell r="I1218"/>
          <cell r="J1218"/>
          <cell r="K1218"/>
          <cell r="L1218"/>
          <cell r="M1218"/>
          <cell r="N1218">
            <v>0.27534720000000001</v>
          </cell>
          <cell r="O1218"/>
          <cell r="P1218"/>
          <cell r="Q1218"/>
          <cell r="R1218"/>
          <cell r="S1218"/>
          <cell r="T1218"/>
          <cell r="U1218"/>
          <cell r="V1218"/>
          <cell r="W1218"/>
        </row>
        <row r="1219">
          <cell r="A1219" t="str">
            <v>10130664-9SF463LF</v>
          </cell>
          <cell r="B1219"/>
          <cell r="C1219"/>
          <cell r="D1219"/>
          <cell r="E1219"/>
          <cell r="F1219"/>
          <cell r="G1219">
            <v>2.25694E-2</v>
          </cell>
          <cell r="H1219"/>
          <cell r="I1219"/>
          <cell r="J1219"/>
          <cell r="K1219"/>
          <cell r="L1219"/>
          <cell r="M1219"/>
          <cell r="N1219">
            <v>0.1118056</v>
          </cell>
          <cell r="O1219"/>
          <cell r="P1219"/>
          <cell r="Q1219"/>
          <cell r="R1219"/>
          <cell r="S1219"/>
          <cell r="T1219"/>
          <cell r="U1219"/>
          <cell r="V1219"/>
          <cell r="W1219"/>
        </row>
        <row r="1220">
          <cell r="A1220" t="str">
            <v>10130664-9SF472HF</v>
          </cell>
          <cell r="B1220"/>
          <cell r="C1220"/>
          <cell r="D1220"/>
          <cell r="E1220"/>
          <cell r="F1220"/>
          <cell r="G1220">
            <v>5.1041700000000002E-2</v>
          </cell>
          <cell r="H1220"/>
          <cell r="I1220"/>
          <cell r="J1220"/>
          <cell r="K1220"/>
          <cell r="L1220"/>
          <cell r="M1220"/>
          <cell r="N1220">
            <v>0.15729170000000001</v>
          </cell>
          <cell r="O1220"/>
          <cell r="P1220"/>
          <cell r="Q1220"/>
          <cell r="R1220"/>
          <cell r="S1220"/>
          <cell r="T1220"/>
          <cell r="U1220"/>
          <cell r="V1220"/>
          <cell r="W1220"/>
        </row>
        <row r="1221">
          <cell r="A1221" t="str">
            <v>10130664-9SF473HF</v>
          </cell>
          <cell r="B1221"/>
          <cell r="C1221"/>
          <cell r="D1221"/>
          <cell r="E1221"/>
          <cell r="F1221"/>
          <cell r="G1221">
            <v>5.1041700000000002E-2</v>
          </cell>
          <cell r="H1221"/>
          <cell r="I1221"/>
          <cell r="J1221"/>
          <cell r="K1221"/>
          <cell r="L1221"/>
          <cell r="M1221"/>
          <cell r="N1221">
            <v>0.15729170000000001</v>
          </cell>
          <cell r="O1221"/>
          <cell r="P1221"/>
          <cell r="Q1221"/>
          <cell r="R1221"/>
          <cell r="S1221"/>
          <cell r="T1221"/>
          <cell r="U1221"/>
          <cell r="V1221"/>
          <cell r="W1221"/>
        </row>
        <row r="1222">
          <cell r="A1222" t="str">
            <v>10130768-001HLF</v>
          </cell>
          <cell r="B1222">
            <v>0</v>
          </cell>
          <cell r="C1222"/>
          <cell r="D1222"/>
          <cell r="E1222"/>
          <cell r="F1222"/>
          <cell r="G1222"/>
          <cell r="H1222"/>
          <cell r="I1222"/>
          <cell r="J1222"/>
          <cell r="K1222"/>
          <cell r="L1222"/>
          <cell r="M1222"/>
          <cell r="N1222"/>
          <cell r="O1222"/>
          <cell r="P1222"/>
          <cell r="Q1222"/>
          <cell r="R1222"/>
          <cell r="S1222">
            <v>6.6699999999999995E-5</v>
          </cell>
          <cell r="T1222"/>
          <cell r="U1222"/>
          <cell r="V1222"/>
          <cell r="W1222"/>
        </row>
        <row r="1223">
          <cell r="A1223" t="str">
            <v>10130768-001LF</v>
          </cell>
          <cell r="B1223">
            <v>0</v>
          </cell>
          <cell r="C1223"/>
          <cell r="D1223"/>
          <cell r="E1223"/>
          <cell r="F1223"/>
          <cell r="G1223"/>
          <cell r="H1223"/>
          <cell r="I1223"/>
          <cell r="J1223"/>
          <cell r="K1223"/>
          <cell r="L1223"/>
          <cell r="M1223"/>
          <cell r="N1223"/>
          <cell r="O1223"/>
          <cell r="P1223"/>
          <cell r="Q1223"/>
          <cell r="R1223"/>
          <cell r="S1223">
            <v>6.6699999999999995E-5</v>
          </cell>
          <cell r="T1223"/>
          <cell r="U1223"/>
          <cell r="V1223"/>
          <cell r="W1223"/>
        </row>
        <row r="1224">
          <cell r="A1224" t="str">
            <v>10130931-001</v>
          </cell>
          <cell r="B1224"/>
          <cell r="C1224"/>
          <cell r="D1224"/>
          <cell r="E1224"/>
          <cell r="F1224">
            <v>3.4719999999999998E-3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  <cell r="P1224"/>
          <cell r="Q1224"/>
          <cell r="R1224">
            <v>0</v>
          </cell>
          <cell r="S1224"/>
          <cell r="T1224"/>
          <cell r="U1224"/>
          <cell r="V1224"/>
          <cell r="W1224"/>
        </row>
        <row r="1225">
          <cell r="A1225" t="str">
            <v>10130932-001LF</v>
          </cell>
          <cell r="B1225">
            <v>0</v>
          </cell>
          <cell r="C1225"/>
          <cell r="D1225"/>
          <cell r="E1225"/>
          <cell r="F1225"/>
          <cell r="G1225">
            <v>6.2500000000000003E-3</v>
          </cell>
          <cell r="H1225"/>
          <cell r="I1225"/>
          <cell r="J1225"/>
          <cell r="K1225"/>
          <cell r="L1225"/>
          <cell r="M1225"/>
          <cell r="N1225">
            <v>1.332E-2</v>
          </cell>
          <cell r="O1225"/>
          <cell r="P1225"/>
          <cell r="Q1225"/>
          <cell r="R1225"/>
          <cell r="S1225"/>
          <cell r="T1225"/>
          <cell r="U1225"/>
          <cell r="V1225"/>
          <cell r="W1225"/>
        </row>
        <row r="1226">
          <cell r="A1226" t="str">
            <v>10130933-001</v>
          </cell>
          <cell r="B1226"/>
          <cell r="C1226"/>
          <cell r="D1226"/>
          <cell r="E1226"/>
          <cell r="F1226">
            <v>3.4719999999999998E-3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  <cell r="P1226"/>
          <cell r="Q1226"/>
          <cell r="R1226">
            <v>0</v>
          </cell>
          <cell r="S1226"/>
          <cell r="T1226"/>
          <cell r="U1226"/>
          <cell r="V1226"/>
          <cell r="W1226"/>
        </row>
        <row r="1227">
          <cell r="A1227" t="str">
            <v>10132381-20360LF</v>
          </cell>
          <cell r="B1227"/>
          <cell r="C1227"/>
          <cell r="D1227"/>
          <cell r="E1227"/>
          <cell r="F1227"/>
          <cell r="G1227">
            <v>6.7708000000000004E-3</v>
          </cell>
          <cell r="H1227"/>
          <cell r="I1227"/>
          <cell r="J1227"/>
          <cell r="K1227"/>
          <cell r="L1227"/>
          <cell r="M1227"/>
          <cell r="N1227">
            <v>5.2082999999999999E-3</v>
          </cell>
          <cell r="O1227"/>
          <cell r="P1227"/>
          <cell r="Q1227"/>
          <cell r="R1227"/>
          <cell r="S1227"/>
          <cell r="T1227"/>
          <cell r="U1227"/>
          <cell r="V1227"/>
          <cell r="W1227">
            <v>4.1666999999999997E-3</v>
          </cell>
        </row>
        <row r="1228">
          <cell r="A1228" t="str">
            <v>10132381-E20360LF</v>
          </cell>
          <cell r="B1228"/>
          <cell r="C1228"/>
          <cell r="D1228"/>
          <cell r="E1228"/>
          <cell r="F1228"/>
          <cell r="G1228">
            <v>6.7708000000000004E-3</v>
          </cell>
          <cell r="H1228"/>
          <cell r="I1228"/>
          <cell r="J1228"/>
          <cell r="K1228"/>
          <cell r="L1228"/>
          <cell r="M1228"/>
          <cell r="N1228">
            <v>5.2082999999999999E-3</v>
          </cell>
          <cell r="O1228"/>
          <cell r="P1228"/>
          <cell r="Q1228"/>
          <cell r="R1228"/>
          <cell r="S1228"/>
          <cell r="T1228"/>
          <cell r="U1228"/>
          <cell r="V1228"/>
          <cell r="W1228">
            <v>4.1666999999999997E-3</v>
          </cell>
        </row>
        <row r="1229">
          <cell r="A1229" t="str">
            <v>10132382-S011</v>
          </cell>
          <cell r="B1229"/>
          <cell r="C1229"/>
          <cell r="D1229"/>
          <cell r="E1229"/>
          <cell r="F1229"/>
          <cell r="G1229"/>
          <cell r="H1229"/>
          <cell r="I1229"/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>
            <v>3.3300000000000003E-5</v>
          </cell>
          <cell r="W1229"/>
        </row>
        <row r="1230">
          <cell r="A1230" t="str">
            <v>10136928-001</v>
          </cell>
          <cell r="B1230"/>
          <cell r="C1230"/>
          <cell r="D1230"/>
          <cell r="E1230"/>
          <cell r="F1230">
            <v>2.7780000000000001E-3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</row>
        <row r="1231">
          <cell r="A1231" t="str">
            <v>10138989-001</v>
          </cell>
          <cell r="B1231"/>
          <cell r="C1231"/>
          <cell r="D1231"/>
          <cell r="E1231"/>
          <cell r="F1231">
            <v>4.4444000000000003E-3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</row>
        <row r="1232">
          <cell r="A1232" t="str">
            <v>10138989-002</v>
          </cell>
          <cell r="B1232"/>
          <cell r="C1232"/>
          <cell r="D1232"/>
          <cell r="E1232"/>
          <cell r="F1232">
            <v>4.4444000000000003E-3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</row>
        <row r="1233">
          <cell r="A1233" t="str">
            <v>10139832-001</v>
          </cell>
          <cell r="B1233"/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</row>
        <row r="1234">
          <cell r="A1234" t="str">
            <v>10139832-001U</v>
          </cell>
          <cell r="B1234"/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</row>
        <row r="1235">
          <cell r="A1235" t="str">
            <v>10140847-3601800LF</v>
          </cell>
          <cell r="B1235"/>
          <cell r="C1235"/>
          <cell r="D1235"/>
          <cell r="E1235"/>
          <cell r="F1235"/>
          <cell r="G1235">
            <v>8.1597000000000006E-3</v>
          </cell>
          <cell r="H1235"/>
          <cell r="I1235"/>
          <cell r="J1235"/>
          <cell r="K1235"/>
          <cell r="L1235"/>
          <cell r="M1235"/>
          <cell r="N1235">
            <v>9.7222000000000003E-3</v>
          </cell>
          <cell r="O1235"/>
          <cell r="P1235"/>
          <cell r="Q1235"/>
          <cell r="R1235"/>
          <cell r="S1235"/>
          <cell r="T1235"/>
          <cell r="U1235"/>
          <cell r="V1235"/>
          <cell r="W1235">
            <v>7.2916999999999999E-3</v>
          </cell>
        </row>
        <row r="1236">
          <cell r="A1236" t="str">
            <v>10140847-36E1800LF</v>
          </cell>
          <cell r="B1236"/>
          <cell r="C1236"/>
          <cell r="D1236"/>
          <cell r="E1236"/>
          <cell r="F1236"/>
          <cell r="G1236">
            <v>8.1597000000000006E-3</v>
          </cell>
          <cell r="H1236"/>
          <cell r="I1236"/>
          <cell r="J1236"/>
          <cell r="K1236"/>
          <cell r="L1236"/>
          <cell r="M1236"/>
          <cell r="N1236">
            <v>9.7222000000000003E-3</v>
          </cell>
          <cell r="O1236"/>
          <cell r="P1236"/>
          <cell r="Q1236"/>
          <cell r="R1236"/>
          <cell r="S1236"/>
          <cell r="T1236"/>
          <cell r="U1236"/>
          <cell r="V1236"/>
          <cell r="W1236">
            <v>7.2916999999999999E-3</v>
          </cell>
        </row>
        <row r="1237">
          <cell r="A1237" t="str">
            <v>10141762-002</v>
          </cell>
          <cell r="B1237"/>
          <cell r="C1237"/>
          <cell r="D1237"/>
          <cell r="E1237"/>
          <cell r="F1237">
            <v>1.5E-3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</row>
        <row r="1238">
          <cell r="A1238" t="str">
            <v>10141762-003</v>
          </cell>
          <cell r="B1238"/>
          <cell r="C1238"/>
          <cell r="D1238"/>
          <cell r="E1238"/>
          <cell r="F1238">
            <v>2.5000000000000001E-3</v>
          </cell>
          <cell r="G1238"/>
          <cell r="H1238">
            <v>8.3330000000000003E-4</v>
          </cell>
          <cell r="I1238"/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</row>
        <row r="1239">
          <cell r="A1239" t="str">
            <v>10141963-002</v>
          </cell>
          <cell r="B1239"/>
          <cell r="C1239"/>
          <cell r="D1239"/>
          <cell r="E1239"/>
          <cell r="F1239">
            <v>1.5E-3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</row>
        <row r="1240">
          <cell r="A1240" t="str">
            <v>10141963-004</v>
          </cell>
          <cell r="B1240"/>
          <cell r="C1240"/>
          <cell r="D1240"/>
          <cell r="E1240"/>
          <cell r="F1240">
            <v>4.8611000000000001E-3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</row>
        <row r="1241">
          <cell r="A1241" t="str">
            <v>10141963-K02</v>
          </cell>
          <cell r="B1241"/>
          <cell r="C1241"/>
          <cell r="D1241"/>
          <cell r="E1241"/>
          <cell r="F1241">
            <v>4.7222000000000002E-3</v>
          </cell>
          <cell r="G1241"/>
          <cell r="H1241">
            <v>4.7222000000000002E-3</v>
          </cell>
          <cell r="I1241"/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</row>
        <row r="1242">
          <cell r="A1242" t="str">
            <v>10141963-K04</v>
          </cell>
          <cell r="B1242"/>
          <cell r="C1242"/>
          <cell r="D1242"/>
          <cell r="E1242"/>
          <cell r="F1242">
            <v>4.7222000000000002E-3</v>
          </cell>
          <cell r="G1242"/>
          <cell r="H1242">
            <v>4.7222000000000002E-3</v>
          </cell>
          <cell r="I1242"/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</row>
        <row r="1243">
          <cell r="A1243" t="str">
            <v>10142254-005</v>
          </cell>
          <cell r="B1243"/>
          <cell r="C1243"/>
          <cell r="D1243">
            <v>1.4E-3</v>
          </cell>
          <cell r="E1243"/>
          <cell r="F1243"/>
          <cell r="G1243"/>
          <cell r="H1243"/>
          <cell r="I1243"/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</row>
        <row r="1244">
          <cell r="A1244" t="str">
            <v>10142254-005S</v>
          </cell>
          <cell r="B1244"/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</row>
        <row r="1245">
          <cell r="A1245" t="str">
            <v>10142638-001LF</v>
          </cell>
          <cell r="B1245"/>
          <cell r="C1245">
            <v>0</v>
          </cell>
          <cell r="D1245"/>
          <cell r="E1245"/>
          <cell r="F1245"/>
          <cell r="G1245">
            <v>6.2500000000000003E-3</v>
          </cell>
          <cell r="H1245"/>
          <cell r="I1245"/>
          <cell r="J1245"/>
          <cell r="K1245"/>
          <cell r="L1245"/>
          <cell r="M1245"/>
          <cell r="N1245">
            <v>1.332E-2</v>
          </cell>
          <cell r="O1245"/>
          <cell r="P1245"/>
          <cell r="Q1245"/>
          <cell r="R1245"/>
          <cell r="S1245"/>
          <cell r="T1245"/>
          <cell r="U1245"/>
          <cell r="V1245"/>
          <cell r="W1245"/>
        </row>
        <row r="1246">
          <cell r="A1246" t="str">
            <v>10142639-001LF</v>
          </cell>
          <cell r="B1246"/>
          <cell r="C1246">
            <v>0</v>
          </cell>
          <cell r="D1246"/>
          <cell r="E1246"/>
          <cell r="F1246"/>
          <cell r="G1246">
            <v>3.65E-3</v>
          </cell>
          <cell r="H1246"/>
          <cell r="I1246"/>
          <cell r="J1246"/>
          <cell r="K1246"/>
          <cell r="L1246"/>
          <cell r="M1246"/>
          <cell r="N1246">
            <v>1.17E-3</v>
          </cell>
          <cell r="O1246"/>
          <cell r="P1246"/>
          <cell r="Q1246"/>
          <cell r="R1246"/>
          <cell r="S1246"/>
          <cell r="T1246"/>
          <cell r="U1246"/>
          <cell r="V1246"/>
          <cell r="W1246"/>
        </row>
        <row r="1247">
          <cell r="A1247" t="str">
            <v>10142640-001LF</v>
          </cell>
          <cell r="B1247"/>
          <cell r="C1247">
            <v>0</v>
          </cell>
          <cell r="D1247"/>
          <cell r="E1247"/>
          <cell r="F1247"/>
          <cell r="G1247">
            <v>3.65E-3</v>
          </cell>
          <cell r="H1247"/>
          <cell r="I1247"/>
          <cell r="J1247"/>
          <cell r="K1247"/>
          <cell r="L1247"/>
          <cell r="M1247"/>
          <cell r="N1247">
            <v>1.17E-3</v>
          </cell>
          <cell r="O1247"/>
          <cell r="P1247"/>
          <cell r="Q1247"/>
          <cell r="R1247"/>
          <cell r="S1247"/>
          <cell r="T1247"/>
          <cell r="U1247"/>
          <cell r="V1247"/>
          <cell r="W1247"/>
        </row>
        <row r="1248">
          <cell r="A1248" t="str">
            <v>10145405-001LF</v>
          </cell>
          <cell r="B1248"/>
          <cell r="C1248">
            <v>0</v>
          </cell>
          <cell r="D1248"/>
          <cell r="E1248"/>
          <cell r="F1248"/>
          <cell r="G1248">
            <v>2.3823999999999998E-3</v>
          </cell>
          <cell r="H1248"/>
          <cell r="I1248"/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</row>
        <row r="1249">
          <cell r="A1249" t="str">
            <v>10145406-001LF</v>
          </cell>
          <cell r="B1249"/>
          <cell r="C1249">
            <v>0</v>
          </cell>
          <cell r="D1249"/>
          <cell r="E1249"/>
          <cell r="F1249"/>
          <cell r="G1249">
            <v>2.3823999999999998E-3</v>
          </cell>
          <cell r="H1249"/>
          <cell r="I1249"/>
          <cell r="J1249"/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</row>
        <row r="1250">
          <cell r="A1250" t="str">
            <v>10146534-NTC002LF</v>
          </cell>
          <cell r="B1250"/>
          <cell r="C1250"/>
          <cell r="D1250"/>
          <cell r="E1250"/>
          <cell r="F1250"/>
          <cell r="G1250">
            <v>1.31708E-2</v>
          </cell>
          <cell r="H1250"/>
          <cell r="I1250"/>
          <cell r="J1250"/>
          <cell r="K1250"/>
          <cell r="L1250"/>
          <cell r="M1250"/>
          <cell r="N1250">
            <v>1.07639E-2</v>
          </cell>
          <cell r="O1250"/>
          <cell r="P1250"/>
          <cell r="Q1250"/>
          <cell r="R1250"/>
          <cell r="S1250"/>
          <cell r="T1250"/>
          <cell r="U1250"/>
          <cell r="V1250"/>
          <cell r="W1250"/>
        </row>
        <row r="1251">
          <cell r="A1251" t="str">
            <v>10147062-001LF</v>
          </cell>
          <cell r="B1251"/>
          <cell r="C1251">
            <v>0</v>
          </cell>
          <cell r="D1251"/>
          <cell r="E1251"/>
          <cell r="F1251"/>
          <cell r="G1251"/>
          <cell r="H1251"/>
          <cell r="I1251"/>
          <cell r="J1251"/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</row>
        <row r="1252">
          <cell r="A1252" t="str">
            <v>10147062-001U</v>
          </cell>
          <cell r="B1252"/>
          <cell r="C1252"/>
          <cell r="D1252"/>
          <cell r="E1252"/>
          <cell r="F1252"/>
          <cell r="G1252"/>
          <cell r="H1252"/>
          <cell r="I1252"/>
          <cell r="J1252"/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</row>
        <row r="1253">
          <cell r="A1253" t="str">
            <v>10147063-001LF</v>
          </cell>
          <cell r="B1253"/>
          <cell r="C1253">
            <v>0</v>
          </cell>
          <cell r="D1253"/>
          <cell r="E1253"/>
          <cell r="F1253"/>
          <cell r="G1253"/>
          <cell r="H1253"/>
          <cell r="I1253"/>
          <cell r="J1253"/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</row>
        <row r="1254">
          <cell r="A1254" t="str">
            <v>10147063-001U</v>
          </cell>
          <cell r="B1254"/>
          <cell r="C1254"/>
          <cell r="D1254"/>
          <cell r="E1254"/>
          <cell r="F1254"/>
          <cell r="G1254"/>
          <cell r="H1254"/>
          <cell r="I1254"/>
          <cell r="J1254"/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</row>
        <row r="1255">
          <cell r="A1255" t="str">
            <v>10147064-001LF</v>
          </cell>
          <cell r="B1255"/>
          <cell r="C1255">
            <v>0</v>
          </cell>
          <cell r="D1255"/>
          <cell r="E1255"/>
          <cell r="F1255"/>
          <cell r="G1255"/>
          <cell r="H1255"/>
          <cell r="I1255"/>
          <cell r="J1255"/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</row>
        <row r="1256">
          <cell r="A1256" t="str">
            <v>10147064-001U</v>
          </cell>
          <cell r="B1256"/>
          <cell r="C1256"/>
          <cell r="D1256"/>
          <cell r="E1256"/>
          <cell r="F1256"/>
          <cell r="G1256"/>
          <cell r="H1256"/>
          <cell r="I1256"/>
          <cell r="J1256"/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</row>
        <row r="1257">
          <cell r="A1257" t="str">
            <v>10147065-001LF</v>
          </cell>
          <cell r="B1257"/>
          <cell r="C1257">
            <v>0</v>
          </cell>
          <cell r="D1257"/>
          <cell r="E1257"/>
          <cell r="F1257">
            <v>2.7778E-3</v>
          </cell>
          <cell r="G1257">
            <v>2.2417000000000001E-3</v>
          </cell>
          <cell r="H1257"/>
          <cell r="I1257"/>
          <cell r="J1257"/>
          <cell r="K1257"/>
          <cell r="L1257"/>
          <cell r="M1257"/>
          <cell r="N1257"/>
          <cell r="O1257"/>
          <cell r="P1257">
            <v>9.5279999999999996E-4</v>
          </cell>
          <cell r="Q1257"/>
          <cell r="R1257"/>
          <cell r="S1257"/>
          <cell r="T1257"/>
          <cell r="U1257"/>
          <cell r="V1257"/>
          <cell r="W1257"/>
        </row>
        <row r="1258">
          <cell r="A1258" t="str">
            <v>10147065-00TLF</v>
          </cell>
          <cell r="B1258"/>
          <cell r="C1258">
            <v>0</v>
          </cell>
          <cell r="D1258"/>
          <cell r="E1258"/>
          <cell r="F1258">
            <v>2.7778E-3</v>
          </cell>
          <cell r="G1258">
            <v>3.0555999999999999E-3</v>
          </cell>
          <cell r="H1258"/>
          <cell r="I1258"/>
          <cell r="J1258"/>
          <cell r="K1258"/>
          <cell r="L1258"/>
          <cell r="M1258"/>
          <cell r="N1258"/>
          <cell r="O1258"/>
          <cell r="P1258">
            <v>9.5279999999999996E-4</v>
          </cell>
          <cell r="Q1258"/>
          <cell r="R1258"/>
          <cell r="S1258"/>
          <cell r="T1258"/>
          <cell r="U1258"/>
          <cell r="V1258"/>
          <cell r="W1258"/>
        </row>
        <row r="1259">
          <cell r="A1259" t="str">
            <v>10147453-001</v>
          </cell>
          <cell r="B1259"/>
          <cell r="C1259">
            <v>0</v>
          </cell>
          <cell r="D1259"/>
          <cell r="E1259"/>
          <cell r="F1259">
            <v>2.7778E-3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</row>
        <row r="1260">
          <cell r="A1260" t="str">
            <v>10147454-001LF</v>
          </cell>
          <cell r="B1260"/>
          <cell r="C1260">
            <v>0</v>
          </cell>
          <cell r="D1260"/>
          <cell r="E1260"/>
          <cell r="F1260"/>
          <cell r="G1260">
            <v>7.4148E-3</v>
          </cell>
          <cell r="H1260"/>
          <cell r="I1260"/>
          <cell r="J1260"/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</row>
        <row r="1261">
          <cell r="A1261" t="str">
            <v>10147454-001S</v>
          </cell>
          <cell r="B1261"/>
          <cell r="C1261">
            <v>0</v>
          </cell>
          <cell r="D1261"/>
          <cell r="E1261"/>
          <cell r="F1261"/>
          <cell r="G1261"/>
          <cell r="H1261"/>
          <cell r="I1261"/>
          <cell r="J1261"/>
          <cell r="K1261"/>
          <cell r="L1261"/>
          <cell r="M1261"/>
          <cell r="N1261"/>
          <cell r="O1261"/>
          <cell r="P1261"/>
          <cell r="Q1261"/>
          <cell r="R1261">
            <v>2.7778E-3</v>
          </cell>
          <cell r="S1261"/>
          <cell r="T1261"/>
          <cell r="U1261"/>
          <cell r="V1261"/>
          <cell r="W1261"/>
        </row>
        <row r="1262">
          <cell r="A1262" t="str">
            <v>10148123-001</v>
          </cell>
          <cell r="B1262"/>
          <cell r="C1262"/>
          <cell r="D1262">
            <v>2.7779999999999998E-4</v>
          </cell>
          <cell r="E1262"/>
          <cell r="F1262"/>
          <cell r="G1262"/>
          <cell r="H1262"/>
          <cell r="I1262"/>
          <cell r="J1262"/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</row>
        <row r="1263">
          <cell r="A1263" t="str">
            <v>10148123-001S</v>
          </cell>
          <cell r="B1263"/>
          <cell r="C1263"/>
          <cell r="D1263"/>
          <cell r="E1263"/>
          <cell r="F1263"/>
          <cell r="G1263"/>
          <cell r="H1263"/>
          <cell r="I1263"/>
          <cell r="J1263"/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</row>
        <row r="1264">
          <cell r="A1264" t="str">
            <v>10149278-001</v>
          </cell>
          <cell r="B1264"/>
          <cell r="C1264"/>
          <cell r="D1264"/>
          <cell r="E1264"/>
          <cell r="F1264"/>
          <cell r="G1264"/>
          <cell r="H1264"/>
          <cell r="I1264"/>
          <cell r="J1264"/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</row>
        <row r="1265">
          <cell r="A1265" t="str">
            <v>10149278-001LF</v>
          </cell>
          <cell r="B1265"/>
          <cell r="C1265">
            <v>0</v>
          </cell>
          <cell r="D1265"/>
          <cell r="E1265"/>
          <cell r="F1265"/>
          <cell r="G1265"/>
          <cell r="H1265"/>
          <cell r="I1265"/>
          <cell r="J1265"/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>
            <v>1.3888999999999999E-4</v>
          </cell>
          <cell r="W1265"/>
        </row>
        <row r="1266">
          <cell r="A1266" t="str">
            <v>10149278-002</v>
          </cell>
          <cell r="B1266"/>
          <cell r="C1266"/>
          <cell r="D1266"/>
          <cell r="E1266"/>
          <cell r="F1266"/>
          <cell r="G1266"/>
          <cell r="H1266"/>
          <cell r="I1266"/>
          <cell r="J1266"/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</row>
        <row r="1267">
          <cell r="A1267" t="str">
            <v>10149278-002ALF</v>
          </cell>
          <cell r="B1267"/>
          <cell r="C1267">
            <v>0</v>
          </cell>
          <cell r="D1267"/>
          <cell r="E1267"/>
          <cell r="F1267"/>
          <cell r="G1267"/>
          <cell r="H1267"/>
          <cell r="I1267"/>
          <cell r="J1267"/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>
            <v>4.8730000000000003E-4</v>
          </cell>
          <cell r="W1267"/>
        </row>
        <row r="1268">
          <cell r="A1268" t="str">
            <v>10149278-002BLF</v>
          </cell>
          <cell r="B1268"/>
          <cell r="C1268">
            <v>0</v>
          </cell>
          <cell r="D1268"/>
          <cell r="E1268"/>
          <cell r="F1268"/>
          <cell r="G1268"/>
          <cell r="H1268"/>
          <cell r="I1268"/>
          <cell r="J1268"/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>
            <v>1.9489999999999999E-4</v>
          </cell>
          <cell r="W1268"/>
        </row>
        <row r="1269">
          <cell r="A1269" t="str">
            <v>10149278-002CLF</v>
          </cell>
          <cell r="B1269"/>
          <cell r="C1269">
            <v>0</v>
          </cell>
          <cell r="D1269"/>
          <cell r="E1269"/>
          <cell r="F1269"/>
          <cell r="G1269"/>
          <cell r="H1269"/>
          <cell r="I1269"/>
          <cell r="J1269"/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>
            <v>4.8730000000000003E-4</v>
          </cell>
          <cell r="W1269"/>
        </row>
        <row r="1270">
          <cell r="A1270" t="str">
            <v>10149278-002DLF</v>
          </cell>
          <cell r="B1270"/>
          <cell r="C1270">
            <v>0</v>
          </cell>
          <cell r="D1270"/>
          <cell r="E1270"/>
          <cell r="F1270"/>
          <cell r="G1270"/>
          <cell r="H1270"/>
          <cell r="I1270"/>
          <cell r="J1270"/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>
            <v>2.3389999999999999E-4</v>
          </cell>
          <cell r="W1270"/>
        </row>
        <row r="1271">
          <cell r="A1271" t="str">
            <v>10149278-002LF</v>
          </cell>
          <cell r="B1271"/>
          <cell r="C1271">
            <v>0</v>
          </cell>
          <cell r="D1271"/>
          <cell r="E1271"/>
          <cell r="F1271"/>
          <cell r="G1271"/>
          <cell r="H1271"/>
          <cell r="I1271"/>
          <cell r="J1271"/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>
            <v>1.3888999999999999E-4</v>
          </cell>
          <cell r="W1271"/>
        </row>
        <row r="1272">
          <cell r="A1272" t="str">
            <v>10149278-012LF</v>
          </cell>
          <cell r="B1272"/>
          <cell r="C1272">
            <v>0</v>
          </cell>
          <cell r="D1272"/>
          <cell r="E1272"/>
          <cell r="F1272"/>
          <cell r="G1272"/>
          <cell r="H1272"/>
          <cell r="I1272"/>
          <cell r="J1272"/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>
            <v>1.3889999999999999E-4</v>
          </cell>
          <cell r="W1272"/>
        </row>
        <row r="1273">
          <cell r="A1273" t="str">
            <v>10149278-101LF</v>
          </cell>
          <cell r="B1273"/>
          <cell r="C1273"/>
          <cell r="D1273"/>
          <cell r="E1273"/>
          <cell r="F1273"/>
          <cell r="G1273">
            <v>2.7778E-3</v>
          </cell>
          <cell r="H1273"/>
          <cell r="I1273"/>
          <cell r="J1273"/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</row>
        <row r="1274">
          <cell r="A1274" t="str">
            <v>10149278-201ALF</v>
          </cell>
          <cell r="B1274"/>
          <cell r="C1274"/>
          <cell r="D1274"/>
          <cell r="E1274"/>
          <cell r="F1274"/>
          <cell r="G1274"/>
          <cell r="H1274"/>
          <cell r="I1274"/>
          <cell r="J1274">
            <v>5.5559999999999995E-4</v>
          </cell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</row>
        <row r="1275">
          <cell r="A1275" t="str">
            <v>10149278-201BLF</v>
          </cell>
          <cell r="B1275"/>
          <cell r="C1275"/>
          <cell r="D1275"/>
          <cell r="E1275"/>
          <cell r="F1275"/>
          <cell r="G1275"/>
          <cell r="H1275"/>
          <cell r="I1275"/>
          <cell r="J1275">
            <v>5.5559999999999995E-4</v>
          </cell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</row>
        <row r="1276">
          <cell r="A1276" t="str">
            <v>10149278-201CLF</v>
          </cell>
          <cell r="B1276"/>
          <cell r="C1276"/>
          <cell r="D1276"/>
          <cell r="E1276"/>
          <cell r="F1276"/>
          <cell r="G1276"/>
          <cell r="H1276"/>
          <cell r="I1276"/>
          <cell r="J1276">
            <v>5.5559999999999995E-4</v>
          </cell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</row>
        <row r="1277">
          <cell r="A1277" t="str">
            <v>10149278-201DLF</v>
          </cell>
          <cell r="B1277"/>
          <cell r="C1277"/>
          <cell r="D1277"/>
          <cell r="E1277"/>
          <cell r="F1277"/>
          <cell r="G1277"/>
          <cell r="H1277"/>
          <cell r="I1277"/>
          <cell r="J1277">
            <v>5.5559999999999995E-4</v>
          </cell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</row>
        <row r="1278">
          <cell r="A1278" t="str">
            <v>10149278-201LF</v>
          </cell>
          <cell r="B1278"/>
          <cell r="C1278"/>
          <cell r="D1278"/>
          <cell r="E1278"/>
          <cell r="F1278"/>
          <cell r="G1278">
            <v>5.5559999999999995E-4</v>
          </cell>
          <cell r="H1278"/>
          <cell r="I1278"/>
          <cell r="J1278"/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</row>
        <row r="1279">
          <cell r="A1279" t="str">
            <v>10149278-211LF</v>
          </cell>
          <cell r="B1279"/>
          <cell r="C1279"/>
          <cell r="D1279"/>
          <cell r="E1279"/>
          <cell r="F1279"/>
          <cell r="G1279">
            <v>5.5559999999999995E-4</v>
          </cell>
          <cell r="H1279"/>
          <cell r="I1279"/>
          <cell r="J1279"/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</row>
        <row r="1280">
          <cell r="A1280" t="str">
            <v>10149279-001</v>
          </cell>
          <cell r="B1280"/>
          <cell r="C1280"/>
          <cell r="D1280"/>
          <cell r="E1280"/>
          <cell r="F1280"/>
          <cell r="G1280"/>
          <cell r="H1280"/>
          <cell r="I1280"/>
          <cell r="J1280"/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</row>
        <row r="1281">
          <cell r="A1281" t="str">
            <v>10149279-001LF</v>
          </cell>
          <cell r="B1281"/>
          <cell r="C1281">
            <v>0</v>
          </cell>
          <cell r="D1281"/>
          <cell r="E1281"/>
          <cell r="F1281"/>
          <cell r="G1281"/>
          <cell r="H1281"/>
          <cell r="I1281"/>
          <cell r="J1281"/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>
            <v>1.9493000000000001E-4</v>
          </cell>
          <cell r="W1281"/>
        </row>
        <row r="1282">
          <cell r="A1282" t="str">
            <v>10149279-002</v>
          </cell>
          <cell r="B1282"/>
          <cell r="C1282"/>
          <cell r="D1282"/>
          <cell r="E1282"/>
          <cell r="F1282"/>
          <cell r="G1282"/>
          <cell r="H1282"/>
          <cell r="I1282"/>
          <cell r="J1282"/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</row>
        <row r="1283">
          <cell r="A1283" t="str">
            <v>10149279-002ALF</v>
          </cell>
          <cell r="B1283"/>
          <cell r="C1283">
            <v>0</v>
          </cell>
          <cell r="D1283"/>
          <cell r="E1283"/>
          <cell r="F1283"/>
          <cell r="G1283"/>
          <cell r="H1283"/>
          <cell r="I1283"/>
          <cell r="J1283"/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>
            <v>3.4719999999999998E-4</v>
          </cell>
          <cell r="W1283"/>
        </row>
        <row r="1284">
          <cell r="A1284" t="str">
            <v>10149279-002BLF</v>
          </cell>
          <cell r="B1284"/>
          <cell r="C1284">
            <v>0</v>
          </cell>
          <cell r="D1284"/>
          <cell r="E1284"/>
          <cell r="F1284"/>
          <cell r="G1284"/>
          <cell r="H1284"/>
          <cell r="I1284"/>
          <cell r="J1284"/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>
            <v>1.3889999999999999E-4</v>
          </cell>
          <cell r="W1284"/>
        </row>
        <row r="1285">
          <cell r="A1285" t="str">
            <v>10149279-002CLF</v>
          </cell>
          <cell r="B1285"/>
          <cell r="C1285">
            <v>0</v>
          </cell>
          <cell r="D1285"/>
          <cell r="E1285"/>
          <cell r="F1285"/>
          <cell r="G1285"/>
          <cell r="H1285"/>
          <cell r="I1285"/>
          <cell r="J1285"/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>
            <v>3.4719999999999998E-4</v>
          </cell>
          <cell r="W1285"/>
        </row>
        <row r="1286">
          <cell r="A1286" t="str">
            <v>10149279-002DLF</v>
          </cell>
          <cell r="B1286"/>
          <cell r="C1286">
            <v>0</v>
          </cell>
          <cell r="D1286"/>
          <cell r="E1286"/>
          <cell r="F1286"/>
          <cell r="G1286"/>
          <cell r="H1286"/>
          <cell r="I1286"/>
          <cell r="J1286"/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>
            <v>1.6670000000000001E-4</v>
          </cell>
          <cell r="W1286"/>
        </row>
        <row r="1287">
          <cell r="A1287" t="str">
            <v>10149279-002LF</v>
          </cell>
          <cell r="B1287"/>
          <cell r="C1287">
            <v>0</v>
          </cell>
          <cell r="D1287"/>
          <cell r="E1287"/>
          <cell r="F1287"/>
          <cell r="G1287"/>
          <cell r="H1287"/>
          <cell r="I1287"/>
          <cell r="J1287"/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>
            <v>1.9450000000000001E-4</v>
          </cell>
          <cell r="W1287"/>
        </row>
        <row r="1288">
          <cell r="A1288" t="str">
            <v>10149279-011LF</v>
          </cell>
          <cell r="B1288"/>
          <cell r="C1288">
            <v>0</v>
          </cell>
          <cell r="D1288"/>
          <cell r="E1288"/>
          <cell r="F1288"/>
          <cell r="G1288"/>
          <cell r="H1288"/>
          <cell r="I1288"/>
          <cell r="J1288"/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>
            <v>1.9450000000000001E-4</v>
          </cell>
          <cell r="W1288"/>
        </row>
        <row r="1289">
          <cell r="A1289" t="str">
            <v>10149279-012LF</v>
          </cell>
          <cell r="B1289"/>
          <cell r="C1289">
            <v>0</v>
          </cell>
          <cell r="D1289"/>
          <cell r="E1289"/>
          <cell r="F1289"/>
          <cell r="G1289"/>
          <cell r="H1289"/>
          <cell r="I1289"/>
          <cell r="J1289"/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>
            <v>1.3889999999999999E-4</v>
          </cell>
          <cell r="W1289"/>
        </row>
        <row r="1290">
          <cell r="A1290" t="str">
            <v>10149279-101LF</v>
          </cell>
          <cell r="B1290"/>
          <cell r="C1290"/>
          <cell r="D1290"/>
          <cell r="E1290"/>
          <cell r="F1290"/>
          <cell r="G1290">
            <v>5.5559999999999995E-4</v>
          </cell>
          <cell r="H1290"/>
          <cell r="I1290"/>
          <cell r="J1290"/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</row>
        <row r="1291">
          <cell r="A1291" t="str">
            <v>10149279-111LF</v>
          </cell>
          <cell r="B1291"/>
          <cell r="C1291"/>
          <cell r="D1291"/>
          <cell r="E1291"/>
          <cell r="F1291"/>
          <cell r="G1291">
            <v>5.5559999999999995E-4</v>
          </cell>
          <cell r="H1291"/>
          <cell r="I1291"/>
          <cell r="J1291"/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</row>
        <row r="1292">
          <cell r="A1292" t="str">
            <v>10149279-201ALF</v>
          </cell>
          <cell r="B1292"/>
          <cell r="C1292"/>
          <cell r="D1292"/>
          <cell r="E1292"/>
          <cell r="F1292"/>
          <cell r="G1292"/>
          <cell r="H1292"/>
          <cell r="I1292"/>
          <cell r="J1292">
            <v>5.5559999999999995E-4</v>
          </cell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</row>
        <row r="1293">
          <cell r="A1293" t="str">
            <v>10149279-201BLF</v>
          </cell>
          <cell r="B1293"/>
          <cell r="C1293"/>
          <cell r="D1293"/>
          <cell r="E1293"/>
          <cell r="F1293"/>
          <cell r="G1293"/>
          <cell r="H1293"/>
          <cell r="I1293"/>
          <cell r="J1293">
            <v>5.5559999999999995E-4</v>
          </cell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</row>
        <row r="1294">
          <cell r="A1294" t="str">
            <v>10149279-201CLF</v>
          </cell>
          <cell r="B1294"/>
          <cell r="C1294"/>
          <cell r="D1294"/>
          <cell r="E1294"/>
          <cell r="F1294"/>
          <cell r="G1294"/>
          <cell r="H1294"/>
          <cell r="I1294"/>
          <cell r="J1294">
            <v>5.5559999999999995E-4</v>
          </cell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</row>
        <row r="1295">
          <cell r="A1295" t="str">
            <v>10149279-201DLF</v>
          </cell>
          <cell r="B1295"/>
          <cell r="C1295"/>
          <cell r="D1295"/>
          <cell r="E1295"/>
          <cell r="F1295"/>
          <cell r="G1295"/>
          <cell r="H1295"/>
          <cell r="I1295"/>
          <cell r="J1295">
            <v>5.5559999999999995E-4</v>
          </cell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</row>
        <row r="1296">
          <cell r="A1296" t="str">
            <v>10149279-201LF</v>
          </cell>
          <cell r="B1296"/>
          <cell r="C1296"/>
          <cell r="D1296"/>
          <cell r="E1296"/>
          <cell r="F1296"/>
          <cell r="G1296">
            <v>5.5559999999999995E-4</v>
          </cell>
          <cell r="H1296"/>
          <cell r="I1296"/>
          <cell r="J1296"/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</row>
        <row r="1297">
          <cell r="A1297" t="str">
            <v>10149279-211LF</v>
          </cell>
          <cell r="B1297"/>
          <cell r="C1297"/>
          <cell r="D1297"/>
          <cell r="E1297"/>
          <cell r="F1297"/>
          <cell r="G1297">
            <v>5.5559999999999995E-4</v>
          </cell>
          <cell r="H1297"/>
          <cell r="I1297"/>
          <cell r="J1297"/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</row>
        <row r="1298">
          <cell r="A1298" t="str">
            <v>10150415-001</v>
          </cell>
          <cell r="B1298"/>
          <cell r="C1298">
            <v>0</v>
          </cell>
          <cell r="D1298"/>
          <cell r="E1298"/>
          <cell r="F1298">
            <v>1.3889E-3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</row>
        <row r="1299">
          <cell r="A1299" t="str">
            <v>10150416-001LF</v>
          </cell>
          <cell r="B1299"/>
          <cell r="C1299">
            <v>0</v>
          </cell>
          <cell r="D1299"/>
          <cell r="E1299"/>
          <cell r="F1299"/>
          <cell r="G1299"/>
          <cell r="H1299"/>
          <cell r="I1299"/>
          <cell r="J1299"/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>
            <v>5.5600000000000003E-5</v>
          </cell>
          <cell r="W1299"/>
        </row>
        <row r="1300">
          <cell r="A1300" t="str">
            <v>10150416-001U</v>
          </cell>
          <cell r="B1300"/>
          <cell r="C1300"/>
          <cell r="D1300"/>
          <cell r="E1300"/>
          <cell r="F1300"/>
          <cell r="G1300"/>
          <cell r="H1300"/>
          <cell r="I1300"/>
          <cell r="J1300"/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</row>
        <row r="1301">
          <cell r="A1301" t="str">
            <v>10150417-001LF</v>
          </cell>
          <cell r="B1301"/>
          <cell r="C1301">
            <v>0</v>
          </cell>
          <cell r="D1301"/>
          <cell r="E1301"/>
          <cell r="F1301"/>
          <cell r="G1301"/>
          <cell r="H1301"/>
          <cell r="I1301"/>
          <cell r="J1301"/>
          <cell r="K1301"/>
          <cell r="L1301"/>
          <cell r="M1301"/>
          <cell r="N1301">
            <v>1.1106700000000001E-2</v>
          </cell>
          <cell r="O1301"/>
          <cell r="P1301"/>
          <cell r="Q1301"/>
          <cell r="R1301"/>
          <cell r="S1301"/>
          <cell r="T1301"/>
          <cell r="U1301"/>
          <cell r="V1301"/>
          <cell r="W1301"/>
        </row>
        <row r="1302">
          <cell r="A1302" t="str">
            <v>10150562-001</v>
          </cell>
          <cell r="B1302"/>
          <cell r="C1302"/>
          <cell r="D1302"/>
          <cell r="E1302"/>
          <cell r="F1302">
            <v>6.1111000000000004E-3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  <cell r="P1302"/>
          <cell r="Q1302">
            <v>4.1666000000000003E-3</v>
          </cell>
          <cell r="R1302"/>
          <cell r="S1302"/>
          <cell r="T1302"/>
          <cell r="U1302"/>
          <cell r="V1302"/>
          <cell r="W1302"/>
        </row>
        <row r="1303">
          <cell r="A1303" t="str">
            <v>10150562-002</v>
          </cell>
          <cell r="B1303"/>
          <cell r="C1303"/>
          <cell r="D1303"/>
          <cell r="E1303"/>
          <cell r="F1303"/>
          <cell r="G1303"/>
          <cell r="H1303"/>
          <cell r="I1303"/>
          <cell r="J1303"/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</row>
        <row r="1304">
          <cell r="A1304" t="str">
            <v>10151561-001LF</v>
          </cell>
          <cell r="B1304"/>
          <cell r="C1304">
            <v>0</v>
          </cell>
          <cell r="D1304"/>
          <cell r="E1304"/>
          <cell r="F1304"/>
          <cell r="G1304">
            <v>9.0278000000000008E-3</v>
          </cell>
          <cell r="H1304"/>
          <cell r="I1304"/>
          <cell r="J1304"/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</row>
        <row r="1305">
          <cell r="A1305" t="str">
            <v>10151561-002LF</v>
          </cell>
          <cell r="B1305"/>
          <cell r="C1305">
            <v>0</v>
          </cell>
          <cell r="D1305"/>
          <cell r="E1305"/>
          <cell r="F1305"/>
          <cell r="G1305">
            <v>5.2950999999999996E-3</v>
          </cell>
          <cell r="H1305"/>
          <cell r="I1305"/>
          <cell r="J1305"/>
          <cell r="K1305"/>
          <cell r="L1305"/>
          <cell r="M1305"/>
          <cell r="N1305">
            <v>1.3489599999999999E-2</v>
          </cell>
          <cell r="O1305"/>
          <cell r="P1305"/>
          <cell r="Q1305"/>
          <cell r="R1305"/>
          <cell r="S1305"/>
          <cell r="T1305"/>
          <cell r="U1305"/>
          <cell r="V1305"/>
          <cell r="W1305"/>
        </row>
        <row r="1306">
          <cell r="A1306" t="str">
            <v>10151561-003LF</v>
          </cell>
          <cell r="B1306"/>
          <cell r="C1306">
            <v>0</v>
          </cell>
          <cell r="D1306"/>
          <cell r="E1306"/>
          <cell r="F1306"/>
          <cell r="G1306">
            <v>1.29722E-2</v>
          </cell>
          <cell r="H1306"/>
          <cell r="I1306"/>
          <cell r="J1306"/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</row>
        <row r="1307">
          <cell r="A1307" t="str">
            <v>10152009-001LF</v>
          </cell>
          <cell r="B1307"/>
          <cell r="C1307">
            <v>0</v>
          </cell>
          <cell r="D1307"/>
          <cell r="E1307"/>
          <cell r="F1307"/>
          <cell r="G1307">
            <v>2.5509999999999999E-3</v>
          </cell>
          <cell r="H1307"/>
          <cell r="I1307"/>
          <cell r="J1307"/>
          <cell r="K1307"/>
          <cell r="L1307"/>
          <cell r="M1307"/>
          <cell r="N1307">
            <v>5.354E-4</v>
          </cell>
          <cell r="O1307"/>
          <cell r="P1307"/>
          <cell r="Q1307"/>
          <cell r="R1307"/>
          <cell r="S1307"/>
          <cell r="T1307"/>
          <cell r="U1307"/>
          <cell r="V1307"/>
          <cell r="W1307"/>
        </row>
        <row r="1308">
          <cell r="A1308" t="str">
            <v>10152009-001P</v>
          </cell>
          <cell r="B1308"/>
          <cell r="C1308">
            <v>0</v>
          </cell>
          <cell r="D1308"/>
          <cell r="E1308"/>
          <cell r="F1308"/>
          <cell r="G1308"/>
          <cell r="H1308"/>
          <cell r="I1308"/>
          <cell r="J1308"/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>
            <v>3.3300000000000003E-5</v>
          </cell>
          <cell r="W1308"/>
        </row>
        <row r="1309">
          <cell r="A1309" t="str">
            <v>10152009-001U</v>
          </cell>
          <cell r="B1309"/>
          <cell r="C1309"/>
          <cell r="D1309"/>
          <cell r="E1309"/>
          <cell r="F1309"/>
          <cell r="G1309"/>
          <cell r="H1309"/>
          <cell r="I1309"/>
          <cell r="J1309"/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</row>
        <row r="1310">
          <cell r="A1310" t="str">
            <v>10152010-001LF</v>
          </cell>
          <cell r="B1310"/>
          <cell r="C1310">
            <v>0</v>
          </cell>
          <cell r="D1310"/>
          <cell r="E1310"/>
          <cell r="F1310"/>
          <cell r="G1310">
            <v>2.9846E-3</v>
          </cell>
          <cell r="H1310"/>
          <cell r="I1310"/>
          <cell r="J1310"/>
          <cell r="K1310"/>
          <cell r="L1310"/>
          <cell r="M1310"/>
          <cell r="N1310">
            <v>7.8700000000000005E-4</v>
          </cell>
          <cell r="O1310"/>
          <cell r="P1310"/>
          <cell r="Q1310"/>
          <cell r="R1310"/>
          <cell r="S1310"/>
          <cell r="T1310"/>
          <cell r="U1310"/>
          <cell r="V1310"/>
          <cell r="W1310"/>
        </row>
        <row r="1311">
          <cell r="A1311" t="str">
            <v>10152010-001P</v>
          </cell>
          <cell r="B1311"/>
          <cell r="C1311">
            <v>0</v>
          </cell>
          <cell r="D1311"/>
          <cell r="E1311"/>
          <cell r="F1311"/>
          <cell r="G1311"/>
          <cell r="H1311"/>
          <cell r="I1311"/>
          <cell r="J1311"/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>
            <v>1.5330000000000001E-4</v>
          </cell>
          <cell r="W1311"/>
        </row>
        <row r="1312">
          <cell r="A1312" t="str">
            <v>10152010-001U</v>
          </cell>
          <cell r="B1312"/>
          <cell r="C1312"/>
          <cell r="D1312"/>
          <cell r="E1312"/>
          <cell r="F1312"/>
          <cell r="G1312"/>
          <cell r="H1312"/>
          <cell r="I1312"/>
          <cell r="J1312"/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</row>
        <row r="1313">
          <cell r="A1313" t="str">
            <v>10152591-001</v>
          </cell>
          <cell r="B1313"/>
          <cell r="C1313"/>
          <cell r="D1313"/>
          <cell r="E1313"/>
          <cell r="F1313"/>
          <cell r="G1313"/>
          <cell r="H1313"/>
          <cell r="I1313"/>
          <cell r="J1313"/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</row>
        <row r="1314">
          <cell r="A1314" t="str">
            <v>10152591-001LF</v>
          </cell>
          <cell r="B1314"/>
          <cell r="C1314">
            <v>0</v>
          </cell>
          <cell r="D1314"/>
          <cell r="E1314"/>
          <cell r="F1314"/>
          <cell r="G1314"/>
          <cell r="H1314"/>
          <cell r="I1314"/>
          <cell r="J1314"/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>
            <v>9.3399999999999993E-5</v>
          </cell>
          <cell r="W1314"/>
        </row>
        <row r="1315">
          <cell r="A1315" t="str">
            <v>10152591-101LF</v>
          </cell>
          <cell r="B1315"/>
          <cell r="C1315"/>
          <cell r="D1315"/>
          <cell r="E1315"/>
          <cell r="F1315"/>
          <cell r="G1315"/>
          <cell r="H1315"/>
          <cell r="I1315"/>
          <cell r="J1315"/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</row>
        <row r="1316">
          <cell r="A1316" t="str">
            <v>10152592-001</v>
          </cell>
          <cell r="B1316"/>
          <cell r="C1316"/>
          <cell r="D1316"/>
          <cell r="E1316"/>
          <cell r="F1316"/>
          <cell r="G1316"/>
          <cell r="H1316"/>
          <cell r="I1316"/>
          <cell r="J1316"/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</row>
        <row r="1317">
          <cell r="A1317" t="str">
            <v>10152592-001LF</v>
          </cell>
          <cell r="B1317"/>
          <cell r="C1317">
            <v>0</v>
          </cell>
          <cell r="D1317"/>
          <cell r="E1317"/>
          <cell r="F1317"/>
          <cell r="G1317"/>
          <cell r="H1317"/>
          <cell r="I1317"/>
          <cell r="J1317"/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>
            <v>4.7299999999999998E-5</v>
          </cell>
          <cell r="W1317"/>
        </row>
        <row r="1318">
          <cell r="A1318" t="str">
            <v>10152592-112LF</v>
          </cell>
          <cell r="B1318"/>
          <cell r="C1318">
            <v>0</v>
          </cell>
          <cell r="D1318"/>
          <cell r="E1318">
            <v>1.3889999999999999E-4</v>
          </cell>
          <cell r="F1318"/>
          <cell r="G1318">
            <v>7.7777999999999996E-3</v>
          </cell>
          <cell r="H1318"/>
          <cell r="I1318"/>
          <cell r="J1318"/>
          <cell r="K1318"/>
          <cell r="L1318"/>
          <cell r="M1318"/>
          <cell r="N1318"/>
          <cell r="O1318"/>
          <cell r="P1318"/>
          <cell r="Q1318"/>
          <cell r="R1318"/>
          <cell r="S1318">
            <v>2.1699999999999999E-5</v>
          </cell>
          <cell r="T1318"/>
          <cell r="U1318"/>
          <cell r="V1318"/>
          <cell r="W1318"/>
        </row>
        <row r="1319">
          <cell r="A1319" t="str">
            <v>10152792 001LB</v>
          </cell>
          <cell r="B1319"/>
          <cell r="C1319">
            <v>0</v>
          </cell>
          <cell r="D1319"/>
          <cell r="E1319"/>
          <cell r="F1319"/>
          <cell r="G1319"/>
          <cell r="H1319"/>
          <cell r="I1319"/>
          <cell r="J1319"/>
          <cell r="K1319"/>
          <cell r="L1319"/>
          <cell r="M1319">
            <v>1.2219999999999999E-4</v>
          </cell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</row>
        <row r="1320">
          <cell r="A1320" t="str">
            <v>10152792-001</v>
          </cell>
          <cell r="B1320"/>
          <cell r="C1320"/>
          <cell r="D1320"/>
          <cell r="E1320"/>
          <cell r="F1320"/>
          <cell r="G1320"/>
          <cell r="H1320"/>
          <cell r="I1320"/>
          <cell r="J1320"/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</row>
        <row r="1321">
          <cell r="A1321" t="str">
            <v>10152792-001LB</v>
          </cell>
          <cell r="B1321"/>
          <cell r="C1321">
            <v>0</v>
          </cell>
          <cell r="D1321"/>
          <cell r="E1321"/>
          <cell r="F1321"/>
          <cell r="G1321"/>
          <cell r="H1321"/>
          <cell r="I1321"/>
          <cell r="J1321"/>
          <cell r="K1321"/>
          <cell r="L1321"/>
          <cell r="M1321">
            <v>1.2219999999999999E-4</v>
          </cell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</row>
        <row r="1322">
          <cell r="A1322" t="str">
            <v>10152792-001LF</v>
          </cell>
          <cell r="B1322"/>
          <cell r="C1322">
            <v>0</v>
          </cell>
          <cell r="D1322"/>
          <cell r="E1322"/>
          <cell r="F1322"/>
          <cell r="G1322">
            <v>1.3889999999999999E-4</v>
          </cell>
          <cell r="H1322"/>
          <cell r="I1322"/>
          <cell r="J1322"/>
          <cell r="K1322"/>
          <cell r="L1322">
            <v>1.2219999999999999E-4</v>
          </cell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</row>
        <row r="1323">
          <cell r="A1323" t="str">
            <v>10152793-001</v>
          </cell>
          <cell r="B1323"/>
          <cell r="C1323"/>
          <cell r="D1323"/>
          <cell r="E1323"/>
          <cell r="F1323"/>
          <cell r="G1323"/>
          <cell r="H1323"/>
          <cell r="I1323"/>
          <cell r="J1323"/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</row>
        <row r="1324">
          <cell r="A1324" t="str">
            <v>10152793-001LF</v>
          </cell>
          <cell r="B1324"/>
          <cell r="C1324">
            <v>0</v>
          </cell>
          <cell r="D1324"/>
          <cell r="E1324"/>
          <cell r="F1324"/>
          <cell r="G1324">
            <v>1.3889999999999999E-4</v>
          </cell>
          <cell r="H1324"/>
          <cell r="I1324"/>
          <cell r="J1324"/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</row>
        <row r="1325">
          <cell r="A1325" t="str">
            <v>10152793-002</v>
          </cell>
          <cell r="B1325"/>
          <cell r="C1325"/>
          <cell r="D1325"/>
          <cell r="E1325"/>
          <cell r="F1325"/>
          <cell r="G1325"/>
          <cell r="H1325"/>
          <cell r="I1325"/>
          <cell r="J1325"/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</row>
        <row r="1326">
          <cell r="A1326" t="str">
            <v>10152793-002LF</v>
          </cell>
          <cell r="B1326"/>
          <cell r="C1326">
            <v>0</v>
          </cell>
          <cell r="D1326"/>
          <cell r="E1326"/>
          <cell r="F1326"/>
          <cell r="G1326">
            <v>1.3889999999999999E-4</v>
          </cell>
          <cell r="H1326"/>
          <cell r="I1326"/>
          <cell r="J1326"/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</row>
        <row r="1327">
          <cell r="A1327" t="str">
            <v>10152794-001LF</v>
          </cell>
          <cell r="B1327"/>
          <cell r="C1327">
            <v>0</v>
          </cell>
          <cell r="D1327"/>
          <cell r="E1327"/>
          <cell r="F1327"/>
          <cell r="G1327">
            <v>5.5999999999999999E-5</v>
          </cell>
          <cell r="H1327"/>
          <cell r="I1327"/>
          <cell r="J1327"/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</row>
        <row r="1328">
          <cell r="A1328" t="str">
            <v>10152795-001</v>
          </cell>
          <cell r="B1328"/>
          <cell r="C1328"/>
          <cell r="D1328"/>
          <cell r="E1328"/>
          <cell r="F1328"/>
          <cell r="G1328"/>
          <cell r="H1328"/>
          <cell r="I1328"/>
          <cell r="J1328"/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</row>
        <row r="1329">
          <cell r="A1329" t="str">
            <v>10152795-001LF</v>
          </cell>
          <cell r="B1329"/>
          <cell r="C1329">
            <v>0</v>
          </cell>
          <cell r="D1329"/>
          <cell r="E1329"/>
          <cell r="F1329"/>
          <cell r="G1329">
            <v>1.3889999999999999E-4</v>
          </cell>
          <cell r="H1329"/>
          <cell r="I1329"/>
          <cell r="J1329"/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</row>
        <row r="1330">
          <cell r="A1330" t="str">
            <v>10152796-001</v>
          </cell>
          <cell r="B1330"/>
          <cell r="C1330"/>
          <cell r="D1330"/>
          <cell r="E1330"/>
          <cell r="F1330"/>
          <cell r="G1330"/>
          <cell r="H1330"/>
          <cell r="I1330"/>
          <cell r="J1330"/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</row>
        <row r="1331">
          <cell r="A1331" t="str">
            <v>10152796-001LF</v>
          </cell>
          <cell r="B1331"/>
          <cell r="C1331">
            <v>0</v>
          </cell>
          <cell r="D1331"/>
          <cell r="E1331"/>
          <cell r="F1331"/>
          <cell r="G1331">
            <v>1.6666999999999999E-3</v>
          </cell>
          <cell r="H1331"/>
          <cell r="I1331"/>
          <cell r="J1331"/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</row>
        <row r="1332">
          <cell r="A1332" t="str">
            <v>10152796-002</v>
          </cell>
          <cell r="B1332"/>
          <cell r="C1332"/>
          <cell r="D1332"/>
          <cell r="E1332"/>
          <cell r="F1332"/>
          <cell r="G1332"/>
          <cell r="H1332"/>
          <cell r="I1332"/>
          <cell r="J1332"/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</row>
        <row r="1333">
          <cell r="A1333" t="str">
            <v>10152796-002LF</v>
          </cell>
          <cell r="B1333"/>
          <cell r="C1333">
            <v>0</v>
          </cell>
          <cell r="D1333"/>
          <cell r="E1333"/>
          <cell r="F1333"/>
          <cell r="G1333">
            <v>1.6666999999999999E-3</v>
          </cell>
          <cell r="H1333"/>
          <cell r="I1333"/>
          <cell r="J1333"/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</row>
        <row r="1334">
          <cell r="A1334" t="str">
            <v>10152796-003</v>
          </cell>
          <cell r="B1334"/>
          <cell r="C1334"/>
          <cell r="D1334"/>
          <cell r="E1334"/>
          <cell r="F1334"/>
          <cell r="G1334"/>
          <cell r="H1334"/>
          <cell r="I1334"/>
          <cell r="J1334"/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</row>
        <row r="1335">
          <cell r="A1335" t="str">
            <v>10152796-003LF</v>
          </cell>
          <cell r="B1335"/>
          <cell r="C1335">
            <v>0</v>
          </cell>
          <cell r="D1335"/>
          <cell r="E1335"/>
          <cell r="F1335"/>
          <cell r="G1335">
            <v>1.6666999999999999E-3</v>
          </cell>
          <cell r="H1335"/>
          <cell r="I1335"/>
          <cell r="J1335"/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</row>
        <row r="1336">
          <cell r="A1336" t="str">
            <v>10152796-004</v>
          </cell>
          <cell r="B1336"/>
          <cell r="C1336"/>
          <cell r="D1336"/>
          <cell r="E1336"/>
          <cell r="F1336"/>
          <cell r="G1336"/>
          <cell r="H1336"/>
          <cell r="I1336"/>
          <cell r="J1336"/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</row>
        <row r="1337">
          <cell r="A1337" t="str">
            <v>10152796-004LF</v>
          </cell>
          <cell r="B1337"/>
          <cell r="C1337">
            <v>0</v>
          </cell>
          <cell r="D1337"/>
          <cell r="E1337"/>
          <cell r="F1337"/>
          <cell r="G1337">
            <v>1.6666999999999999E-3</v>
          </cell>
          <cell r="H1337"/>
          <cell r="I1337"/>
          <cell r="J1337"/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</row>
        <row r="1338">
          <cell r="A1338" t="str">
            <v>10153839-101</v>
          </cell>
          <cell r="B1338"/>
          <cell r="C1338"/>
          <cell r="D1338"/>
          <cell r="E1338"/>
          <cell r="F1338"/>
          <cell r="G1338"/>
          <cell r="H1338"/>
          <cell r="I1338"/>
          <cell r="J1338"/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</row>
        <row r="1339">
          <cell r="A1339" t="str">
            <v>10153839-101LF</v>
          </cell>
          <cell r="B1339"/>
          <cell r="C1339">
            <v>0</v>
          </cell>
          <cell r="D1339"/>
          <cell r="E1339"/>
          <cell r="F1339"/>
          <cell r="G1339">
            <v>4.17E-4</v>
          </cell>
          <cell r="H1339"/>
          <cell r="I1339"/>
          <cell r="J1339"/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>
            <v>6.4599999999999998E-5</v>
          </cell>
          <cell r="W1339"/>
        </row>
        <row r="1340">
          <cell r="A1340" t="str">
            <v>10153839-201</v>
          </cell>
          <cell r="B1340"/>
          <cell r="C1340"/>
          <cell r="D1340"/>
          <cell r="E1340"/>
          <cell r="F1340"/>
          <cell r="G1340"/>
          <cell r="H1340"/>
          <cell r="I1340"/>
          <cell r="J1340"/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</row>
        <row r="1341">
          <cell r="A1341" t="str">
            <v>10153839-201LF</v>
          </cell>
          <cell r="B1341"/>
          <cell r="C1341">
            <v>0</v>
          </cell>
          <cell r="D1341"/>
          <cell r="E1341"/>
          <cell r="F1341"/>
          <cell r="G1341">
            <v>4.17E-4</v>
          </cell>
          <cell r="H1341"/>
          <cell r="I1341"/>
          <cell r="J1341"/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>
            <v>8.6100000000000006E-5</v>
          </cell>
          <cell r="W1341"/>
        </row>
        <row r="1342">
          <cell r="A1342" t="str">
            <v>10154490-001</v>
          </cell>
          <cell r="B1342"/>
          <cell r="C1342"/>
          <cell r="D1342"/>
          <cell r="E1342"/>
          <cell r="F1342"/>
          <cell r="G1342"/>
          <cell r="H1342"/>
          <cell r="I1342"/>
          <cell r="J1342"/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</row>
        <row r="1343">
          <cell r="A1343" t="str">
            <v>10154490-001LF</v>
          </cell>
          <cell r="B1343"/>
          <cell r="C1343">
            <v>0</v>
          </cell>
          <cell r="D1343"/>
          <cell r="E1343"/>
          <cell r="F1343"/>
          <cell r="G1343">
            <v>4.17E-4</v>
          </cell>
          <cell r="H1343"/>
          <cell r="I1343"/>
          <cell r="J1343"/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</row>
        <row r="1344">
          <cell r="A1344" t="str">
            <v>10154920-001</v>
          </cell>
          <cell r="B1344"/>
          <cell r="C1344">
            <v>0</v>
          </cell>
          <cell r="D1344"/>
          <cell r="E1344"/>
          <cell r="F1344">
            <v>5.2079999999999997E-4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</row>
        <row r="1345">
          <cell r="A1345" t="str">
            <v>10154921-001LF</v>
          </cell>
          <cell r="B1345"/>
          <cell r="C1345">
            <v>0</v>
          </cell>
          <cell r="D1345"/>
          <cell r="E1345"/>
          <cell r="F1345"/>
          <cell r="G1345">
            <v>1.1111000000000001E-3</v>
          </cell>
          <cell r="H1345"/>
          <cell r="I1345"/>
          <cell r="J1345"/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>
            <v>6.9439999999999997E-4</v>
          </cell>
        </row>
        <row r="1346">
          <cell r="A1346" t="str">
            <v>10156663 001LB</v>
          </cell>
          <cell r="B1346"/>
          <cell r="C1346">
            <v>0</v>
          </cell>
          <cell r="D1346"/>
          <cell r="E1346"/>
          <cell r="F1346"/>
          <cell r="G1346"/>
          <cell r="H1346"/>
          <cell r="I1346"/>
          <cell r="J1346"/>
          <cell r="K1346"/>
          <cell r="L1346"/>
          <cell r="M1346">
            <v>1.2219999999999999E-4</v>
          </cell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</row>
        <row r="1347">
          <cell r="A1347" t="str">
            <v>10156663 002LB</v>
          </cell>
          <cell r="B1347"/>
          <cell r="C1347">
            <v>0</v>
          </cell>
          <cell r="D1347"/>
          <cell r="E1347"/>
          <cell r="F1347"/>
          <cell r="G1347"/>
          <cell r="H1347"/>
          <cell r="I1347"/>
          <cell r="J1347"/>
          <cell r="K1347"/>
          <cell r="L1347"/>
          <cell r="M1347">
            <v>1.2219999999999999E-4</v>
          </cell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</row>
        <row r="1348">
          <cell r="A1348" t="str">
            <v>10156663-001</v>
          </cell>
          <cell r="B1348"/>
          <cell r="C1348"/>
          <cell r="D1348"/>
          <cell r="E1348"/>
          <cell r="F1348"/>
          <cell r="G1348"/>
          <cell r="H1348"/>
          <cell r="I1348"/>
          <cell r="J1348"/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</row>
        <row r="1349">
          <cell r="A1349" t="str">
            <v>10156663-001LB</v>
          </cell>
          <cell r="B1349"/>
          <cell r="C1349">
            <v>0</v>
          </cell>
          <cell r="D1349"/>
          <cell r="E1349"/>
          <cell r="F1349"/>
          <cell r="G1349"/>
          <cell r="H1349"/>
          <cell r="I1349"/>
          <cell r="J1349"/>
          <cell r="K1349"/>
          <cell r="L1349"/>
          <cell r="M1349">
            <v>1.2219999999999999E-4</v>
          </cell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</row>
        <row r="1350">
          <cell r="A1350" t="str">
            <v>10156663-001LF</v>
          </cell>
          <cell r="B1350"/>
          <cell r="C1350">
            <v>0</v>
          </cell>
          <cell r="D1350"/>
          <cell r="E1350"/>
          <cell r="F1350"/>
          <cell r="G1350">
            <v>1.6666999999999999E-3</v>
          </cell>
          <cell r="H1350"/>
          <cell r="I1350"/>
          <cell r="J1350"/>
          <cell r="K1350"/>
          <cell r="L1350">
            <v>1.2219999999999999E-4</v>
          </cell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</row>
        <row r="1351">
          <cell r="A1351" t="str">
            <v>10156663-002</v>
          </cell>
          <cell r="B1351"/>
          <cell r="C1351"/>
          <cell r="D1351"/>
          <cell r="E1351"/>
          <cell r="F1351"/>
          <cell r="G1351"/>
          <cell r="H1351"/>
          <cell r="I1351"/>
          <cell r="J1351"/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</row>
        <row r="1352">
          <cell r="A1352" t="str">
            <v>10156663-002LB</v>
          </cell>
          <cell r="B1352"/>
          <cell r="C1352">
            <v>0</v>
          </cell>
          <cell r="D1352"/>
          <cell r="E1352"/>
          <cell r="F1352"/>
          <cell r="G1352"/>
          <cell r="H1352"/>
          <cell r="I1352"/>
          <cell r="J1352"/>
          <cell r="K1352"/>
          <cell r="L1352"/>
          <cell r="M1352">
            <v>1.2219999999999999E-4</v>
          </cell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</row>
        <row r="1353">
          <cell r="A1353" t="str">
            <v>10156663-002LF</v>
          </cell>
          <cell r="B1353"/>
          <cell r="C1353">
            <v>0</v>
          </cell>
          <cell r="D1353"/>
          <cell r="E1353"/>
          <cell r="F1353"/>
          <cell r="G1353">
            <v>1.6666999999999999E-3</v>
          </cell>
          <cell r="H1353"/>
          <cell r="I1353"/>
          <cell r="J1353"/>
          <cell r="K1353"/>
          <cell r="L1353">
            <v>1.2219999999999999E-4</v>
          </cell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</row>
        <row r="1354">
          <cell r="A1354" t="str">
            <v>10156664 001LB</v>
          </cell>
          <cell r="B1354"/>
          <cell r="C1354">
            <v>0</v>
          </cell>
          <cell r="D1354"/>
          <cell r="E1354"/>
          <cell r="F1354"/>
          <cell r="G1354"/>
          <cell r="H1354"/>
          <cell r="I1354"/>
          <cell r="J1354"/>
          <cell r="K1354"/>
          <cell r="L1354"/>
          <cell r="M1354">
            <v>1.2219999999999999E-4</v>
          </cell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</row>
        <row r="1355">
          <cell r="A1355" t="str">
            <v>10156664-001</v>
          </cell>
          <cell r="B1355"/>
          <cell r="C1355"/>
          <cell r="D1355"/>
          <cell r="E1355"/>
          <cell r="F1355"/>
          <cell r="G1355"/>
          <cell r="H1355"/>
          <cell r="I1355"/>
          <cell r="J1355"/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</row>
        <row r="1356">
          <cell r="A1356" t="str">
            <v>10156664-001LB</v>
          </cell>
          <cell r="B1356"/>
          <cell r="C1356">
            <v>0</v>
          </cell>
          <cell r="D1356"/>
          <cell r="E1356"/>
          <cell r="F1356"/>
          <cell r="G1356"/>
          <cell r="H1356"/>
          <cell r="I1356"/>
          <cell r="J1356"/>
          <cell r="K1356"/>
          <cell r="L1356"/>
          <cell r="M1356">
            <v>1.2219999999999999E-4</v>
          </cell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</row>
        <row r="1357">
          <cell r="A1357" t="str">
            <v>10156664-001LF</v>
          </cell>
          <cell r="B1357"/>
          <cell r="C1357">
            <v>0</v>
          </cell>
          <cell r="D1357"/>
          <cell r="E1357"/>
          <cell r="F1357"/>
          <cell r="G1357">
            <v>5.5555600000000002E-4</v>
          </cell>
          <cell r="H1357"/>
          <cell r="I1357"/>
          <cell r="J1357"/>
          <cell r="K1357"/>
          <cell r="L1357">
            <v>1.2219999999999999E-4</v>
          </cell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</row>
        <row r="1358">
          <cell r="A1358" t="str">
            <v>10156665 001LB</v>
          </cell>
          <cell r="B1358"/>
          <cell r="C1358">
            <v>0</v>
          </cell>
          <cell r="D1358"/>
          <cell r="E1358"/>
          <cell r="F1358"/>
          <cell r="G1358"/>
          <cell r="H1358"/>
          <cell r="I1358"/>
          <cell r="J1358"/>
          <cell r="K1358"/>
          <cell r="L1358"/>
          <cell r="M1358">
            <v>1.2219999999999999E-4</v>
          </cell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</row>
        <row r="1359">
          <cell r="A1359" t="str">
            <v>10156665-001</v>
          </cell>
          <cell r="B1359"/>
          <cell r="C1359"/>
          <cell r="D1359"/>
          <cell r="E1359"/>
          <cell r="F1359"/>
          <cell r="G1359"/>
          <cell r="H1359"/>
          <cell r="I1359"/>
          <cell r="J1359"/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</row>
        <row r="1360">
          <cell r="A1360" t="str">
            <v>10156665-001LB</v>
          </cell>
          <cell r="B1360"/>
          <cell r="C1360">
            <v>0</v>
          </cell>
          <cell r="D1360"/>
          <cell r="E1360"/>
          <cell r="F1360"/>
          <cell r="G1360"/>
          <cell r="H1360"/>
          <cell r="I1360"/>
          <cell r="J1360"/>
          <cell r="K1360"/>
          <cell r="L1360"/>
          <cell r="M1360">
            <v>1.2219999999999999E-4</v>
          </cell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</row>
        <row r="1361">
          <cell r="A1361" t="str">
            <v>10156665-001lf</v>
          </cell>
          <cell r="B1361"/>
          <cell r="C1361">
            <v>0</v>
          </cell>
          <cell r="D1361"/>
          <cell r="E1361"/>
          <cell r="F1361"/>
          <cell r="G1361">
            <v>5.5555600000000002E-4</v>
          </cell>
          <cell r="H1361"/>
          <cell r="I1361"/>
          <cell r="J1361"/>
          <cell r="K1361"/>
          <cell r="L1361">
            <v>1.2219999999999999E-4</v>
          </cell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</row>
        <row r="1362">
          <cell r="A1362" t="str">
            <v>10156667-001</v>
          </cell>
          <cell r="B1362"/>
          <cell r="C1362">
            <v>0</v>
          </cell>
          <cell r="D1362"/>
          <cell r="E1362"/>
          <cell r="F1362"/>
          <cell r="G1362"/>
          <cell r="H1362"/>
          <cell r="I1362"/>
          <cell r="J1362"/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</row>
        <row r="1363">
          <cell r="A1363" t="str">
            <v>10156667-002</v>
          </cell>
          <cell r="B1363"/>
          <cell r="C1363">
            <v>0</v>
          </cell>
          <cell r="D1363"/>
          <cell r="E1363"/>
          <cell r="F1363"/>
          <cell r="G1363"/>
          <cell r="H1363"/>
          <cell r="I1363"/>
          <cell r="J1363"/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</row>
        <row r="1364">
          <cell r="A1364" t="str">
            <v>10156668-001LF</v>
          </cell>
          <cell r="B1364"/>
          <cell r="C1364">
            <v>0</v>
          </cell>
          <cell r="D1364"/>
          <cell r="E1364"/>
          <cell r="F1364"/>
          <cell r="G1364"/>
          <cell r="H1364"/>
          <cell r="I1364"/>
          <cell r="J1364"/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>
            <v>6.6699999999999995E-5</v>
          </cell>
          <cell r="W1364"/>
        </row>
        <row r="1365">
          <cell r="A1365" t="str">
            <v>10156668-001U</v>
          </cell>
          <cell r="B1365"/>
          <cell r="C1365"/>
          <cell r="D1365"/>
          <cell r="E1365"/>
          <cell r="F1365"/>
          <cell r="G1365"/>
          <cell r="H1365"/>
          <cell r="I1365"/>
          <cell r="J1365"/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</row>
        <row r="1366">
          <cell r="A1366" t="str">
            <v>10156668-002LF</v>
          </cell>
          <cell r="B1366"/>
          <cell r="C1366">
            <v>0</v>
          </cell>
          <cell r="D1366"/>
          <cell r="E1366"/>
          <cell r="F1366"/>
          <cell r="G1366"/>
          <cell r="H1366"/>
          <cell r="I1366"/>
          <cell r="J1366"/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>
            <v>6.6699999999999995E-5</v>
          </cell>
          <cell r="W1366"/>
        </row>
        <row r="1367">
          <cell r="A1367" t="str">
            <v>10156668-002U</v>
          </cell>
          <cell r="B1367"/>
          <cell r="C1367"/>
          <cell r="D1367"/>
          <cell r="E1367"/>
          <cell r="F1367"/>
          <cell r="G1367"/>
          <cell r="H1367"/>
          <cell r="I1367"/>
          <cell r="J1367"/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</row>
        <row r="1368">
          <cell r="A1368" t="str">
            <v>10156669-001LF</v>
          </cell>
          <cell r="B1368"/>
          <cell r="C1368">
            <v>0</v>
          </cell>
          <cell r="D1368"/>
          <cell r="E1368"/>
          <cell r="F1368"/>
          <cell r="G1368"/>
          <cell r="H1368"/>
          <cell r="I1368"/>
          <cell r="J1368"/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>
            <v>5.8300000000000001E-5</v>
          </cell>
          <cell r="W1368"/>
        </row>
        <row r="1369">
          <cell r="A1369" t="str">
            <v>10156669-001U</v>
          </cell>
          <cell r="B1369"/>
          <cell r="C1369"/>
          <cell r="D1369"/>
          <cell r="E1369"/>
          <cell r="F1369"/>
          <cell r="G1369"/>
          <cell r="H1369"/>
          <cell r="I1369"/>
          <cell r="J1369"/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</row>
        <row r="1370">
          <cell r="A1370" t="str">
            <v>10156669-002LF</v>
          </cell>
          <cell r="B1370"/>
          <cell r="C1370">
            <v>0</v>
          </cell>
          <cell r="D1370"/>
          <cell r="E1370"/>
          <cell r="F1370"/>
          <cell r="G1370"/>
          <cell r="H1370"/>
          <cell r="I1370"/>
          <cell r="J1370"/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>
            <v>5.8300000000000001E-5</v>
          </cell>
          <cell r="W1370"/>
        </row>
        <row r="1371">
          <cell r="A1371" t="str">
            <v>10156669-002U</v>
          </cell>
          <cell r="B1371"/>
          <cell r="C1371"/>
          <cell r="D1371"/>
          <cell r="E1371"/>
          <cell r="F1371"/>
          <cell r="G1371"/>
          <cell r="H1371"/>
          <cell r="I1371"/>
          <cell r="J1371"/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</row>
        <row r="1372">
          <cell r="A1372" t="str">
            <v>10156670-001LF</v>
          </cell>
          <cell r="B1372"/>
          <cell r="C1372">
            <v>0</v>
          </cell>
          <cell r="D1372"/>
          <cell r="E1372"/>
          <cell r="F1372"/>
          <cell r="G1372"/>
          <cell r="H1372"/>
          <cell r="I1372"/>
          <cell r="J1372"/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</row>
        <row r="1373">
          <cell r="A1373" t="str">
            <v>10156670-001U</v>
          </cell>
          <cell r="B1373"/>
          <cell r="C1373"/>
          <cell r="D1373"/>
          <cell r="E1373"/>
          <cell r="F1373"/>
          <cell r="G1373"/>
          <cell r="H1373"/>
          <cell r="I1373"/>
          <cell r="J1373"/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</row>
        <row r="1374">
          <cell r="A1374" t="str">
            <v>10156671-001LF</v>
          </cell>
          <cell r="B1374"/>
          <cell r="C1374">
            <v>0</v>
          </cell>
          <cell r="D1374"/>
          <cell r="E1374"/>
          <cell r="F1374"/>
          <cell r="G1374">
            <v>4.1193999999999996E-3</v>
          </cell>
          <cell r="H1374"/>
          <cell r="I1374"/>
          <cell r="J1374"/>
          <cell r="K1374"/>
          <cell r="L1374"/>
          <cell r="M1374"/>
          <cell r="N1374">
            <v>1.0259300000000001E-2</v>
          </cell>
          <cell r="O1374"/>
          <cell r="P1374"/>
          <cell r="Q1374"/>
          <cell r="R1374"/>
          <cell r="S1374"/>
          <cell r="T1374"/>
          <cell r="U1374"/>
          <cell r="V1374"/>
          <cell r="W1374"/>
        </row>
        <row r="1375">
          <cell r="A1375" t="str">
            <v>10156832-001</v>
          </cell>
          <cell r="B1375"/>
          <cell r="C1375"/>
          <cell r="D1375"/>
          <cell r="E1375"/>
          <cell r="F1375"/>
          <cell r="G1375"/>
          <cell r="H1375"/>
          <cell r="I1375"/>
          <cell r="J1375"/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</row>
        <row r="1376">
          <cell r="A1376" t="str">
            <v>10156832-001LF</v>
          </cell>
          <cell r="B1376"/>
          <cell r="C1376">
            <v>0</v>
          </cell>
          <cell r="D1376"/>
          <cell r="E1376"/>
          <cell r="F1376"/>
          <cell r="G1376">
            <v>3.4719999999999998E-4</v>
          </cell>
          <cell r="H1376"/>
          <cell r="I1376"/>
          <cell r="J1376"/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</row>
        <row r="1377">
          <cell r="A1377" t="str">
            <v>10157266-001LF</v>
          </cell>
          <cell r="B1377"/>
          <cell r="C1377"/>
          <cell r="D1377"/>
          <cell r="E1377"/>
          <cell r="F1377"/>
          <cell r="G1377">
            <v>4.5139000000000004E-3</v>
          </cell>
          <cell r="H1377"/>
          <cell r="I1377"/>
          <cell r="J1377"/>
          <cell r="K1377"/>
          <cell r="L1377"/>
          <cell r="M1377"/>
          <cell r="N1377">
            <v>1.3888899999999999E-2</v>
          </cell>
          <cell r="O1377"/>
          <cell r="P1377"/>
          <cell r="Q1377"/>
          <cell r="R1377"/>
          <cell r="S1377"/>
          <cell r="T1377"/>
          <cell r="U1377"/>
          <cell r="V1377"/>
          <cell r="W1377"/>
        </row>
        <row r="1378">
          <cell r="A1378" t="str">
            <v>10157267-001</v>
          </cell>
          <cell r="B1378"/>
          <cell r="C1378"/>
          <cell r="D1378"/>
          <cell r="E1378"/>
          <cell r="F1378"/>
          <cell r="G1378"/>
          <cell r="H1378"/>
          <cell r="I1378"/>
          <cell r="J1378"/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</row>
        <row r="1379">
          <cell r="A1379" t="str">
            <v>10157267-001LF</v>
          </cell>
          <cell r="B1379"/>
          <cell r="C1379"/>
          <cell r="D1379"/>
          <cell r="E1379"/>
          <cell r="F1379"/>
          <cell r="G1379"/>
          <cell r="H1379"/>
          <cell r="I1379">
            <v>5.5559999999999995E-4</v>
          </cell>
          <cell r="J1379"/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</row>
        <row r="1380">
          <cell r="A1380" t="str">
            <v>10157268-001</v>
          </cell>
          <cell r="B1380"/>
          <cell r="C1380"/>
          <cell r="D1380"/>
          <cell r="E1380"/>
          <cell r="F1380"/>
          <cell r="G1380"/>
          <cell r="H1380"/>
          <cell r="I1380"/>
          <cell r="J1380"/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</row>
        <row r="1381">
          <cell r="A1381" t="str">
            <v>10157268-001C</v>
          </cell>
          <cell r="B1381"/>
          <cell r="C1381"/>
          <cell r="D1381">
            <v>1.6000000000000001E-3</v>
          </cell>
          <cell r="E1381"/>
          <cell r="F1381"/>
          <cell r="G1381"/>
          <cell r="H1381"/>
          <cell r="I1381"/>
          <cell r="J1381"/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</row>
        <row r="1382">
          <cell r="A1382" t="str">
            <v>10157424-001</v>
          </cell>
          <cell r="B1382"/>
          <cell r="C1382"/>
          <cell r="D1382"/>
          <cell r="E1382"/>
          <cell r="F1382">
            <v>3.6110999999999999E-3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</row>
        <row r="1383">
          <cell r="A1383" t="str">
            <v>10157424-K01</v>
          </cell>
          <cell r="B1383"/>
          <cell r="C1383"/>
          <cell r="D1383"/>
          <cell r="E1383"/>
          <cell r="F1383">
            <v>4.7222000000000002E-3</v>
          </cell>
          <cell r="G1383"/>
          <cell r="H1383">
            <v>4.7222000000000002E-3</v>
          </cell>
          <cell r="I1383"/>
          <cell r="J1383"/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</row>
        <row r="1384">
          <cell r="A1384" t="str">
            <v>10157429-001</v>
          </cell>
          <cell r="B1384"/>
          <cell r="C1384"/>
          <cell r="D1384"/>
          <cell r="E1384"/>
          <cell r="F1384">
            <v>2.7778E-3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</row>
        <row r="1385">
          <cell r="A1385" t="str">
            <v>10157429-K01</v>
          </cell>
          <cell r="B1385"/>
          <cell r="C1385"/>
          <cell r="D1385"/>
          <cell r="E1385"/>
          <cell r="F1385">
            <v>2.7778E-3</v>
          </cell>
          <cell r="G1385"/>
          <cell r="H1385">
            <v>1.3889E-3</v>
          </cell>
          <cell r="I1385"/>
          <cell r="J1385"/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</row>
        <row r="1386">
          <cell r="A1386" t="str">
            <v>10158287-1RF057HF</v>
          </cell>
          <cell r="B1386"/>
          <cell r="C1386"/>
          <cell r="D1386"/>
          <cell r="E1386"/>
          <cell r="F1386"/>
          <cell r="G1386">
            <v>4.1388800000000003E-2</v>
          </cell>
          <cell r="H1386"/>
          <cell r="I1386"/>
          <cell r="J1386"/>
          <cell r="K1386"/>
          <cell r="L1386"/>
          <cell r="M1386"/>
          <cell r="N1386">
            <v>0.26666669999999998</v>
          </cell>
          <cell r="O1386"/>
          <cell r="P1386"/>
          <cell r="Q1386"/>
          <cell r="R1386"/>
          <cell r="S1386"/>
          <cell r="T1386"/>
          <cell r="U1386"/>
          <cell r="V1386"/>
          <cell r="W1386"/>
        </row>
        <row r="1387">
          <cell r="A1387" t="str">
            <v>10158287-2D0012LF</v>
          </cell>
          <cell r="B1387"/>
          <cell r="C1387"/>
          <cell r="D1387"/>
          <cell r="E1387"/>
          <cell r="F1387"/>
          <cell r="G1387">
            <v>4.1319399999999999E-2</v>
          </cell>
          <cell r="H1387"/>
          <cell r="I1387"/>
          <cell r="J1387"/>
          <cell r="K1387"/>
          <cell r="L1387"/>
          <cell r="M1387"/>
          <cell r="N1387">
            <v>0.39722220000000003</v>
          </cell>
          <cell r="O1387"/>
          <cell r="P1387"/>
          <cell r="Q1387"/>
          <cell r="R1387"/>
          <cell r="S1387"/>
          <cell r="T1387"/>
          <cell r="U1387"/>
          <cell r="V1387"/>
          <cell r="W1387"/>
        </row>
        <row r="1388">
          <cell r="A1388" t="str">
            <v>10158287-9RF034HF</v>
          </cell>
          <cell r="B1388"/>
          <cell r="C1388"/>
          <cell r="D1388"/>
          <cell r="E1388"/>
          <cell r="F1388"/>
          <cell r="G1388">
            <v>4.1388800000000003E-2</v>
          </cell>
          <cell r="H1388"/>
          <cell r="I1388"/>
          <cell r="J1388"/>
          <cell r="K1388"/>
          <cell r="L1388"/>
          <cell r="M1388"/>
          <cell r="N1388">
            <v>0.26666669999999998</v>
          </cell>
          <cell r="O1388"/>
          <cell r="P1388"/>
          <cell r="Q1388"/>
          <cell r="R1388"/>
          <cell r="S1388"/>
          <cell r="T1388"/>
          <cell r="U1388"/>
          <cell r="V1388"/>
          <cell r="W1388"/>
        </row>
        <row r="1389">
          <cell r="A1389" t="str">
            <v>10159169-2005S01LF</v>
          </cell>
          <cell r="B1389"/>
          <cell r="C1389"/>
          <cell r="D1389"/>
          <cell r="E1389"/>
          <cell r="F1389"/>
          <cell r="G1389">
            <v>3.2000000000000001E-2</v>
          </cell>
          <cell r="H1389"/>
          <cell r="I1389"/>
          <cell r="J1389"/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>
            <v>3.0000000000000001E-3</v>
          </cell>
        </row>
        <row r="1390">
          <cell r="A1390" t="str">
            <v>10160606-101LF</v>
          </cell>
          <cell r="B1390"/>
          <cell r="C1390"/>
          <cell r="D1390"/>
          <cell r="E1390"/>
          <cell r="F1390"/>
          <cell r="G1390">
            <v>5.5559999999999995E-4</v>
          </cell>
          <cell r="H1390"/>
          <cell r="I1390"/>
          <cell r="J1390"/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</row>
        <row r="1391">
          <cell r="A1391" t="str">
            <v>10160606-102LF</v>
          </cell>
          <cell r="B1391"/>
          <cell r="C1391"/>
          <cell r="D1391"/>
          <cell r="E1391"/>
          <cell r="F1391"/>
          <cell r="G1391">
            <v>5.5559999999999995E-4</v>
          </cell>
          <cell r="H1391"/>
          <cell r="I1391"/>
          <cell r="J1391"/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</row>
        <row r="1392">
          <cell r="A1392" t="str">
            <v>10161113-001</v>
          </cell>
          <cell r="B1392"/>
          <cell r="C1392"/>
          <cell r="D1392"/>
          <cell r="E1392"/>
          <cell r="F1392"/>
          <cell r="G1392"/>
          <cell r="H1392"/>
          <cell r="I1392"/>
          <cell r="J1392"/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</row>
        <row r="1393">
          <cell r="A1393" t="str">
            <v>10161113-001U</v>
          </cell>
          <cell r="B1393"/>
          <cell r="C1393"/>
          <cell r="D1393"/>
          <cell r="E1393"/>
          <cell r="F1393"/>
          <cell r="G1393"/>
          <cell r="H1393"/>
          <cell r="I1393"/>
          <cell r="J1393"/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</row>
        <row r="1394">
          <cell r="A1394" t="str">
            <v>10161113-002</v>
          </cell>
          <cell r="B1394"/>
          <cell r="C1394"/>
          <cell r="D1394"/>
          <cell r="E1394"/>
          <cell r="F1394"/>
          <cell r="G1394"/>
          <cell r="H1394"/>
          <cell r="I1394"/>
          <cell r="J1394"/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</row>
        <row r="1395">
          <cell r="A1395" t="str">
            <v>10161113-002U</v>
          </cell>
          <cell r="B1395"/>
          <cell r="C1395"/>
          <cell r="D1395"/>
          <cell r="E1395"/>
          <cell r="F1395"/>
          <cell r="G1395"/>
          <cell r="H1395"/>
          <cell r="I1395"/>
          <cell r="J1395"/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</row>
        <row r="1396">
          <cell r="A1396" t="str">
            <v>10161933-S01LF</v>
          </cell>
          <cell r="B1396"/>
          <cell r="C1396"/>
          <cell r="D1396"/>
          <cell r="E1396"/>
          <cell r="F1396"/>
          <cell r="G1396">
            <v>4.5138000000000001E-3</v>
          </cell>
          <cell r="H1396"/>
          <cell r="I1396"/>
          <cell r="J1396"/>
          <cell r="K1396"/>
          <cell r="L1396"/>
          <cell r="M1396"/>
          <cell r="N1396">
            <v>1.38888E-2</v>
          </cell>
          <cell r="O1396"/>
          <cell r="P1396"/>
          <cell r="Q1396"/>
          <cell r="R1396"/>
          <cell r="S1396"/>
          <cell r="T1396"/>
          <cell r="U1396"/>
          <cell r="V1396"/>
          <cell r="W1396"/>
        </row>
        <row r="1397">
          <cell r="A1397" t="str">
            <v>10161934-001</v>
          </cell>
          <cell r="B1397"/>
          <cell r="C1397"/>
          <cell r="D1397"/>
          <cell r="E1397"/>
          <cell r="F1397"/>
          <cell r="G1397"/>
          <cell r="H1397"/>
          <cell r="I1397"/>
          <cell r="J1397"/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</row>
        <row r="1398">
          <cell r="A1398" t="str">
            <v>10161934-001C</v>
          </cell>
          <cell r="B1398"/>
          <cell r="C1398"/>
          <cell r="D1398">
            <v>1.6000000000000001E-3</v>
          </cell>
          <cell r="E1398"/>
          <cell r="F1398"/>
          <cell r="G1398"/>
          <cell r="H1398"/>
          <cell r="I1398"/>
          <cell r="J1398"/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</row>
        <row r="1399">
          <cell r="A1399" t="str">
            <v>10161935-001</v>
          </cell>
          <cell r="B1399"/>
          <cell r="C1399"/>
          <cell r="D1399"/>
          <cell r="E1399"/>
          <cell r="F1399"/>
          <cell r="G1399"/>
          <cell r="H1399"/>
          <cell r="I1399"/>
          <cell r="J1399"/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</row>
        <row r="1400">
          <cell r="A1400" t="str">
            <v>10161935-S01LF</v>
          </cell>
          <cell r="B1400"/>
          <cell r="C1400"/>
          <cell r="D1400"/>
          <cell r="E1400"/>
          <cell r="F1400"/>
          <cell r="G1400"/>
          <cell r="H1400"/>
          <cell r="I1400"/>
          <cell r="J1400"/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>
            <v>5.2079999999999997E-4</v>
          </cell>
          <cell r="W1400"/>
        </row>
        <row r="1401">
          <cell r="A1401" t="str">
            <v>10162039-001</v>
          </cell>
          <cell r="B1401"/>
          <cell r="C1401"/>
          <cell r="D1401"/>
          <cell r="E1401"/>
          <cell r="F1401"/>
          <cell r="G1401"/>
          <cell r="H1401"/>
          <cell r="I1401"/>
          <cell r="J1401"/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</row>
        <row r="1402">
          <cell r="A1402" t="str">
            <v>10162039-S01LF</v>
          </cell>
          <cell r="B1402"/>
          <cell r="C1402"/>
          <cell r="D1402"/>
          <cell r="E1402"/>
          <cell r="F1402"/>
          <cell r="G1402"/>
          <cell r="H1402"/>
          <cell r="I1402"/>
          <cell r="J1402"/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>
            <v>1.852E-4</v>
          </cell>
          <cell r="W1402"/>
        </row>
        <row r="1403">
          <cell r="A1403" t="str">
            <v>10162041-001</v>
          </cell>
          <cell r="B1403"/>
          <cell r="C1403"/>
          <cell r="D1403"/>
          <cell r="E1403"/>
          <cell r="F1403">
            <v>0.01</v>
          </cell>
          <cell r="G1403"/>
          <cell r="H1403">
            <v>1.3887999999999999E-3</v>
          </cell>
          <cell r="I1403"/>
          <cell r="J1403"/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</row>
        <row r="1404">
          <cell r="A1404" t="str">
            <v>10162042-001</v>
          </cell>
          <cell r="B1404"/>
          <cell r="C1404"/>
          <cell r="D1404"/>
          <cell r="E1404"/>
          <cell r="F1404">
            <v>1.3889E-3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</row>
        <row r="1405">
          <cell r="A1405" t="str">
            <v>10162043-001</v>
          </cell>
          <cell r="B1405"/>
          <cell r="C1405"/>
          <cell r="D1405"/>
          <cell r="E1405"/>
          <cell r="F1405">
            <v>1.25E-3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  <cell r="P1405"/>
          <cell r="Q1405">
            <v>1.8056000000000001E-3</v>
          </cell>
          <cell r="R1405"/>
          <cell r="S1405"/>
          <cell r="T1405"/>
          <cell r="U1405"/>
          <cell r="V1405"/>
          <cell r="W1405"/>
        </row>
        <row r="1406">
          <cell r="A1406" t="str">
            <v>10162135-001</v>
          </cell>
          <cell r="B1406"/>
          <cell r="C1406"/>
          <cell r="D1406">
            <v>0</v>
          </cell>
          <cell r="E1406"/>
          <cell r="F1406"/>
          <cell r="G1406"/>
          <cell r="H1406"/>
          <cell r="I1406"/>
          <cell r="J1406"/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</row>
        <row r="1407">
          <cell r="A1407" t="str">
            <v>10162135-001U</v>
          </cell>
          <cell r="B1407"/>
          <cell r="C1407"/>
          <cell r="D1407"/>
          <cell r="E1407"/>
          <cell r="F1407"/>
          <cell r="G1407"/>
          <cell r="H1407"/>
          <cell r="I1407"/>
          <cell r="J1407"/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</row>
        <row r="1408">
          <cell r="A1408" t="str">
            <v>10162135-002</v>
          </cell>
          <cell r="B1408"/>
          <cell r="C1408"/>
          <cell r="D1408">
            <v>0</v>
          </cell>
          <cell r="E1408"/>
          <cell r="F1408"/>
          <cell r="G1408"/>
          <cell r="H1408"/>
          <cell r="I1408"/>
          <cell r="J1408"/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</row>
        <row r="1409">
          <cell r="A1409" t="str">
            <v>10162135-002U</v>
          </cell>
          <cell r="B1409"/>
          <cell r="C1409"/>
          <cell r="D1409"/>
          <cell r="E1409"/>
          <cell r="F1409"/>
          <cell r="G1409"/>
          <cell r="H1409"/>
          <cell r="I1409"/>
          <cell r="J1409"/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</row>
        <row r="1410">
          <cell r="A1410" t="str">
            <v>10162324-003</v>
          </cell>
          <cell r="B1410"/>
          <cell r="C1410"/>
          <cell r="D1410"/>
          <cell r="E1410"/>
          <cell r="F1410"/>
          <cell r="G1410"/>
          <cell r="H1410"/>
          <cell r="I1410"/>
          <cell r="J1410"/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</row>
        <row r="1411">
          <cell r="A1411" t="str">
            <v>10162324-003U</v>
          </cell>
          <cell r="B1411"/>
          <cell r="C1411"/>
          <cell r="D1411"/>
          <cell r="E1411"/>
          <cell r="F1411"/>
          <cell r="G1411"/>
          <cell r="H1411"/>
          <cell r="I1411"/>
          <cell r="J1411"/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</row>
        <row r="1412">
          <cell r="A1412" t="str">
            <v>10162333-001LF</v>
          </cell>
          <cell r="B1412"/>
          <cell r="C1412">
            <v>0</v>
          </cell>
          <cell r="D1412"/>
          <cell r="E1412"/>
          <cell r="F1412"/>
          <cell r="G1412"/>
          <cell r="H1412"/>
          <cell r="I1412"/>
          <cell r="J1412"/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</row>
        <row r="1413">
          <cell r="A1413" t="str">
            <v>10162333-001U</v>
          </cell>
          <cell r="B1413"/>
          <cell r="C1413"/>
          <cell r="D1413"/>
          <cell r="E1413"/>
          <cell r="F1413"/>
          <cell r="G1413"/>
          <cell r="H1413"/>
          <cell r="I1413"/>
          <cell r="J1413"/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</row>
        <row r="1414">
          <cell r="A1414" t="str">
            <v>10162334-001LF</v>
          </cell>
          <cell r="B1414"/>
          <cell r="C1414">
            <v>0</v>
          </cell>
          <cell r="D1414"/>
          <cell r="E1414"/>
          <cell r="F1414"/>
          <cell r="G1414"/>
          <cell r="H1414"/>
          <cell r="I1414"/>
          <cell r="J1414"/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</row>
        <row r="1415">
          <cell r="A1415" t="str">
            <v>10162334-001U</v>
          </cell>
          <cell r="B1415"/>
          <cell r="C1415"/>
          <cell r="D1415"/>
          <cell r="E1415"/>
          <cell r="F1415"/>
          <cell r="G1415"/>
          <cell r="H1415"/>
          <cell r="I1415"/>
          <cell r="J1415"/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</row>
        <row r="1416">
          <cell r="A1416" t="str">
            <v>10162335-001LF</v>
          </cell>
          <cell r="B1416"/>
          <cell r="C1416">
            <v>0</v>
          </cell>
          <cell r="D1416"/>
          <cell r="E1416"/>
          <cell r="F1416"/>
          <cell r="G1416"/>
          <cell r="H1416">
            <v>2.2222000000000001E-3</v>
          </cell>
          <cell r="I1416"/>
          <cell r="J1416"/>
          <cell r="K1416"/>
          <cell r="L1416"/>
          <cell r="M1416"/>
          <cell r="N1416"/>
          <cell r="O1416"/>
          <cell r="P1416">
            <v>4.4444000000000003E-3</v>
          </cell>
          <cell r="Q1416"/>
          <cell r="R1416"/>
          <cell r="S1416"/>
          <cell r="T1416"/>
          <cell r="U1416"/>
          <cell r="V1416"/>
          <cell r="W1416"/>
        </row>
        <row r="1417">
          <cell r="A1417" t="str">
            <v>10162335-101LF</v>
          </cell>
          <cell r="B1417"/>
          <cell r="C1417">
            <v>0</v>
          </cell>
          <cell r="D1417"/>
          <cell r="E1417"/>
          <cell r="F1417"/>
          <cell r="G1417"/>
          <cell r="H1417">
            <v>2.2222000000000001E-3</v>
          </cell>
          <cell r="I1417"/>
          <cell r="J1417"/>
          <cell r="K1417"/>
          <cell r="L1417"/>
          <cell r="M1417"/>
          <cell r="N1417"/>
          <cell r="O1417"/>
          <cell r="P1417">
            <v>4.4444000000000003E-3</v>
          </cell>
          <cell r="Q1417"/>
          <cell r="R1417"/>
          <cell r="S1417"/>
          <cell r="T1417"/>
          <cell r="U1417"/>
          <cell r="V1417"/>
          <cell r="W1417"/>
        </row>
        <row r="1418">
          <cell r="A1418" t="str">
            <v>10162405-1S2004LF</v>
          </cell>
          <cell r="B1418"/>
          <cell r="C1418"/>
          <cell r="D1418"/>
          <cell r="E1418"/>
          <cell r="F1418"/>
          <cell r="G1418">
            <v>0.1538194</v>
          </cell>
          <cell r="H1418"/>
          <cell r="I1418"/>
          <cell r="J1418"/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</row>
        <row r="1419">
          <cell r="A1419" t="str">
            <v>10162405-1S2009LF</v>
          </cell>
          <cell r="B1419"/>
          <cell r="C1419"/>
          <cell r="D1419"/>
          <cell r="E1419"/>
          <cell r="F1419"/>
          <cell r="G1419">
            <v>1.3888899999999999E-2</v>
          </cell>
          <cell r="H1419"/>
          <cell r="I1419"/>
          <cell r="J1419"/>
          <cell r="K1419"/>
          <cell r="L1419"/>
          <cell r="M1419"/>
          <cell r="N1419">
            <v>0.15590280000000001</v>
          </cell>
          <cell r="O1419"/>
          <cell r="P1419"/>
          <cell r="Q1419"/>
          <cell r="R1419"/>
          <cell r="S1419"/>
          <cell r="T1419"/>
          <cell r="U1419"/>
          <cell r="V1419"/>
          <cell r="W1419"/>
        </row>
        <row r="1420">
          <cell r="A1420" t="str">
            <v>10162405-2F0001LF</v>
          </cell>
          <cell r="B1420"/>
          <cell r="C1420"/>
          <cell r="D1420"/>
          <cell r="E1420"/>
          <cell r="F1420"/>
          <cell r="G1420"/>
          <cell r="H1420"/>
          <cell r="I1420"/>
          <cell r="J1420"/>
          <cell r="K1420"/>
          <cell r="L1420"/>
          <cell r="M1420"/>
          <cell r="N1420">
            <v>0.140625</v>
          </cell>
          <cell r="O1420"/>
          <cell r="P1420"/>
          <cell r="Q1420"/>
          <cell r="R1420"/>
          <cell r="S1420"/>
          <cell r="T1420"/>
          <cell r="U1420"/>
          <cell r="V1420"/>
          <cell r="W1420"/>
        </row>
        <row r="1421">
          <cell r="A1421" t="str">
            <v>10162456-001</v>
          </cell>
          <cell r="B1421"/>
          <cell r="C1421"/>
          <cell r="D1421"/>
          <cell r="E1421"/>
          <cell r="F1421"/>
          <cell r="G1421">
            <v>2.7777779999999998E-3</v>
          </cell>
          <cell r="H1421"/>
          <cell r="I1421"/>
          <cell r="J1421"/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</row>
        <row r="1422">
          <cell r="A1422" t="str">
            <v>10162456-002</v>
          </cell>
          <cell r="B1422"/>
          <cell r="C1422"/>
          <cell r="D1422"/>
          <cell r="E1422"/>
          <cell r="F1422"/>
          <cell r="G1422">
            <v>2.7777779999999998E-3</v>
          </cell>
          <cell r="H1422"/>
          <cell r="I1422"/>
          <cell r="J1422"/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</row>
        <row r="1423">
          <cell r="A1423" t="str">
            <v>10162457-001</v>
          </cell>
          <cell r="B1423"/>
          <cell r="C1423"/>
          <cell r="D1423"/>
          <cell r="E1423"/>
          <cell r="F1423"/>
          <cell r="G1423">
            <v>1.3888889999999999E-3</v>
          </cell>
          <cell r="H1423"/>
          <cell r="I1423"/>
          <cell r="J1423"/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</row>
        <row r="1424">
          <cell r="A1424" t="str">
            <v>10162457-002</v>
          </cell>
          <cell r="B1424"/>
          <cell r="C1424"/>
          <cell r="D1424"/>
          <cell r="E1424"/>
          <cell r="F1424"/>
          <cell r="G1424">
            <v>1.3888889999999999E-3</v>
          </cell>
          <cell r="H1424"/>
          <cell r="I1424"/>
          <cell r="J1424"/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</row>
        <row r="1425">
          <cell r="A1425" t="str">
            <v>10162457-003</v>
          </cell>
          <cell r="B1425"/>
          <cell r="C1425"/>
          <cell r="D1425"/>
          <cell r="E1425"/>
          <cell r="F1425"/>
          <cell r="G1425">
            <v>1.3888889999999999E-3</v>
          </cell>
          <cell r="H1425"/>
          <cell r="I1425"/>
          <cell r="J1425"/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</row>
        <row r="1426">
          <cell r="A1426" t="str">
            <v>10162457-004</v>
          </cell>
          <cell r="B1426"/>
          <cell r="C1426"/>
          <cell r="D1426"/>
          <cell r="E1426"/>
          <cell r="F1426"/>
          <cell r="G1426"/>
          <cell r="H1426"/>
          <cell r="I1426"/>
          <cell r="J1426"/>
          <cell r="K1426"/>
          <cell r="L1426"/>
          <cell r="M1426"/>
          <cell r="N1426">
            <v>1.3888889999999999E-3</v>
          </cell>
          <cell r="O1426"/>
          <cell r="P1426"/>
          <cell r="Q1426"/>
          <cell r="R1426"/>
          <cell r="S1426"/>
          <cell r="T1426"/>
          <cell r="U1426"/>
          <cell r="V1426"/>
          <cell r="W1426"/>
        </row>
        <row r="1427">
          <cell r="A1427" t="str">
            <v>10162457-005</v>
          </cell>
          <cell r="B1427"/>
          <cell r="C1427"/>
          <cell r="D1427"/>
          <cell r="E1427"/>
          <cell r="F1427"/>
          <cell r="G1427">
            <v>1.3888889999999999E-3</v>
          </cell>
          <cell r="H1427"/>
          <cell r="I1427"/>
          <cell r="J1427"/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</row>
        <row r="1428">
          <cell r="A1428" t="str">
            <v>10162457-006</v>
          </cell>
          <cell r="B1428"/>
          <cell r="C1428"/>
          <cell r="D1428"/>
          <cell r="E1428"/>
          <cell r="F1428"/>
          <cell r="G1428">
            <v>1.3888889999999999E-3</v>
          </cell>
          <cell r="H1428"/>
          <cell r="I1428"/>
          <cell r="J1428"/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</row>
        <row r="1429">
          <cell r="A1429" t="str">
            <v>10162457-007</v>
          </cell>
          <cell r="B1429"/>
          <cell r="C1429"/>
          <cell r="D1429"/>
          <cell r="E1429"/>
          <cell r="F1429"/>
          <cell r="G1429">
            <v>1.3888889999999999E-3</v>
          </cell>
          <cell r="H1429"/>
          <cell r="I1429"/>
          <cell r="J1429"/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</row>
        <row r="1430">
          <cell r="A1430" t="str">
            <v>10162457-008</v>
          </cell>
          <cell r="B1430"/>
          <cell r="C1430"/>
          <cell r="D1430"/>
          <cell r="E1430"/>
          <cell r="F1430"/>
          <cell r="G1430">
            <v>1.3888889999999999E-3</v>
          </cell>
          <cell r="H1430"/>
          <cell r="I1430"/>
          <cell r="J1430"/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</row>
        <row r="1431">
          <cell r="A1431" t="str">
            <v>10162876-1SF316LF</v>
          </cell>
          <cell r="B1431"/>
          <cell r="C1431"/>
          <cell r="D1431"/>
          <cell r="E1431"/>
          <cell r="F1431"/>
          <cell r="G1431">
            <v>2.7777799999999998E-2</v>
          </cell>
          <cell r="H1431"/>
          <cell r="I1431"/>
          <cell r="J1431"/>
          <cell r="K1431"/>
          <cell r="L1431"/>
          <cell r="M1431"/>
          <cell r="N1431">
            <v>0.15833330000000001</v>
          </cell>
          <cell r="O1431"/>
          <cell r="P1431"/>
          <cell r="Q1431"/>
          <cell r="R1431"/>
          <cell r="S1431"/>
          <cell r="T1431"/>
          <cell r="U1431"/>
          <cell r="V1431"/>
          <cell r="W1431"/>
        </row>
        <row r="1432">
          <cell r="A1432" t="str">
            <v>10162876-1SF325LF</v>
          </cell>
          <cell r="B1432"/>
          <cell r="C1432"/>
          <cell r="D1432"/>
          <cell r="E1432"/>
          <cell r="F1432"/>
          <cell r="G1432">
            <v>2.7777799999999998E-2</v>
          </cell>
          <cell r="H1432"/>
          <cell r="I1432"/>
          <cell r="J1432"/>
          <cell r="K1432"/>
          <cell r="L1432"/>
          <cell r="M1432"/>
          <cell r="N1432">
            <v>0.1614583</v>
          </cell>
          <cell r="O1432"/>
          <cell r="P1432"/>
          <cell r="Q1432"/>
          <cell r="R1432"/>
          <cell r="S1432"/>
          <cell r="T1432"/>
          <cell r="U1432"/>
          <cell r="V1432"/>
          <cell r="W1432"/>
        </row>
        <row r="1433">
          <cell r="A1433" t="str">
            <v>10164628-011LF</v>
          </cell>
          <cell r="B1433"/>
          <cell r="C1433"/>
          <cell r="D1433"/>
          <cell r="E1433"/>
          <cell r="F1433"/>
          <cell r="G1433"/>
          <cell r="H1433"/>
          <cell r="I1433">
            <v>2.7779999999999998E-4</v>
          </cell>
          <cell r="J1433"/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</row>
        <row r="1434">
          <cell r="A1434" t="str">
            <v>10164628-101LF</v>
          </cell>
          <cell r="B1434"/>
          <cell r="C1434"/>
          <cell r="D1434"/>
          <cell r="E1434"/>
          <cell r="F1434"/>
          <cell r="G1434">
            <v>1.15277E-2</v>
          </cell>
          <cell r="H1434"/>
          <cell r="I1434"/>
          <cell r="J1434"/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</row>
        <row r="1435">
          <cell r="A1435" t="str">
            <v>10165116-001</v>
          </cell>
          <cell r="B1435"/>
          <cell r="C1435"/>
          <cell r="D1435"/>
          <cell r="E1435"/>
          <cell r="F1435">
            <v>6.9443999999999999E-3</v>
          </cell>
          <cell r="G1435"/>
          <cell r="H1435">
            <v>2.7778E-3</v>
          </cell>
          <cell r="I1435"/>
          <cell r="J1435"/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</row>
        <row r="1436">
          <cell r="A1436" t="str">
            <v>10165117-001</v>
          </cell>
          <cell r="B1436"/>
          <cell r="C1436"/>
          <cell r="D1436"/>
          <cell r="E1436"/>
          <cell r="F1436">
            <v>2.5000000000000001E-3</v>
          </cell>
          <cell r="G1436"/>
          <cell r="H1436">
            <v>9.722E-4</v>
          </cell>
          <cell r="I1436"/>
          <cell r="J1436"/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</row>
        <row r="1437">
          <cell r="A1437" t="str">
            <v>10165118-001</v>
          </cell>
          <cell r="B1437"/>
          <cell r="C1437"/>
          <cell r="D1437"/>
          <cell r="E1437"/>
          <cell r="F1437"/>
          <cell r="G1437"/>
          <cell r="H1437"/>
          <cell r="I1437"/>
          <cell r="J1437"/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</row>
        <row r="1438">
          <cell r="A1438" t="str">
            <v>10165118-S01LF</v>
          </cell>
          <cell r="B1438"/>
          <cell r="C1438"/>
          <cell r="D1438"/>
          <cell r="E1438"/>
          <cell r="F1438"/>
          <cell r="G1438"/>
          <cell r="H1438"/>
          <cell r="I1438"/>
          <cell r="J1438"/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>
            <v>1.3549999999999999E-4</v>
          </cell>
          <cell r="W1438"/>
        </row>
        <row r="1439">
          <cell r="A1439" t="str">
            <v>10165571</v>
          </cell>
          <cell r="B1439"/>
          <cell r="C1439"/>
          <cell r="D1439"/>
          <cell r="E1439"/>
          <cell r="F1439"/>
          <cell r="G1439"/>
          <cell r="H1439"/>
          <cell r="I1439"/>
          <cell r="J1439"/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>
            <v>8.3330000000000003E-4</v>
          </cell>
          <cell r="V1439"/>
          <cell r="W1439"/>
        </row>
        <row r="1440">
          <cell r="A1440" t="str">
            <v>10165973-S01LF</v>
          </cell>
          <cell r="B1440"/>
          <cell r="C1440"/>
          <cell r="D1440"/>
          <cell r="E1440"/>
          <cell r="F1440"/>
          <cell r="G1440"/>
          <cell r="H1440"/>
          <cell r="I1440"/>
          <cell r="J1440"/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</row>
        <row r="1441">
          <cell r="A1441" t="str">
            <v>10165974-001</v>
          </cell>
          <cell r="B1441"/>
          <cell r="C1441"/>
          <cell r="D1441"/>
          <cell r="E1441"/>
          <cell r="F1441">
            <v>1.5277999999999999E-3</v>
          </cell>
          <cell r="G1441"/>
          <cell r="H1441">
            <v>1.3889E-3</v>
          </cell>
          <cell r="I1441"/>
          <cell r="J1441"/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</row>
        <row r="1442">
          <cell r="A1442" t="str">
            <v>10165975-001</v>
          </cell>
          <cell r="B1442"/>
          <cell r="C1442"/>
          <cell r="D1442"/>
          <cell r="E1442"/>
          <cell r="F1442">
            <v>7.6389999999999997E-4</v>
          </cell>
          <cell r="G1442"/>
          <cell r="H1442">
            <v>1.3889E-3</v>
          </cell>
          <cell r="I1442"/>
          <cell r="J1442"/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</row>
        <row r="1443">
          <cell r="A1443" t="str">
            <v>10165977-102LF</v>
          </cell>
          <cell r="B1443"/>
          <cell r="C1443"/>
          <cell r="D1443"/>
          <cell r="E1443"/>
          <cell r="F1443"/>
          <cell r="G1443"/>
          <cell r="H1443"/>
          <cell r="I1443"/>
          <cell r="J1443"/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</row>
        <row r="1444">
          <cell r="A1444" t="str">
            <v>10165977-104LF</v>
          </cell>
          <cell r="B1444"/>
          <cell r="C1444"/>
          <cell r="D1444"/>
          <cell r="E1444"/>
          <cell r="F1444"/>
          <cell r="G1444"/>
          <cell r="H1444"/>
          <cell r="I1444">
            <v>5.5559999999999995E-4</v>
          </cell>
          <cell r="J1444"/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</row>
        <row r="1445">
          <cell r="A1445" t="str">
            <v>10165979-S01LF</v>
          </cell>
          <cell r="B1445"/>
          <cell r="C1445"/>
          <cell r="D1445"/>
          <cell r="E1445"/>
          <cell r="F1445"/>
          <cell r="G1445"/>
          <cell r="H1445"/>
          <cell r="I1445">
            <v>8.3330000000000003E-4</v>
          </cell>
          <cell r="J1445"/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</row>
        <row r="1446">
          <cell r="A1446" t="str">
            <v>10165979-S02LF</v>
          </cell>
          <cell r="B1446"/>
          <cell r="C1446"/>
          <cell r="D1446"/>
          <cell r="E1446"/>
          <cell r="F1446"/>
          <cell r="G1446"/>
          <cell r="H1446"/>
          <cell r="I1446">
            <v>5.5559999999999995E-4</v>
          </cell>
          <cell r="J1446"/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</row>
        <row r="1447">
          <cell r="A1447" t="str">
            <v>10165987-101LF</v>
          </cell>
          <cell r="B1447"/>
          <cell r="C1447"/>
          <cell r="D1447"/>
          <cell r="E1447"/>
          <cell r="F1447"/>
          <cell r="G1447">
            <v>5.3832999999999997E-3</v>
          </cell>
          <cell r="H1447"/>
          <cell r="I1447"/>
          <cell r="J1447"/>
          <cell r="K1447"/>
          <cell r="L1447"/>
          <cell r="M1447"/>
          <cell r="N1447">
            <v>7.9860999999999994E-3</v>
          </cell>
          <cell r="O1447"/>
          <cell r="P1447"/>
          <cell r="Q1447"/>
          <cell r="R1447"/>
          <cell r="S1447"/>
          <cell r="T1447"/>
          <cell r="U1447"/>
          <cell r="V1447"/>
          <cell r="W1447"/>
        </row>
        <row r="1448">
          <cell r="A1448" t="str">
            <v>10166013-101LF</v>
          </cell>
          <cell r="B1448"/>
          <cell r="C1448"/>
          <cell r="D1448"/>
          <cell r="E1448"/>
          <cell r="F1448"/>
          <cell r="G1448">
            <v>9.056E-4</v>
          </cell>
          <cell r="H1448"/>
          <cell r="I1448"/>
          <cell r="J1448"/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</row>
        <row r="1449">
          <cell r="A1449" t="str">
            <v>10167396-S01LF</v>
          </cell>
          <cell r="B1449"/>
          <cell r="C1449"/>
          <cell r="D1449"/>
          <cell r="E1449"/>
          <cell r="F1449"/>
          <cell r="G1449"/>
          <cell r="H1449"/>
          <cell r="I1449">
            <v>4.1669999999999999E-4</v>
          </cell>
          <cell r="J1449"/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</row>
        <row r="1450">
          <cell r="A1450" t="str">
            <v>10167397-101LF</v>
          </cell>
          <cell r="B1450"/>
          <cell r="C1450"/>
          <cell r="D1450"/>
          <cell r="E1450"/>
          <cell r="F1450"/>
          <cell r="G1450">
            <v>9.056E-4</v>
          </cell>
          <cell r="H1450"/>
          <cell r="I1450"/>
          <cell r="J1450"/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</row>
        <row r="1451">
          <cell r="A1451" t="str">
            <v>10167618-001</v>
          </cell>
          <cell r="B1451"/>
          <cell r="C1451"/>
          <cell r="D1451"/>
          <cell r="E1451"/>
          <cell r="F1451"/>
          <cell r="G1451"/>
          <cell r="H1451"/>
          <cell r="I1451"/>
          <cell r="J1451"/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</row>
        <row r="1452">
          <cell r="A1452" t="str">
            <v>10167618-001LF</v>
          </cell>
          <cell r="B1452"/>
          <cell r="C1452">
            <v>0</v>
          </cell>
          <cell r="D1452"/>
          <cell r="E1452"/>
          <cell r="F1452"/>
          <cell r="G1452">
            <v>1.6666669999999999E-3</v>
          </cell>
          <cell r="H1452"/>
          <cell r="I1452"/>
          <cell r="J1452"/>
          <cell r="K1452"/>
          <cell r="L1452">
            <v>1.2219999999999999E-4</v>
          </cell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</row>
        <row r="1453">
          <cell r="A1453" t="str">
            <v>10168438-00TLF</v>
          </cell>
          <cell r="B1453"/>
          <cell r="C1453">
            <v>0</v>
          </cell>
          <cell r="D1453"/>
          <cell r="E1453">
            <v>6.9439999999999997E-4</v>
          </cell>
          <cell r="F1453"/>
          <cell r="G1453">
            <v>3.3333E-3</v>
          </cell>
          <cell r="H1453"/>
          <cell r="I1453"/>
          <cell r="J1453"/>
          <cell r="K1453"/>
          <cell r="L1453"/>
          <cell r="M1453"/>
          <cell r="N1453"/>
          <cell r="O1453">
            <v>7.6388000000000003E-3</v>
          </cell>
          <cell r="P1453"/>
          <cell r="Q1453"/>
          <cell r="R1453"/>
          <cell r="S1453"/>
          <cell r="T1453"/>
          <cell r="U1453"/>
          <cell r="V1453"/>
          <cell r="W1453"/>
        </row>
        <row r="1454">
          <cell r="A1454" t="str">
            <v>10168438-00TPRLF</v>
          </cell>
          <cell r="B1454"/>
          <cell r="C1454">
            <v>0</v>
          </cell>
          <cell r="D1454"/>
          <cell r="E1454"/>
          <cell r="F1454"/>
          <cell r="G1454">
            <v>4.0277999999999998E-3</v>
          </cell>
          <cell r="H1454"/>
          <cell r="I1454"/>
          <cell r="J1454"/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</row>
        <row r="1455">
          <cell r="A1455" t="str">
            <v>10168499-001LF</v>
          </cell>
          <cell r="B1455"/>
          <cell r="C1455">
            <v>0</v>
          </cell>
          <cell r="D1455"/>
          <cell r="E1455"/>
          <cell r="F1455"/>
          <cell r="G1455"/>
          <cell r="H1455"/>
          <cell r="I1455"/>
          <cell r="J1455"/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>
            <v>3.0300000000000001E-5</v>
          </cell>
          <cell r="W1455"/>
        </row>
        <row r="1456">
          <cell r="A1456" t="str">
            <v>10168499-001U</v>
          </cell>
          <cell r="B1456"/>
          <cell r="C1456"/>
          <cell r="D1456"/>
          <cell r="E1456"/>
          <cell r="F1456"/>
          <cell r="G1456"/>
          <cell r="H1456"/>
          <cell r="I1456"/>
          <cell r="J1456"/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</row>
        <row r="1457">
          <cell r="A1457" t="str">
            <v>10168500-001LF</v>
          </cell>
          <cell r="B1457"/>
          <cell r="C1457">
            <v>0</v>
          </cell>
          <cell r="D1457"/>
          <cell r="E1457"/>
          <cell r="F1457"/>
          <cell r="G1457"/>
          <cell r="H1457"/>
          <cell r="I1457"/>
          <cell r="J1457"/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</row>
        <row r="1458">
          <cell r="A1458" t="str">
            <v>10168500-001U</v>
          </cell>
          <cell r="B1458"/>
          <cell r="C1458"/>
          <cell r="D1458"/>
          <cell r="E1458"/>
          <cell r="F1458"/>
          <cell r="G1458"/>
          <cell r="H1458"/>
          <cell r="I1458"/>
          <cell r="J1458"/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</row>
        <row r="1459">
          <cell r="A1459" t="str">
            <v>10168501-001LF</v>
          </cell>
          <cell r="B1459"/>
          <cell r="C1459">
            <v>0</v>
          </cell>
          <cell r="D1459"/>
          <cell r="E1459"/>
          <cell r="F1459"/>
          <cell r="G1459"/>
          <cell r="H1459"/>
          <cell r="I1459"/>
          <cell r="J1459"/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</row>
        <row r="1460">
          <cell r="A1460" t="str">
            <v>10168501-001U</v>
          </cell>
          <cell r="B1460"/>
          <cell r="C1460"/>
          <cell r="D1460"/>
          <cell r="E1460"/>
          <cell r="F1460"/>
          <cell r="G1460"/>
          <cell r="H1460"/>
          <cell r="I1460"/>
          <cell r="J1460"/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</row>
        <row r="1461">
          <cell r="A1461" t="str">
            <v>10168502-001LF</v>
          </cell>
          <cell r="B1461"/>
          <cell r="C1461">
            <v>0</v>
          </cell>
          <cell r="D1461"/>
          <cell r="E1461"/>
          <cell r="F1461"/>
          <cell r="G1461"/>
          <cell r="H1461"/>
          <cell r="I1461"/>
          <cell r="J1461"/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</row>
        <row r="1462">
          <cell r="A1462" t="str">
            <v>10168502-001U</v>
          </cell>
          <cell r="B1462"/>
          <cell r="C1462"/>
          <cell r="D1462"/>
          <cell r="E1462"/>
          <cell r="F1462"/>
          <cell r="G1462"/>
          <cell r="H1462"/>
          <cell r="I1462"/>
          <cell r="J1462"/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</row>
        <row r="1463">
          <cell r="A1463" t="str">
            <v>10168675-001LF</v>
          </cell>
          <cell r="B1463"/>
          <cell r="C1463"/>
          <cell r="D1463"/>
          <cell r="E1463"/>
          <cell r="F1463"/>
          <cell r="G1463">
            <v>9.056E-4</v>
          </cell>
          <cell r="H1463"/>
          <cell r="I1463"/>
          <cell r="J1463"/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</row>
        <row r="1464">
          <cell r="A1464" t="str">
            <v>10168846-101LF</v>
          </cell>
          <cell r="B1464"/>
          <cell r="C1464"/>
          <cell r="D1464"/>
          <cell r="E1464"/>
          <cell r="F1464"/>
          <cell r="G1464"/>
          <cell r="H1464"/>
          <cell r="I1464"/>
          <cell r="J1464"/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</row>
        <row r="1465">
          <cell r="A1465" t="str">
            <v>10169137-S01LF</v>
          </cell>
          <cell r="B1465"/>
          <cell r="C1465"/>
          <cell r="D1465"/>
          <cell r="E1465"/>
          <cell r="F1465"/>
          <cell r="G1465"/>
          <cell r="H1465"/>
          <cell r="I1465"/>
          <cell r="J1465"/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</row>
        <row r="1466">
          <cell r="A1466" t="str">
            <v>10169634-001</v>
          </cell>
          <cell r="B1466"/>
          <cell r="C1466"/>
          <cell r="D1466"/>
          <cell r="E1466"/>
          <cell r="F1466"/>
          <cell r="G1466"/>
          <cell r="H1466"/>
          <cell r="I1466"/>
          <cell r="J1466"/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</row>
        <row r="1467">
          <cell r="A1467" t="str">
            <v>10169634-002</v>
          </cell>
          <cell r="B1467"/>
          <cell r="C1467"/>
          <cell r="D1467"/>
          <cell r="E1467"/>
          <cell r="F1467"/>
          <cell r="G1467"/>
          <cell r="H1467"/>
          <cell r="I1467"/>
          <cell r="J1467"/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</row>
        <row r="1468">
          <cell r="A1468" t="str">
            <v>10169634-S01LF</v>
          </cell>
          <cell r="B1468"/>
          <cell r="C1468"/>
          <cell r="D1468"/>
          <cell r="E1468"/>
          <cell r="F1468"/>
          <cell r="G1468"/>
          <cell r="H1468"/>
          <cell r="I1468"/>
          <cell r="J1468"/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>
            <v>1.166E-4</v>
          </cell>
          <cell r="W1468"/>
        </row>
        <row r="1469">
          <cell r="A1469" t="str">
            <v>10169634-S02LF</v>
          </cell>
          <cell r="B1469"/>
          <cell r="C1469"/>
          <cell r="D1469"/>
          <cell r="E1469"/>
          <cell r="F1469"/>
          <cell r="G1469"/>
          <cell r="H1469"/>
          <cell r="I1469"/>
          <cell r="J1469"/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>
            <v>1.166E-4</v>
          </cell>
          <cell r="W1469"/>
        </row>
        <row r="1470">
          <cell r="A1470" t="str">
            <v>10170425-1RF023LF</v>
          </cell>
          <cell r="B1470"/>
          <cell r="C1470"/>
          <cell r="D1470"/>
          <cell r="E1470"/>
          <cell r="F1470"/>
          <cell r="G1470">
            <v>2.25694E-2</v>
          </cell>
          <cell r="H1470"/>
          <cell r="I1470"/>
          <cell r="J1470"/>
          <cell r="K1470"/>
          <cell r="L1470"/>
          <cell r="M1470"/>
          <cell r="N1470">
            <v>0.50277780000000005</v>
          </cell>
          <cell r="O1470"/>
          <cell r="P1470"/>
          <cell r="Q1470"/>
          <cell r="R1470"/>
          <cell r="S1470"/>
          <cell r="T1470"/>
          <cell r="U1470"/>
          <cell r="V1470"/>
          <cell r="W1470"/>
        </row>
        <row r="1471">
          <cell r="A1471" t="str">
            <v>10170717-P001LF</v>
          </cell>
          <cell r="B1471"/>
          <cell r="C1471"/>
          <cell r="D1471"/>
          <cell r="E1471"/>
          <cell r="F1471"/>
          <cell r="G1471"/>
          <cell r="H1471"/>
          <cell r="I1471"/>
          <cell r="J1471"/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>
            <v>3.611E-4</v>
          </cell>
          <cell r="W1471"/>
        </row>
        <row r="1472">
          <cell r="A1472" t="str">
            <v>10170717-S101LF</v>
          </cell>
          <cell r="B1472"/>
          <cell r="C1472"/>
          <cell r="D1472"/>
          <cell r="E1472"/>
          <cell r="F1472"/>
          <cell r="G1472">
            <v>1.3889E-3</v>
          </cell>
          <cell r="H1472"/>
          <cell r="I1472"/>
          <cell r="J1472"/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</row>
        <row r="1473">
          <cell r="A1473" t="str">
            <v>10170720-P01LF</v>
          </cell>
          <cell r="B1473"/>
          <cell r="C1473"/>
          <cell r="D1473"/>
          <cell r="E1473"/>
          <cell r="F1473"/>
          <cell r="G1473"/>
          <cell r="H1473"/>
          <cell r="I1473"/>
          <cell r="J1473"/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</row>
        <row r="1474">
          <cell r="A1474" t="str">
            <v>10170720-S01LF</v>
          </cell>
          <cell r="B1474"/>
          <cell r="C1474"/>
          <cell r="D1474"/>
          <cell r="E1474"/>
          <cell r="F1474"/>
          <cell r="G1474">
            <v>1.3889E-3</v>
          </cell>
          <cell r="H1474"/>
          <cell r="I1474"/>
          <cell r="J1474"/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</row>
        <row r="1475">
          <cell r="A1475" t="str">
            <v>10170775-27A401</v>
          </cell>
          <cell r="B1475"/>
          <cell r="C1475"/>
          <cell r="D1475"/>
          <cell r="E1475"/>
          <cell r="F1475"/>
          <cell r="G1475">
            <v>1.8489599999999998E-2</v>
          </cell>
          <cell r="H1475"/>
          <cell r="I1475"/>
          <cell r="J1475"/>
          <cell r="K1475"/>
          <cell r="L1475"/>
          <cell r="M1475"/>
          <cell r="N1475">
            <v>0.18437500000000001</v>
          </cell>
          <cell r="O1475"/>
          <cell r="P1475"/>
          <cell r="Q1475"/>
          <cell r="R1475"/>
          <cell r="S1475"/>
          <cell r="T1475"/>
          <cell r="U1475"/>
          <cell r="V1475"/>
          <cell r="W1475"/>
        </row>
        <row r="1476">
          <cell r="A1476" t="str">
            <v>10170817-001</v>
          </cell>
          <cell r="B1476"/>
          <cell r="C1476"/>
          <cell r="D1476"/>
          <cell r="E1476"/>
          <cell r="F1476">
            <v>4.8611000000000001E-3</v>
          </cell>
          <cell r="G1476"/>
          <cell r="H1476">
            <v>3.333333E-3</v>
          </cell>
          <cell r="I1476"/>
          <cell r="J1476"/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</row>
        <row r="1477">
          <cell r="A1477" t="str">
            <v>10170817-002</v>
          </cell>
          <cell r="B1477"/>
          <cell r="C1477"/>
          <cell r="D1477"/>
          <cell r="E1477"/>
          <cell r="F1477">
            <v>4.8611000000000001E-3</v>
          </cell>
          <cell r="G1477"/>
          <cell r="H1477">
            <v>3.333333E-3</v>
          </cell>
          <cell r="I1477"/>
          <cell r="J1477"/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</row>
        <row r="1478">
          <cell r="A1478" t="str">
            <v>10170817-003</v>
          </cell>
          <cell r="B1478"/>
          <cell r="C1478"/>
          <cell r="D1478"/>
          <cell r="E1478"/>
          <cell r="F1478">
            <v>4.8611000000000001E-3</v>
          </cell>
          <cell r="G1478"/>
          <cell r="H1478">
            <v>3.333333E-3</v>
          </cell>
          <cell r="I1478"/>
          <cell r="J1478"/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</row>
        <row r="1479">
          <cell r="A1479" t="str">
            <v>10170818-S01</v>
          </cell>
          <cell r="B1479"/>
          <cell r="C1479"/>
          <cell r="D1479"/>
          <cell r="E1479"/>
          <cell r="F1479"/>
          <cell r="G1479"/>
          <cell r="H1479"/>
          <cell r="I1479"/>
          <cell r="J1479"/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>
            <v>8.3330000000000003E-4</v>
          </cell>
          <cell r="V1479"/>
          <cell r="W1479"/>
        </row>
        <row r="1480">
          <cell r="A1480" t="str">
            <v>10170818-S01K</v>
          </cell>
          <cell r="B1480"/>
          <cell r="C1480"/>
          <cell r="D1480"/>
          <cell r="E1480"/>
          <cell r="F1480"/>
          <cell r="G1480"/>
          <cell r="H1480"/>
          <cell r="I1480"/>
          <cell r="J1480"/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>
            <v>8.3330000000000003E-4</v>
          </cell>
          <cell r="V1480"/>
          <cell r="W1480"/>
        </row>
        <row r="1481">
          <cell r="A1481" t="str">
            <v>10170818-S01KL</v>
          </cell>
          <cell r="B1481"/>
          <cell r="C1481"/>
          <cell r="D1481"/>
          <cell r="E1481"/>
          <cell r="F1481"/>
          <cell r="G1481"/>
          <cell r="H1481"/>
          <cell r="I1481"/>
          <cell r="J1481"/>
          <cell r="K1481"/>
          <cell r="L1481"/>
          <cell r="M1481"/>
          <cell r="N1481">
            <v>2.2222000000000001E-3</v>
          </cell>
          <cell r="O1481"/>
          <cell r="P1481"/>
          <cell r="Q1481"/>
          <cell r="R1481"/>
          <cell r="S1481"/>
          <cell r="T1481"/>
          <cell r="U1481"/>
          <cell r="V1481"/>
          <cell r="W1481"/>
        </row>
        <row r="1482">
          <cell r="A1482" t="str">
            <v>10170818-S01LF</v>
          </cell>
          <cell r="B1482"/>
          <cell r="C1482"/>
          <cell r="D1482"/>
          <cell r="E1482"/>
          <cell r="F1482"/>
          <cell r="G1482">
            <v>2.5000000000000001E-3</v>
          </cell>
          <cell r="H1482"/>
          <cell r="I1482"/>
          <cell r="J1482"/>
          <cell r="K1482"/>
          <cell r="L1482"/>
          <cell r="M1482"/>
          <cell r="N1482">
            <v>2.2222000000000001E-3</v>
          </cell>
          <cell r="O1482"/>
          <cell r="P1482"/>
          <cell r="Q1482"/>
          <cell r="R1482"/>
          <cell r="S1482"/>
          <cell r="T1482"/>
          <cell r="U1482"/>
          <cell r="V1482"/>
          <cell r="W1482"/>
        </row>
        <row r="1483">
          <cell r="A1483" t="str">
            <v>10170818-S04</v>
          </cell>
          <cell r="B1483"/>
          <cell r="C1483"/>
          <cell r="D1483"/>
          <cell r="E1483"/>
          <cell r="F1483"/>
          <cell r="G1483"/>
          <cell r="H1483"/>
          <cell r="I1483"/>
          <cell r="J1483"/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>
            <v>8.3330000000000003E-4</v>
          </cell>
          <cell r="V1483"/>
          <cell r="W1483"/>
        </row>
        <row r="1484">
          <cell r="A1484" t="str">
            <v>10170818-S04K</v>
          </cell>
          <cell r="B1484"/>
          <cell r="C1484"/>
          <cell r="D1484"/>
          <cell r="E1484"/>
          <cell r="F1484"/>
          <cell r="G1484"/>
          <cell r="H1484"/>
          <cell r="I1484"/>
          <cell r="J1484"/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>
            <v>8.3330000000000003E-4</v>
          </cell>
          <cell r="V1484"/>
          <cell r="W1484"/>
        </row>
        <row r="1485">
          <cell r="A1485" t="str">
            <v>10170818-S04KL</v>
          </cell>
          <cell r="B1485"/>
          <cell r="C1485"/>
          <cell r="D1485"/>
          <cell r="E1485"/>
          <cell r="F1485"/>
          <cell r="G1485"/>
          <cell r="H1485"/>
          <cell r="I1485"/>
          <cell r="J1485"/>
          <cell r="K1485"/>
          <cell r="L1485"/>
          <cell r="M1485"/>
          <cell r="N1485">
            <v>2.2222000000000001E-3</v>
          </cell>
          <cell r="O1485"/>
          <cell r="P1485"/>
          <cell r="Q1485"/>
          <cell r="R1485"/>
          <cell r="S1485"/>
          <cell r="T1485"/>
          <cell r="U1485"/>
          <cell r="V1485"/>
          <cell r="W1485"/>
        </row>
        <row r="1486">
          <cell r="A1486" t="str">
            <v>10170818-S04LF</v>
          </cell>
          <cell r="B1486"/>
          <cell r="C1486"/>
          <cell r="D1486"/>
          <cell r="E1486"/>
          <cell r="F1486"/>
          <cell r="G1486">
            <v>2.5000000000000001E-3</v>
          </cell>
          <cell r="H1486"/>
          <cell r="I1486"/>
          <cell r="J1486"/>
          <cell r="K1486"/>
          <cell r="L1486"/>
          <cell r="M1486"/>
          <cell r="N1486">
            <v>2.2222000000000001E-3</v>
          </cell>
          <cell r="O1486"/>
          <cell r="P1486"/>
          <cell r="Q1486"/>
          <cell r="R1486"/>
          <cell r="S1486"/>
          <cell r="T1486"/>
          <cell r="U1486"/>
          <cell r="V1486"/>
          <cell r="W1486"/>
        </row>
        <row r="1487">
          <cell r="A1487" t="str">
            <v>10170818-S05</v>
          </cell>
          <cell r="B1487"/>
          <cell r="C1487"/>
          <cell r="D1487"/>
          <cell r="E1487"/>
          <cell r="F1487"/>
          <cell r="G1487"/>
          <cell r="H1487"/>
          <cell r="I1487"/>
          <cell r="J1487"/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>
            <v>8.3330000000000003E-4</v>
          </cell>
          <cell r="V1487"/>
          <cell r="W1487"/>
        </row>
        <row r="1488">
          <cell r="A1488" t="str">
            <v>10170818-S05K</v>
          </cell>
          <cell r="B1488"/>
          <cell r="C1488"/>
          <cell r="D1488"/>
          <cell r="E1488"/>
          <cell r="F1488"/>
          <cell r="G1488"/>
          <cell r="H1488"/>
          <cell r="I1488"/>
          <cell r="J1488"/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>
            <v>8.3330000000000003E-4</v>
          </cell>
          <cell r="V1488"/>
          <cell r="W1488"/>
        </row>
        <row r="1489">
          <cell r="A1489" t="str">
            <v>10170818-S05KL</v>
          </cell>
          <cell r="B1489"/>
          <cell r="C1489"/>
          <cell r="D1489"/>
          <cell r="E1489"/>
          <cell r="F1489"/>
          <cell r="G1489"/>
          <cell r="H1489"/>
          <cell r="I1489"/>
          <cell r="J1489"/>
          <cell r="K1489"/>
          <cell r="L1489"/>
          <cell r="M1489"/>
          <cell r="N1489">
            <v>2.2222000000000001E-3</v>
          </cell>
          <cell r="O1489"/>
          <cell r="P1489"/>
          <cell r="Q1489"/>
          <cell r="R1489"/>
          <cell r="S1489"/>
          <cell r="T1489"/>
          <cell r="U1489"/>
          <cell r="V1489"/>
          <cell r="W1489"/>
        </row>
        <row r="1490">
          <cell r="A1490" t="str">
            <v>10170818-S05LF</v>
          </cell>
          <cell r="B1490"/>
          <cell r="C1490"/>
          <cell r="D1490"/>
          <cell r="E1490"/>
          <cell r="F1490"/>
          <cell r="G1490">
            <v>2.5000000000000001E-3</v>
          </cell>
          <cell r="H1490"/>
          <cell r="I1490"/>
          <cell r="J1490"/>
          <cell r="K1490"/>
          <cell r="L1490"/>
          <cell r="M1490"/>
          <cell r="N1490">
            <v>2.2222000000000001E-3</v>
          </cell>
          <cell r="O1490"/>
          <cell r="P1490"/>
          <cell r="Q1490"/>
          <cell r="R1490"/>
          <cell r="S1490"/>
          <cell r="T1490"/>
          <cell r="U1490"/>
          <cell r="V1490"/>
          <cell r="W1490"/>
        </row>
        <row r="1491">
          <cell r="A1491" t="str">
            <v>10170819-001</v>
          </cell>
          <cell r="B1491"/>
          <cell r="C1491"/>
          <cell r="D1491"/>
          <cell r="E1491"/>
          <cell r="F1491"/>
          <cell r="G1491"/>
          <cell r="H1491"/>
          <cell r="I1491"/>
          <cell r="J1491"/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</row>
        <row r="1492">
          <cell r="A1492" t="str">
            <v>10170820-001LF</v>
          </cell>
          <cell r="B1492"/>
          <cell r="C1492"/>
          <cell r="D1492"/>
          <cell r="E1492"/>
          <cell r="F1492"/>
          <cell r="G1492">
            <v>3.8194000000000001E-3</v>
          </cell>
          <cell r="H1492"/>
          <cell r="I1492"/>
          <cell r="J1492"/>
          <cell r="K1492"/>
          <cell r="L1492"/>
          <cell r="M1492"/>
          <cell r="N1492">
            <v>5.7638999999999998E-3</v>
          </cell>
          <cell r="O1492"/>
          <cell r="P1492"/>
          <cell r="Q1492"/>
          <cell r="R1492"/>
          <cell r="S1492"/>
          <cell r="T1492"/>
          <cell r="U1492"/>
          <cell r="V1492"/>
          <cell r="W1492"/>
        </row>
        <row r="1493">
          <cell r="A1493" t="str">
            <v>10170820-002LF</v>
          </cell>
          <cell r="B1493"/>
          <cell r="C1493"/>
          <cell r="D1493"/>
          <cell r="E1493"/>
          <cell r="F1493"/>
          <cell r="G1493">
            <v>3.8194000000000001E-3</v>
          </cell>
          <cell r="H1493"/>
          <cell r="I1493"/>
          <cell r="J1493"/>
          <cell r="K1493"/>
          <cell r="L1493"/>
          <cell r="M1493"/>
          <cell r="N1493">
            <v>5.7638999999999998E-3</v>
          </cell>
          <cell r="O1493"/>
          <cell r="P1493"/>
          <cell r="Q1493"/>
          <cell r="R1493"/>
          <cell r="S1493"/>
          <cell r="T1493"/>
          <cell r="U1493"/>
          <cell r="V1493"/>
          <cell r="W1493"/>
        </row>
        <row r="1494">
          <cell r="A1494" t="str">
            <v>10170820-003LF</v>
          </cell>
          <cell r="B1494"/>
          <cell r="C1494"/>
          <cell r="D1494"/>
          <cell r="E1494"/>
          <cell r="F1494"/>
          <cell r="G1494">
            <v>3.8194000000000001E-3</v>
          </cell>
          <cell r="H1494"/>
          <cell r="I1494"/>
          <cell r="J1494"/>
          <cell r="K1494"/>
          <cell r="L1494"/>
          <cell r="M1494"/>
          <cell r="N1494">
            <v>5.7638999999999998E-3</v>
          </cell>
          <cell r="O1494"/>
          <cell r="P1494"/>
          <cell r="Q1494"/>
          <cell r="R1494"/>
          <cell r="S1494"/>
          <cell r="T1494"/>
          <cell r="U1494"/>
          <cell r="V1494"/>
          <cell r="W1494"/>
        </row>
        <row r="1495">
          <cell r="A1495" t="str">
            <v>10170827-07P010</v>
          </cell>
          <cell r="B1495"/>
          <cell r="C1495"/>
          <cell r="D1495"/>
          <cell r="E1495"/>
          <cell r="F1495"/>
          <cell r="G1495">
            <v>3.2986099999999997E-2</v>
          </cell>
          <cell r="H1495"/>
          <cell r="I1495"/>
          <cell r="J1495"/>
          <cell r="K1495"/>
          <cell r="L1495"/>
          <cell r="M1495"/>
          <cell r="N1495">
            <v>8.0208299999999996E-2</v>
          </cell>
          <cell r="O1495"/>
          <cell r="P1495"/>
          <cell r="Q1495"/>
          <cell r="R1495"/>
          <cell r="S1495"/>
          <cell r="T1495"/>
          <cell r="U1495"/>
          <cell r="V1495"/>
          <cell r="W1495"/>
        </row>
        <row r="1496">
          <cell r="A1496" t="str">
            <v>10170827-07P011</v>
          </cell>
          <cell r="B1496"/>
          <cell r="C1496"/>
          <cell r="D1496"/>
          <cell r="E1496"/>
          <cell r="F1496"/>
          <cell r="G1496">
            <v>3.2986099999999997E-2</v>
          </cell>
          <cell r="H1496"/>
          <cell r="I1496"/>
          <cell r="J1496"/>
          <cell r="K1496"/>
          <cell r="L1496"/>
          <cell r="M1496"/>
          <cell r="N1496">
            <v>8.0208299999999996E-2</v>
          </cell>
          <cell r="O1496"/>
          <cell r="P1496"/>
          <cell r="Q1496"/>
          <cell r="R1496"/>
          <cell r="S1496"/>
          <cell r="T1496"/>
          <cell r="U1496"/>
          <cell r="V1496"/>
          <cell r="W1496"/>
        </row>
        <row r="1497">
          <cell r="A1497" t="str">
            <v>10170842-001</v>
          </cell>
          <cell r="B1497"/>
          <cell r="C1497"/>
          <cell r="D1497"/>
          <cell r="E1497"/>
          <cell r="F1497">
            <v>1.61111E-2</v>
          </cell>
          <cell r="G1497"/>
          <cell r="H1497">
            <v>4.8611000000000001E-3</v>
          </cell>
          <cell r="I1497"/>
          <cell r="J1497"/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</row>
        <row r="1498">
          <cell r="A1498" t="str">
            <v>10170842-002</v>
          </cell>
          <cell r="B1498"/>
          <cell r="C1498"/>
          <cell r="D1498"/>
          <cell r="E1498"/>
          <cell r="F1498">
            <v>1.61111E-2</v>
          </cell>
          <cell r="G1498"/>
          <cell r="H1498">
            <v>4.8611000000000001E-3</v>
          </cell>
          <cell r="I1498"/>
          <cell r="J1498"/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</row>
        <row r="1499">
          <cell r="A1499" t="str">
            <v>10170842-003</v>
          </cell>
          <cell r="B1499"/>
          <cell r="C1499"/>
          <cell r="D1499"/>
          <cell r="E1499"/>
          <cell r="F1499">
            <v>1.61111E-2</v>
          </cell>
          <cell r="G1499"/>
          <cell r="H1499">
            <v>4.8611000000000001E-3</v>
          </cell>
          <cell r="I1499"/>
          <cell r="J1499"/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</row>
        <row r="1500">
          <cell r="A1500" t="str">
            <v>10170843-S01</v>
          </cell>
          <cell r="B1500"/>
          <cell r="C1500"/>
          <cell r="D1500"/>
          <cell r="E1500"/>
          <cell r="F1500"/>
          <cell r="G1500"/>
          <cell r="H1500"/>
          <cell r="I1500"/>
          <cell r="J1500"/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>
            <v>8.3330000000000003E-4</v>
          </cell>
          <cell r="V1500"/>
          <cell r="W1500"/>
        </row>
        <row r="1501">
          <cell r="A1501" t="str">
            <v>10170843-S01K</v>
          </cell>
          <cell r="B1501"/>
          <cell r="C1501"/>
          <cell r="D1501"/>
          <cell r="E1501"/>
          <cell r="F1501"/>
          <cell r="G1501"/>
          <cell r="H1501"/>
          <cell r="I1501"/>
          <cell r="J1501"/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>
            <v>8.3330000000000003E-4</v>
          </cell>
          <cell r="V1501"/>
          <cell r="W1501"/>
        </row>
        <row r="1502">
          <cell r="A1502" t="str">
            <v>10170843-S01KL</v>
          </cell>
          <cell r="B1502"/>
          <cell r="C1502"/>
          <cell r="D1502"/>
          <cell r="E1502"/>
          <cell r="F1502"/>
          <cell r="G1502"/>
          <cell r="H1502"/>
          <cell r="I1502"/>
          <cell r="J1502"/>
          <cell r="K1502"/>
          <cell r="L1502"/>
          <cell r="M1502"/>
          <cell r="N1502">
            <v>2.2222000000000001E-3</v>
          </cell>
          <cell r="O1502"/>
          <cell r="P1502"/>
          <cell r="Q1502"/>
          <cell r="R1502"/>
          <cell r="S1502"/>
          <cell r="T1502"/>
          <cell r="U1502"/>
          <cell r="V1502"/>
          <cell r="W1502"/>
        </row>
        <row r="1503">
          <cell r="A1503" t="str">
            <v>10170843-S01LF</v>
          </cell>
          <cell r="B1503"/>
          <cell r="C1503"/>
          <cell r="D1503"/>
          <cell r="E1503"/>
          <cell r="F1503"/>
          <cell r="G1503">
            <v>2.5000000000000001E-3</v>
          </cell>
          <cell r="H1503"/>
          <cell r="I1503"/>
          <cell r="J1503"/>
          <cell r="K1503"/>
          <cell r="L1503"/>
          <cell r="M1503"/>
          <cell r="N1503">
            <v>2.2222000000000001E-3</v>
          </cell>
          <cell r="O1503"/>
          <cell r="P1503"/>
          <cell r="Q1503"/>
          <cell r="R1503"/>
          <cell r="S1503"/>
          <cell r="T1503"/>
          <cell r="U1503"/>
          <cell r="V1503"/>
          <cell r="W1503"/>
        </row>
        <row r="1504">
          <cell r="A1504" t="str">
            <v>10170843-S02</v>
          </cell>
          <cell r="B1504"/>
          <cell r="C1504"/>
          <cell r="D1504"/>
          <cell r="E1504"/>
          <cell r="F1504"/>
          <cell r="G1504"/>
          <cell r="H1504"/>
          <cell r="I1504"/>
          <cell r="J1504"/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>
            <v>8.3330000000000003E-4</v>
          </cell>
          <cell r="V1504"/>
          <cell r="W1504"/>
        </row>
        <row r="1505">
          <cell r="A1505" t="str">
            <v>10170843-S02K</v>
          </cell>
          <cell r="B1505"/>
          <cell r="C1505"/>
          <cell r="D1505"/>
          <cell r="E1505"/>
          <cell r="F1505"/>
          <cell r="G1505"/>
          <cell r="H1505"/>
          <cell r="I1505"/>
          <cell r="J1505"/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>
            <v>8.3330000000000003E-4</v>
          </cell>
          <cell r="V1505"/>
          <cell r="W1505"/>
        </row>
        <row r="1506">
          <cell r="A1506" t="str">
            <v>10170843-S02KL</v>
          </cell>
          <cell r="B1506"/>
          <cell r="C1506"/>
          <cell r="D1506"/>
          <cell r="E1506"/>
          <cell r="F1506"/>
          <cell r="G1506"/>
          <cell r="H1506"/>
          <cell r="I1506"/>
          <cell r="J1506"/>
          <cell r="K1506"/>
          <cell r="L1506"/>
          <cell r="M1506"/>
          <cell r="N1506">
            <v>2.2222000000000001E-3</v>
          </cell>
          <cell r="O1506"/>
          <cell r="P1506"/>
          <cell r="Q1506"/>
          <cell r="R1506"/>
          <cell r="S1506"/>
          <cell r="T1506"/>
          <cell r="U1506"/>
          <cell r="V1506"/>
          <cell r="W1506"/>
        </row>
        <row r="1507">
          <cell r="A1507" t="str">
            <v>10170843-S02LF</v>
          </cell>
          <cell r="B1507"/>
          <cell r="C1507"/>
          <cell r="D1507"/>
          <cell r="E1507"/>
          <cell r="F1507"/>
          <cell r="G1507">
            <v>2.5000000000000001E-3</v>
          </cell>
          <cell r="H1507"/>
          <cell r="I1507"/>
          <cell r="J1507"/>
          <cell r="K1507"/>
          <cell r="L1507"/>
          <cell r="M1507"/>
          <cell r="N1507">
            <v>2.2222000000000001E-3</v>
          </cell>
          <cell r="O1507"/>
          <cell r="P1507"/>
          <cell r="Q1507"/>
          <cell r="R1507"/>
          <cell r="S1507"/>
          <cell r="T1507"/>
          <cell r="U1507"/>
          <cell r="V1507"/>
          <cell r="W1507"/>
        </row>
        <row r="1508">
          <cell r="A1508" t="str">
            <v>10170843-S03</v>
          </cell>
          <cell r="B1508"/>
          <cell r="C1508"/>
          <cell r="D1508"/>
          <cell r="E1508"/>
          <cell r="F1508"/>
          <cell r="G1508"/>
          <cell r="H1508"/>
          <cell r="I1508"/>
          <cell r="J1508"/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>
            <v>8.3330000000000003E-4</v>
          </cell>
          <cell r="V1508"/>
          <cell r="W1508"/>
        </row>
        <row r="1509">
          <cell r="A1509" t="str">
            <v>10170843-S03K</v>
          </cell>
          <cell r="B1509"/>
          <cell r="C1509"/>
          <cell r="D1509"/>
          <cell r="E1509"/>
          <cell r="F1509"/>
          <cell r="G1509"/>
          <cell r="H1509"/>
          <cell r="I1509"/>
          <cell r="J1509"/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>
            <v>8.3330000000000003E-4</v>
          </cell>
          <cell r="V1509"/>
          <cell r="W1509"/>
        </row>
        <row r="1510">
          <cell r="A1510" t="str">
            <v>10170843-S03KL</v>
          </cell>
          <cell r="B1510"/>
          <cell r="C1510"/>
          <cell r="D1510"/>
          <cell r="E1510"/>
          <cell r="F1510"/>
          <cell r="G1510"/>
          <cell r="H1510"/>
          <cell r="I1510"/>
          <cell r="J1510"/>
          <cell r="K1510"/>
          <cell r="L1510"/>
          <cell r="M1510"/>
          <cell r="N1510">
            <v>2.2222000000000001E-3</v>
          </cell>
          <cell r="O1510"/>
          <cell r="P1510"/>
          <cell r="Q1510"/>
          <cell r="R1510"/>
          <cell r="S1510"/>
          <cell r="T1510"/>
          <cell r="U1510"/>
          <cell r="V1510"/>
          <cell r="W1510"/>
        </row>
        <row r="1511">
          <cell r="A1511" t="str">
            <v>10170843-S03LF</v>
          </cell>
          <cell r="B1511"/>
          <cell r="C1511"/>
          <cell r="D1511"/>
          <cell r="E1511"/>
          <cell r="F1511"/>
          <cell r="G1511">
            <v>2.5000000000000001E-3</v>
          </cell>
          <cell r="H1511"/>
          <cell r="I1511"/>
          <cell r="J1511"/>
          <cell r="K1511"/>
          <cell r="L1511"/>
          <cell r="M1511"/>
          <cell r="N1511">
            <v>2.2222000000000001E-3</v>
          </cell>
          <cell r="O1511"/>
          <cell r="P1511"/>
          <cell r="Q1511"/>
          <cell r="R1511"/>
          <cell r="S1511"/>
          <cell r="T1511"/>
          <cell r="U1511"/>
          <cell r="V1511"/>
          <cell r="W1511"/>
        </row>
        <row r="1512">
          <cell r="A1512" t="str">
            <v>10170843-S04</v>
          </cell>
          <cell r="B1512"/>
          <cell r="C1512"/>
          <cell r="D1512"/>
          <cell r="E1512"/>
          <cell r="F1512"/>
          <cell r="G1512"/>
          <cell r="H1512"/>
          <cell r="I1512"/>
          <cell r="J1512"/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>
            <v>8.3330000000000003E-4</v>
          </cell>
          <cell r="V1512"/>
          <cell r="W1512"/>
        </row>
        <row r="1513">
          <cell r="A1513" t="str">
            <v>10170843-S04K</v>
          </cell>
          <cell r="B1513"/>
          <cell r="C1513"/>
          <cell r="D1513"/>
          <cell r="E1513"/>
          <cell r="F1513"/>
          <cell r="G1513"/>
          <cell r="H1513"/>
          <cell r="I1513"/>
          <cell r="J1513"/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>
            <v>8.3330000000000003E-4</v>
          </cell>
          <cell r="V1513"/>
          <cell r="W1513"/>
        </row>
        <row r="1514">
          <cell r="A1514" t="str">
            <v>10170843-S04KL</v>
          </cell>
          <cell r="B1514"/>
          <cell r="C1514"/>
          <cell r="D1514"/>
          <cell r="E1514"/>
          <cell r="F1514"/>
          <cell r="G1514"/>
          <cell r="H1514"/>
          <cell r="I1514"/>
          <cell r="J1514"/>
          <cell r="K1514"/>
          <cell r="L1514"/>
          <cell r="M1514"/>
          <cell r="N1514">
            <v>2.2222000000000001E-3</v>
          </cell>
          <cell r="O1514"/>
          <cell r="P1514"/>
          <cell r="Q1514"/>
          <cell r="R1514"/>
          <cell r="S1514"/>
          <cell r="T1514"/>
          <cell r="U1514"/>
          <cell r="V1514"/>
          <cell r="W1514"/>
        </row>
        <row r="1515">
          <cell r="A1515" t="str">
            <v>10170843-S04LF</v>
          </cell>
          <cell r="B1515"/>
          <cell r="C1515"/>
          <cell r="D1515"/>
          <cell r="E1515"/>
          <cell r="F1515"/>
          <cell r="G1515">
            <v>2.5000000000000001E-3</v>
          </cell>
          <cell r="H1515"/>
          <cell r="I1515"/>
          <cell r="J1515"/>
          <cell r="K1515"/>
          <cell r="L1515"/>
          <cell r="M1515"/>
          <cell r="N1515">
            <v>2.2222000000000001E-3</v>
          </cell>
          <cell r="O1515"/>
          <cell r="P1515"/>
          <cell r="Q1515"/>
          <cell r="R1515"/>
          <cell r="S1515"/>
          <cell r="T1515"/>
          <cell r="U1515"/>
          <cell r="V1515"/>
          <cell r="W1515"/>
        </row>
        <row r="1516">
          <cell r="A1516" t="str">
            <v>10170843-S05</v>
          </cell>
          <cell r="B1516"/>
          <cell r="C1516"/>
          <cell r="D1516"/>
          <cell r="E1516"/>
          <cell r="F1516"/>
          <cell r="G1516"/>
          <cell r="H1516"/>
          <cell r="I1516"/>
          <cell r="J1516"/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>
            <v>8.3330000000000003E-4</v>
          </cell>
          <cell r="V1516"/>
          <cell r="W1516"/>
        </row>
        <row r="1517">
          <cell r="A1517" t="str">
            <v>10170843-S05K</v>
          </cell>
          <cell r="B1517"/>
          <cell r="C1517"/>
          <cell r="D1517"/>
          <cell r="E1517"/>
          <cell r="F1517"/>
          <cell r="G1517"/>
          <cell r="H1517"/>
          <cell r="I1517"/>
          <cell r="J1517"/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>
            <v>8.3330000000000003E-4</v>
          </cell>
          <cell r="V1517"/>
          <cell r="W1517"/>
        </row>
        <row r="1518">
          <cell r="A1518" t="str">
            <v>10170843-S05KL</v>
          </cell>
          <cell r="B1518"/>
          <cell r="C1518"/>
          <cell r="D1518"/>
          <cell r="E1518"/>
          <cell r="F1518"/>
          <cell r="G1518"/>
          <cell r="H1518"/>
          <cell r="I1518"/>
          <cell r="J1518"/>
          <cell r="K1518"/>
          <cell r="L1518"/>
          <cell r="M1518"/>
          <cell r="N1518">
            <v>2.2222000000000001E-3</v>
          </cell>
          <cell r="O1518"/>
          <cell r="P1518"/>
          <cell r="Q1518"/>
          <cell r="R1518"/>
          <cell r="S1518"/>
          <cell r="T1518"/>
          <cell r="U1518"/>
          <cell r="V1518"/>
          <cell r="W1518"/>
        </row>
        <row r="1519">
          <cell r="A1519" t="str">
            <v>10170843-S05LF</v>
          </cell>
          <cell r="B1519"/>
          <cell r="C1519"/>
          <cell r="D1519"/>
          <cell r="E1519"/>
          <cell r="F1519"/>
          <cell r="G1519">
            <v>2.5000000000000001E-3</v>
          </cell>
          <cell r="H1519"/>
          <cell r="I1519"/>
          <cell r="J1519"/>
          <cell r="K1519"/>
          <cell r="L1519"/>
          <cell r="M1519"/>
          <cell r="N1519">
            <v>2.2222000000000001E-3</v>
          </cell>
          <cell r="O1519"/>
          <cell r="P1519"/>
          <cell r="Q1519"/>
          <cell r="R1519"/>
          <cell r="S1519"/>
          <cell r="T1519"/>
          <cell r="U1519"/>
          <cell r="V1519"/>
          <cell r="W1519"/>
        </row>
        <row r="1520">
          <cell r="A1520" t="str">
            <v>10170844-001</v>
          </cell>
          <cell r="B1520"/>
          <cell r="C1520"/>
          <cell r="D1520"/>
          <cell r="E1520"/>
          <cell r="F1520"/>
          <cell r="G1520"/>
          <cell r="H1520"/>
          <cell r="I1520"/>
          <cell r="J1520"/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</row>
        <row r="1521">
          <cell r="A1521" t="str">
            <v>10170845-001LF</v>
          </cell>
          <cell r="B1521"/>
          <cell r="C1521"/>
          <cell r="D1521"/>
          <cell r="E1521"/>
          <cell r="F1521"/>
          <cell r="G1521">
            <v>3.8194000000000001E-3</v>
          </cell>
          <cell r="H1521"/>
          <cell r="I1521"/>
          <cell r="J1521"/>
          <cell r="K1521"/>
          <cell r="L1521"/>
          <cell r="M1521"/>
          <cell r="N1521">
            <v>5.7638999999999998E-3</v>
          </cell>
          <cell r="O1521"/>
          <cell r="P1521"/>
          <cell r="Q1521"/>
          <cell r="R1521"/>
          <cell r="S1521"/>
          <cell r="T1521"/>
          <cell r="U1521"/>
          <cell r="V1521"/>
          <cell r="W1521"/>
        </row>
        <row r="1522">
          <cell r="A1522" t="str">
            <v>10170845-002LF</v>
          </cell>
          <cell r="B1522"/>
          <cell r="C1522"/>
          <cell r="D1522"/>
          <cell r="E1522"/>
          <cell r="F1522"/>
          <cell r="G1522"/>
          <cell r="H1522"/>
          <cell r="I1522"/>
          <cell r="J1522"/>
          <cell r="K1522"/>
          <cell r="L1522"/>
          <cell r="M1522"/>
          <cell r="N1522">
            <v>9.5832999999999995E-3</v>
          </cell>
          <cell r="O1522"/>
          <cell r="P1522"/>
          <cell r="Q1522"/>
          <cell r="R1522"/>
          <cell r="S1522"/>
          <cell r="T1522"/>
          <cell r="U1522"/>
          <cell r="V1522"/>
          <cell r="W1522"/>
        </row>
        <row r="1523">
          <cell r="A1523" t="str">
            <v>10170845-003LF</v>
          </cell>
          <cell r="B1523"/>
          <cell r="C1523"/>
          <cell r="D1523"/>
          <cell r="E1523"/>
          <cell r="F1523"/>
          <cell r="G1523"/>
          <cell r="H1523"/>
          <cell r="I1523"/>
          <cell r="J1523"/>
          <cell r="K1523"/>
          <cell r="L1523"/>
          <cell r="M1523"/>
          <cell r="N1523">
            <v>9.5832999999999995E-3</v>
          </cell>
          <cell r="O1523"/>
          <cell r="P1523"/>
          <cell r="Q1523"/>
          <cell r="R1523"/>
          <cell r="S1523"/>
          <cell r="T1523"/>
          <cell r="U1523"/>
          <cell r="V1523"/>
          <cell r="W1523"/>
        </row>
        <row r="1524">
          <cell r="A1524" t="str">
            <v>10171410-001</v>
          </cell>
          <cell r="B1524"/>
          <cell r="C1524"/>
          <cell r="D1524"/>
          <cell r="E1524"/>
          <cell r="F1524">
            <v>6.6667000000000002E-3</v>
          </cell>
          <cell r="G1524"/>
          <cell r="H1524">
            <v>4.4444000000000003E-3</v>
          </cell>
          <cell r="I1524"/>
          <cell r="J1524"/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</row>
        <row r="1525">
          <cell r="A1525" t="str">
            <v>10171410-002</v>
          </cell>
          <cell r="B1525"/>
          <cell r="C1525"/>
          <cell r="D1525"/>
          <cell r="E1525"/>
          <cell r="F1525">
            <v>6.6667000000000002E-3</v>
          </cell>
          <cell r="G1525"/>
          <cell r="H1525">
            <v>4.4444000000000003E-3</v>
          </cell>
          <cell r="I1525"/>
          <cell r="J1525"/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</row>
        <row r="1526">
          <cell r="A1526" t="str">
            <v>10171410-003</v>
          </cell>
          <cell r="B1526"/>
          <cell r="C1526"/>
          <cell r="D1526"/>
          <cell r="E1526"/>
          <cell r="F1526">
            <v>6.6667000000000002E-3</v>
          </cell>
          <cell r="G1526"/>
          <cell r="H1526">
            <v>4.4444000000000003E-3</v>
          </cell>
          <cell r="I1526"/>
          <cell r="J1526"/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</row>
        <row r="1527">
          <cell r="A1527" t="str">
            <v>10171411-S01</v>
          </cell>
          <cell r="B1527"/>
          <cell r="C1527"/>
          <cell r="D1527"/>
          <cell r="E1527"/>
          <cell r="F1527"/>
          <cell r="G1527"/>
          <cell r="H1527"/>
          <cell r="I1527"/>
          <cell r="J1527"/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>
            <v>8.3330000000000003E-4</v>
          </cell>
          <cell r="V1527"/>
          <cell r="W1527"/>
        </row>
        <row r="1528">
          <cell r="A1528" t="str">
            <v>10171411-S01K</v>
          </cell>
          <cell r="B1528"/>
          <cell r="C1528"/>
          <cell r="D1528"/>
          <cell r="E1528"/>
          <cell r="F1528"/>
          <cell r="G1528"/>
          <cell r="H1528"/>
          <cell r="I1528"/>
          <cell r="J1528"/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>
            <v>8.3330000000000003E-4</v>
          </cell>
          <cell r="V1528"/>
          <cell r="W1528"/>
        </row>
        <row r="1529">
          <cell r="A1529" t="str">
            <v>10171411-S01KL</v>
          </cell>
          <cell r="B1529"/>
          <cell r="C1529"/>
          <cell r="D1529"/>
          <cell r="E1529"/>
          <cell r="F1529"/>
          <cell r="G1529"/>
          <cell r="H1529"/>
          <cell r="I1529"/>
          <cell r="J1529"/>
          <cell r="K1529"/>
          <cell r="L1529"/>
          <cell r="M1529"/>
          <cell r="N1529">
            <v>2.2222000000000001E-3</v>
          </cell>
          <cell r="O1529"/>
          <cell r="P1529"/>
          <cell r="Q1529"/>
          <cell r="R1529"/>
          <cell r="S1529"/>
          <cell r="T1529"/>
          <cell r="U1529"/>
          <cell r="V1529"/>
          <cell r="W1529"/>
        </row>
        <row r="1530">
          <cell r="A1530" t="str">
            <v>10171411-S01LF</v>
          </cell>
          <cell r="B1530"/>
          <cell r="C1530"/>
          <cell r="D1530"/>
          <cell r="E1530"/>
          <cell r="F1530"/>
          <cell r="G1530">
            <v>2.5000000000000001E-3</v>
          </cell>
          <cell r="H1530"/>
          <cell r="I1530"/>
          <cell r="J1530"/>
          <cell r="K1530"/>
          <cell r="L1530"/>
          <cell r="M1530"/>
          <cell r="N1530">
            <v>2.2222000000000001E-3</v>
          </cell>
          <cell r="O1530"/>
          <cell r="P1530"/>
          <cell r="Q1530"/>
          <cell r="R1530"/>
          <cell r="S1530"/>
          <cell r="T1530"/>
          <cell r="U1530"/>
          <cell r="V1530"/>
          <cell r="W1530"/>
        </row>
        <row r="1531">
          <cell r="A1531" t="str">
            <v>10171411-S02</v>
          </cell>
          <cell r="B1531"/>
          <cell r="C1531"/>
          <cell r="D1531"/>
          <cell r="E1531"/>
          <cell r="F1531"/>
          <cell r="G1531"/>
          <cell r="H1531"/>
          <cell r="I1531"/>
          <cell r="J1531"/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>
            <v>8.3330000000000003E-4</v>
          </cell>
          <cell r="V1531"/>
          <cell r="W1531"/>
        </row>
        <row r="1532">
          <cell r="A1532" t="str">
            <v>10171411-S02K</v>
          </cell>
          <cell r="B1532"/>
          <cell r="C1532"/>
          <cell r="D1532"/>
          <cell r="E1532"/>
          <cell r="F1532"/>
          <cell r="G1532"/>
          <cell r="H1532"/>
          <cell r="I1532"/>
          <cell r="J1532"/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>
            <v>8.3330000000000003E-4</v>
          </cell>
          <cell r="V1532"/>
          <cell r="W1532"/>
        </row>
        <row r="1533">
          <cell r="A1533" t="str">
            <v>10171411-S02KL</v>
          </cell>
          <cell r="B1533"/>
          <cell r="C1533"/>
          <cell r="D1533"/>
          <cell r="E1533"/>
          <cell r="F1533"/>
          <cell r="G1533"/>
          <cell r="H1533"/>
          <cell r="I1533"/>
          <cell r="J1533"/>
          <cell r="K1533"/>
          <cell r="L1533"/>
          <cell r="M1533"/>
          <cell r="N1533">
            <v>2.2222000000000001E-3</v>
          </cell>
          <cell r="O1533"/>
          <cell r="P1533"/>
          <cell r="Q1533"/>
          <cell r="R1533"/>
          <cell r="S1533"/>
          <cell r="T1533"/>
          <cell r="U1533"/>
          <cell r="V1533"/>
          <cell r="W1533"/>
        </row>
        <row r="1534">
          <cell r="A1534" t="str">
            <v>10171411-S02LF</v>
          </cell>
          <cell r="B1534"/>
          <cell r="C1534"/>
          <cell r="D1534"/>
          <cell r="E1534"/>
          <cell r="F1534"/>
          <cell r="G1534">
            <v>2.5000000000000001E-3</v>
          </cell>
          <cell r="H1534"/>
          <cell r="I1534"/>
          <cell r="J1534"/>
          <cell r="K1534"/>
          <cell r="L1534"/>
          <cell r="M1534"/>
          <cell r="N1534">
            <v>2.2222000000000001E-3</v>
          </cell>
          <cell r="O1534"/>
          <cell r="P1534"/>
          <cell r="Q1534"/>
          <cell r="R1534"/>
          <cell r="S1534"/>
          <cell r="T1534"/>
          <cell r="U1534"/>
          <cell r="V1534"/>
          <cell r="W1534"/>
        </row>
        <row r="1535">
          <cell r="A1535" t="str">
            <v>10171411-S03</v>
          </cell>
          <cell r="B1535"/>
          <cell r="C1535"/>
          <cell r="D1535"/>
          <cell r="E1535"/>
          <cell r="F1535"/>
          <cell r="G1535"/>
          <cell r="H1535"/>
          <cell r="I1535"/>
          <cell r="J1535"/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</row>
        <row r="1536">
          <cell r="A1536" t="str">
            <v>10171411-S03K</v>
          </cell>
          <cell r="B1536"/>
          <cell r="C1536"/>
          <cell r="D1536"/>
          <cell r="E1536"/>
          <cell r="F1536"/>
          <cell r="G1536"/>
          <cell r="H1536"/>
          <cell r="I1536"/>
          <cell r="J1536"/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</row>
        <row r="1537">
          <cell r="A1537" t="str">
            <v>10171411-S03KL</v>
          </cell>
          <cell r="B1537"/>
          <cell r="C1537"/>
          <cell r="D1537"/>
          <cell r="E1537"/>
          <cell r="F1537"/>
          <cell r="G1537"/>
          <cell r="H1537"/>
          <cell r="I1537"/>
          <cell r="J1537"/>
          <cell r="K1537"/>
          <cell r="L1537"/>
          <cell r="M1537"/>
          <cell r="N1537">
            <v>2.2222000000000001E-3</v>
          </cell>
          <cell r="O1537"/>
          <cell r="P1537"/>
          <cell r="Q1537"/>
          <cell r="R1537"/>
          <cell r="S1537"/>
          <cell r="T1537"/>
          <cell r="U1537"/>
          <cell r="V1537"/>
          <cell r="W1537"/>
        </row>
        <row r="1538">
          <cell r="A1538" t="str">
            <v>10171411-S03LF</v>
          </cell>
          <cell r="B1538"/>
          <cell r="C1538"/>
          <cell r="D1538"/>
          <cell r="E1538"/>
          <cell r="F1538"/>
          <cell r="G1538">
            <v>2.5000000000000001E-3</v>
          </cell>
          <cell r="H1538"/>
          <cell r="I1538"/>
          <cell r="J1538"/>
          <cell r="K1538"/>
          <cell r="L1538"/>
          <cell r="M1538"/>
          <cell r="N1538">
            <v>2.2222000000000001E-3</v>
          </cell>
          <cell r="O1538"/>
          <cell r="P1538"/>
          <cell r="Q1538"/>
          <cell r="R1538"/>
          <cell r="S1538"/>
          <cell r="T1538"/>
          <cell r="U1538"/>
          <cell r="V1538"/>
          <cell r="W1538"/>
        </row>
        <row r="1539">
          <cell r="A1539" t="str">
            <v>10171412-001</v>
          </cell>
          <cell r="B1539"/>
          <cell r="C1539"/>
          <cell r="D1539"/>
          <cell r="E1539"/>
          <cell r="F1539"/>
          <cell r="G1539"/>
          <cell r="H1539"/>
          <cell r="I1539"/>
          <cell r="J1539"/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</row>
        <row r="1540">
          <cell r="A1540" t="str">
            <v>10171413-001LF</v>
          </cell>
          <cell r="B1540"/>
          <cell r="C1540"/>
          <cell r="D1540"/>
          <cell r="E1540"/>
          <cell r="F1540"/>
          <cell r="G1540">
            <v>6.2500000000000003E-3</v>
          </cell>
          <cell r="H1540"/>
          <cell r="I1540"/>
          <cell r="J1540"/>
          <cell r="K1540"/>
          <cell r="L1540"/>
          <cell r="M1540"/>
          <cell r="N1540">
            <v>5.7638999999999998E-3</v>
          </cell>
          <cell r="O1540"/>
          <cell r="P1540"/>
          <cell r="Q1540"/>
          <cell r="R1540"/>
          <cell r="S1540"/>
          <cell r="T1540"/>
          <cell r="U1540"/>
          <cell r="V1540"/>
          <cell r="W1540"/>
        </row>
        <row r="1541">
          <cell r="A1541" t="str">
            <v>10171413-002LF</v>
          </cell>
          <cell r="B1541"/>
          <cell r="C1541"/>
          <cell r="D1541"/>
          <cell r="E1541"/>
          <cell r="F1541"/>
          <cell r="G1541">
            <v>6.2500000000000003E-3</v>
          </cell>
          <cell r="H1541"/>
          <cell r="I1541"/>
          <cell r="J1541"/>
          <cell r="K1541"/>
          <cell r="L1541"/>
          <cell r="M1541"/>
          <cell r="N1541">
            <v>5.7638999999999998E-3</v>
          </cell>
          <cell r="O1541"/>
          <cell r="P1541"/>
          <cell r="Q1541"/>
          <cell r="R1541"/>
          <cell r="S1541"/>
          <cell r="T1541"/>
          <cell r="U1541"/>
          <cell r="V1541"/>
          <cell r="W1541"/>
        </row>
        <row r="1542">
          <cell r="A1542" t="str">
            <v>10171413-003LF</v>
          </cell>
          <cell r="B1542"/>
          <cell r="C1542"/>
          <cell r="D1542"/>
          <cell r="E1542"/>
          <cell r="F1542"/>
          <cell r="G1542">
            <v>6.2500000000000003E-3</v>
          </cell>
          <cell r="H1542"/>
          <cell r="I1542"/>
          <cell r="J1542"/>
          <cell r="K1542"/>
          <cell r="L1542"/>
          <cell r="M1542"/>
          <cell r="N1542">
            <v>5.7638999999999998E-3</v>
          </cell>
          <cell r="O1542"/>
          <cell r="P1542"/>
          <cell r="Q1542"/>
          <cell r="R1542"/>
          <cell r="S1542"/>
          <cell r="T1542"/>
          <cell r="U1542"/>
          <cell r="V1542"/>
          <cell r="W1542"/>
        </row>
        <row r="1543">
          <cell r="A1543" t="str">
            <v>10171420-001</v>
          </cell>
          <cell r="B1543"/>
          <cell r="C1543"/>
          <cell r="D1543"/>
          <cell r="E1543"/>
          <cell r="F1543">
            <v>8.3333000000000001E-3</v>
          </cell>
          <cell r="G1543"/>
          <cell r="H1543">
            <v>4.8611000000000001E-3</v>
          </cell>
          <cell r="I1543"/>
          <cell r="J1543"/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</row>
        <row r="1544">
          <cell r="A1544" t="str">
            <v>10171420-002</v>
          </cell>
          <cell r="B1544"/>
          <cell r="C1544"/>
          <cell r="D1544"/>
          <cell r="E1544"/>
          <cell r="F1544">
            <v>8.3333000000000001E-3</v>
          </cell>
          <cell r="G1544"/>
          <cell r="H1544">
            <v>4.8611000000000001E-3</v>
          </cell>
          <cell r="I1544"/>
          <cell r="J1544"/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</row>
        <row r="1545">
          <cell r="A1545" t="str">
            <v>10171420-003</v>
          </cell>
          <cell r="B1545"/>
          <cell r="C1545"/>
          <cell r="D1545"/>
          <cell r="E1545"/>
          <cell r="F1545">
            <v>8.3333000000000001E-3</v>
          </cell>
          <cell r="G1545"/>
          <cell r="H1545">
            <v>4.8611000000000001E-3</v>
          </cell>
          <cell r="I1545"/>
          <cell r="J1545"/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</row>
        <row r="1546">
          <cell r="A1546" t="str">
            <v>10171423-S02</v>
          </cell>
          <cell r="B1546"/>
          <cell r="C1546"/>
          <cell r="D1546"/>
          <cell r="E1546"/>
          <cell r="F1546"/>
          <cell r="G1546"/>
          <cell r="H1546"/>
          <cell r="I1546"/>
          <cell r="J1546"/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>
            <v>8.3330000000000003E-4</v>
          </cell>
          <cell r="V1546"/>
          <cell r="W1546"/>
        </row>
        <row r="1547">
          <cell r="A1547" t="str">
            <v>10171423-S02K</v>
          </cell>
          <cell r="B1547"/>
          <cell r="C1547"/>
          <cell r="D1547"/>
          <cell r="E1547"/>
          <cell r="F1547"/>
          <cell r="G1547"/>
          <cell r="H1547"/>
          <cell r="I1547"/>
          <cell r="J1547"/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>
            <v>8.3330000000000003E-4</v>
          </cell>
          <cell r="V1547"/>
          <cell r="W1547"/>
        </row>
        <row r="1548">
          <cell r="A1548" t="str">
            <v>10171423-S02KL</v>
          </cell>
          <cell r="B1548"/>
          <cell r="C1548"/>
          <cell r="D1548"/>
          <cell r="E1548"/>
          <cell r="F1548"/>
          <cell r="G1548"/>
          <cell r="H1548"/>
          <cell r="I1548"/>
          <cell r="J1548"/>
          <cell r="K1548"/>
          <cell r="L1548"/>
          <cell r="M1548"/>
          <cell r="N1548">
            <v>2.2222000000000001E-3</v>
          </cell>
          <cell r="O1548"/>
          <cell r="P1548"/>
          <cell r="Q1548"/>
          <cell r="R1548"/>
          <cell r="S1548"/>
          <cell r="T1548"/>
          <cell r="U1548"/>
          <cell r="V1548"/>
          <cell r="W1548"/>
        </row>
        <row r="1549">
          <cell r="A1549" t="str">
            <v>10171423-S02LF</v>
          </cell>
          <cell r="B1549"/>
          <cell r="C1549"/>
          <cell r="D1549"/>
          <cell r="E1549"/>
          <cell r="F1549"/>
          <cell r="G1549">
            <v>2.5000000000000001E-3</v>
          </cell>
          <cell r="H1549"/>
          <cell r="I1549"/>
          <cell r="J1549"/>
          <cell r="K1549"/>
          <cell r="L1549"/>
          <cell r="M1549"/>
          <cell r="N1549">
            <v>2.2222000000000001E-3</v>
          </cell>
          <cell r="O1549"/>
          <cell r="P1549"/>
          <cell r="Q1549"/>
          <cell r="R1549"/>
          <cell r="S1549"/>
          <cell r="T1549"/>
          <cell r="U1549"/>
          <cell r="V1549"/>
          <cell r="W1549"/>
        </row>
        <row r="1550">
          <cell r="A1550" t="str">
            <v>10171423-S03</v>
          </cell>
          <cell r="B1550"/>
          <cell r="C1550"/>
          <cell r="D1550"/>
          <cell r="E1550"/>
          <cell r="F1550"/>
          <cell r="G1550"/>
          <cell r="H1550"/>
          <cell r="I1550"/>
          <cell r="J1550"/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>
            <v>8.3330000000000003E-4</v>
          </cell>
          <cell r="V1550"/>
          <cell r="W1550"/>
        </row>
        <row r="1551">
          <cell r="A1551" t="str">
            <v>10171423-S03K</v>
          </cell>
          <cell r="B1551"/>
          <cell r="C1551"/>
          <cell r="D1551"/>
          <cell r="E1551"/>
          <cell r="F1551"/>
          <cell r="G1551"/>
          <cell r="H1551"/>
          <cell r="I1551"/>
          <cell r="J1551"/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>
            <v>8.3330000000000003E-4</v>
          </cell>
          <cell r="V1551"/>
          <cell r="W1551"/>
        </row>
        <row r="1552">
          <cell r="A1552" t="str">
            <v>10171423-S03KL</v>
          </cell>
          <cell r="B1552"/>
          <cell r="C1552"/>
          <cell r="D1552"/>
          <cell r="E1552"/>
          <cell r="F1552"/>
          <cell r="G1552"/>
          <cell r="H1552"/>
          <cell r="I1552"/>
          <cell r="J1552"/>
          <cell r="K1552"/>
          <cell r="L1552"/>
          <cell r="M1552"/>
          <cell r="N1552">
            <v>2.2222000000000001E-3</v>
          </cell>
          <cell r="O1552"/>
          <cell r="P1552"/>
          <cell r="Q1552"/>
          <cell r="R1552"/>
          <cell r="S1552"/>
          <cell r="T1552"/>
          <cell r="U1552"/>
          <cell r="V1552"/>
          <cell r="W1552"/>
        </row>
        <row r="1553">
          <cell r="A1553" t="str">
            <v>10171423-S03LF</v>
          </cell>
          <cell r="B1553"/>
          <cell r="C1553"/>
          <cell r="D1553"/>
          <cell r="E1553"/>
          <cell r="F1553"/>
          <cell r="G1553">
            <v>2.5000000000000001E-3</v>
          </cell>
          <cell r="H1553"/>
          <cell r="I1553"/>
          <cell r="J1553"/>
          <cell r="K1553"/>
          <cell r="L1553"/>
          <cell r="M1553"/>
          <cell r="N1553">
            <v>2.2222000000000001E-3</v>
          </cell>
          <cell r="O1553"/>
          <cell r="P1553"/>
          <cell r="Q1553"/>
          <cell r="R1553"/>
          <cell r="S1553"/>
          <cell r="T1553"/>
          <cell r="U1553"/>
          <cell r="V1553"/>
          <cell r="W1553"/>
        </row>
        <row r="1554">
          <cell r="A1554" t="str">
            <v>10171423-S05</v>
          </cell>
          <cell r="B1554"/>
          <cell r="C1554"/>
          <cell r="D1554"/>
          <cell r="E1554"/>
          <cell r="F1554"/>
          <cell r="G1554"/>
          <cell r="H1554"/>
          <cell r="I1554"/>
          <cell r="J1554"/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>
            <v>8.3330000000000003E-4</v>
          </cell>
          <cell r="V1554"/>
          <cell r="W1554"/>
        </row>
        <row r="1555">
          <cell r="A1555" t="str">
            <v>10171423-S05K</v>
          </cell>
          <cell r="B1555"/>
          <cell r="C1555"/>
          <cell r="D1555"/>
          <cell r="E1555"/>
          <cell r="F1555"/>
          <cell r="G1555"/>
          <cell r="H1555"/>
          <cell r="I1555"/>
          <cell r="J1555"/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>
            <v>8.3330000000000003E-4</v>
          </cell>
          <cell r="V1555"/>
          <cell r="W1555"/>
        </row>
        <row r="1556">
          <cell r="A1556" t="str">
            <v>10171423-S05KL</v>
          </cell>
          <cell r="B1556"/>
          <cell r="C1556"/>
          <cell r="D1556"/>
          <cell r="E1556"/>
          <cell r="F1556"/>
          <cell r="G1556"/>
          <cell r="H1556"/>
          <cell r="I1556"/>
          <cell r="J1556"/>
          <cell r="K1556"/>
          <cell r="L1556"/>
          <cell r="M1556"/>
          <cell r="N1556">
            <v>2.2222000000000001E-3</v>
          </cell>
          <cell r="O1556"/>
          <cell r="P1556"/>
          <cell r="Q1556"/>
          <cell r="R1556"/>
          <cell r="S1556"/>
          <cell r="T1556"/>
          <cell r="U1556"/>
          <cell r="V1556"/>
          <cell r="W1556"/>
        </row>
        <row r="1557">
          <cell r="A1557" t="str">
            <v>10171423-S05LF</v>
          </cell>
          <cell r="B1557"/>
          <cell r="C1557"/>
          <cell r="D1557"/>
          <cell r="E1557"/>
          <cell r="F1557"/>
          <cell r="G1557">
            <v>2.5000000000000001E-3</v>
          </cell>
          <cell r="H1557"/>
          <cell r="I1557"/>
          <cell r="J1557"/>
          <cell r="K1557"/>
          <cell r="L1557"/>
          <cell r="M1557"/>
          <cell r="N1557">
            <v>2.2222000000000001E-3</v>
          </cell>
          <cell r="O1557"/>
          <cell r="P1557"/>
          <cell r="Q1557"/>
          <cell r="R1557"/>
          <cell r="S1557"/>
          <cell r="T1557"/>
          <cell r="U1557"/>
          <cell r="V1557"/>
          <cell r="W1557"/>
        </row>
        <row r="1558">
          <cell r="A1558" t="str">
            <v>10171425-001</v>
          </cell>
          <cell r="B1558"/>
          <cell r="C1558"/>
          <cell r="D1558"/>
          <cell r="E1558"/>
          <cell r="F1558"/>
          <cell r="G1558"/>
          <cell r="H1558"/>
          <cell r="I1558"/>
          <cell r="J1558"/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</row>
        <row r="1559">
          <cell r="A1559" t="str">
            <v>10171426-001LF</v>
          </cell>
          <cell r="B1559"/>
          <cell r="C1559"/>
          <cell r="D1559"/>
          <cell r="E1559"/>
          <cell r="F1559"/>
          <cell r="G1559">
            <v>6.2500000000000003E-3</v>
          </cell>
          <cell r="H1559"/>
          <cell r="I1559"/>
          <cell r="J1559"/>
          <cell r="K1559"/>
          <cell r="L1559"/>
          <cell r="M1559"/>
          <cell r="N1559">
            <v>5.7638999999999998E-3</v>
          </cell>
          <cell r="O1559"/>
          <cell r="P1559"/>
          <cell r="Q1559"/>
          <cell r="R1559"/>
          <cell r="S1559"/>
          <cell r="T1559"/>
          <cell r="U1559"/>
          <cell r="V1559"/>
          <cell r="W1559"/>
        </row>
        <row r="1560">
          <cell r="A1560" t="str">
            <v>10171426-002LF</v>
          </cell>
          <cell r="B1560"/>
          <cell r="C1560"/>
          <cell r="D1560"/>
          <cell r="E1560"/>
          <cell r="F1560"/>
          <cell r="G1560">
            <v>6.2500000000000003E-3</v>
          </cell>
          <cell r="H1560"/>
          <cell r="I1560"/>
          <cell r="J1560"/>
          <cell r="K1560"/>
          <cell r="L1560"/>
          <cell r="M1560"/>
          <cell r="N1560">
            <v>5.7638999999999998E-3</v>
          </cell>
          <cell r="O1560"/>
          <cell r="P1560"/>
          <cell r="Q1560"/>
          <cell r="R1560"/>
          <cell r="S1560"/>
          <cell r="T1560"/>
          <cell r="U1560"/>
          <cell r="V1560"/>
          <cell r="W1560"/>
        </row>
        <row r="1561">
          <cell r="A1561" t="str">
            <v>10171426-003LF</v>
          </cell>
          <cell r="B1561"/>
          <cell r="C1561"/>
          <cell r="D1561"/>
          <cell r="E1561"/>
          <cell r="F1561"/>
          <cell r="G1561">
            <v>6.2500000000000003E-3</v>
          </cell>
          <cell r="H1561"/>
          <cell r="I1561"/>
          <cell r="J1561"/>
          <cell r="K1561"/>
          <cell r="L1561"/>
          <cell r="M1561"/>
          <cell r="N1561">
            <v>5.7638999999999998E-3</v>
          </cell>
          <cell r="O1561"/>
          <cell r="P1561"/>
          <cell r="Q1561"/>
          <cell r="R1561"/>
          <cell r="S1561"/>
          <cell r="T1561"/>
          <cell r="U1561"/>
          <cell r="V1561"/>
          <cell r="W1561"/>
        </row>
        <row r="1562">
          <cell r="A1562" t="str">
            <v>10172156-001LF</v>
          </cell>
          <cell r="B1562"/>
          <cell r="C1562"/>
          <cell r="D1562"/>
          <cell r="E1562"/>
          <cell r="F1562"/>
          <cell r="G1562">
            <v>9.056E-4</v>
          </cell>
          <cell r="H1562"/>
          <cell r="I1562"/>
          <cell r="J1562"/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</row>
        <row r="1563">
          <cell r="A1563" t="str">
            <v>10172157-001LF</v>
          </cell>
          <cell r="B1563"/>
          <cell r="C1563"/>
          <cell r="D1563"/>
          <cell r="E1563"/>
          <cell r="F1563"/>
          <cell r="G1563">
            <v>9.056E-4</v>
          </cell>
          <cell r="H1563"/>
          <cell r="I1563"/>
          <cell r="J1563"/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</row>
        <row r="1564">
          <cell r="A1564" t="str">
            <v>10172163-001LF</v>
          </cell>
          <cell r="B1564"/>
          <cell r="C1564"/>
          <cell r="D1564"/>
          <cell r="E1564"/>
          <cell r="F1564"/>
          <cell r="G1564">
            <v>9.056E-4</v>
          </cell>
          <cell r="H1564"/>
          <cell r="I1564"/>
          <cell r="J1564"/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</row>
        <row r="1565">
          <cell r="A1565" t="str">
            <v>10172164-001LF</v>
          </cell>
          <cell r="B1565"/>
          <cell r="C1565"/>
          <cell r="D1565"/>
          <cell r="E1565"/>
          <cell r="F1565"/>
          <cell r="G1565">
            <v>9.056E-4</v>
          </cell>
          <cell r="H1565"/>
          <cell r="I1565"/>
          <cell r="J1565"/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</row>
        <row r="1566">
          <cell r="A1566" t="str">
            <v>10172178-002</v>
          </cell>
          <cell r="B1566"/>
          <cell r="C1566"/>
          <cell r="D1566"/>
          <cell r="E1566"/>
          <cell r="F1566"/>
          <cell r="G1566"/>
          <cell r="H1566"/>
          <cell r="I1566"/>
          <cell r="J1566"/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</row>
        <row r="1567">
          <cell r="A1567" t="str">
            <v>10172178-002LF</v>
          </cell>
          <cell r="B1567"/>
          <cell r="C1567">
            <v>0</v>
          </cell>
          <cell r="D1567"/>
          <cell r="E1567"/>
          <cell r="F1567"/>
          <cell r="G1567"/>
          <cell r="H1567"/>
          <cell r="I1567"/>
          <cell r="J1567"/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>
            <v>1.4880000000000001E-4</v>
          </cell>
          <cell r="W1567"/>
        </row>
        <row r="1568">
          <cell r="A1568" t="str">
            <v>10172178-201LF</v>
          </cell>
          <cell r="B1568"/>
          <cell r="C1568"/>
          <cell r="D1568"/>
          <cell r="E1568"/>
          <cell r="F1568"/>
          <cell r="G1568">
            <v>5.5559999999999995E-4</v>
          </cell>
          <cell r="H1568"/>
          <cell r="I1568"/>
          <cell r="J1568"/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</row>
        <row r="1569">
          <cell r="A1569" t="str">
            <v>10172285-011LF</v>
          </cell>
          <cell r="B1569"/>
          <cell r="C1569"/>
          <cell r="D1569"/>
          <cell r="E1569"/>
          <cell r="F1569"/>
          <cell r="G1569"/>
          <cell r="H1569"/>
          <cell r="I1569">
            <v>2.7779999999999998E-4</v>
          </cell>
          <cell r="J1569"/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</row>
        <row r="1570">
          <cell r="A1570" t="str">
            <v>10172285-101LF</v>
          </cell>
          <cell r="B1570"/>
          <cell r="C1570"/>
          <cell r="D1570"/>
          <cell r="E1570"/>
          <cell r="F1570"/>
          <cell r="G1570">
            <v>1.15277E-2</v>
          </cell>
          <cell r="H1570"/>
          <cell r="I1570"/>
          <cell r="J1570"/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</row>
        <row r="1571">
          <cell r="A1571" t="str">
            <v>10172336-001</v>
          </cell>
          <cell r="B1571"/>
          <cell r="C1571"/>
          <cell r="D1571"/>
          <cell r="E1571"/>
          <cell r="F1571"/>
          <cell r="G1571"/>
          <cell r="H1571"/>
          <cell r="I1571"/>
          <cell r="J1571"/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</row>
        <row r="1572">
          <cell r="A1572" t="str">
            <v>10172336-002</v>
          </cell>
          <cell r="B1572"/>
          <cell r="C1572"/>
          <cell r="D1572"/>
          <cell r="E1572"/>
          <cell r="F1572"/>
          <cell r="G1572"/>
          <cell r="H1572"/>
          <cell r="I1572"/>
          <cell r="J1572"/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</row>
        <row r="1573">
          <cell r="A1573" t="str">
            <v>10172336-S01LF</v>
          </cell>
          <cell r="B1573"/>
          <cell r="C1573"/>
          <cell r="D1573"/>
          <cell r="E1573"/>
          <cell r="F1573"/>
          <cell r="G1573"/>
          <cell r="H1573"/>
          <cell r="I1573"/>
          <cell r="J1573"/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>
            <v>5.0000000000000002E-5</v>
          </cell>
          <cell r="W1573"/>
        </row>
        <row r="1574">
          <cell r="A1574" t="str">
            <v>10172336-S02LF</v>
          </cell>
          <cell r="B1574"/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>
            <v>5.0000000000000002E-5</v>
          </cell>
          <cell r="W1574"/>
        </row>
        <row r="1575">
          <cell r="A1575" t="str">
            <v>10172337-001</v>
          </cell>
          <cell r="B1575"/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</row>
        <row r="1576">
          <cell r="A1576" t="str">
            <v>10172337-002</v>
          </cell>
          <cell r="B1576"/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</row>
        <row r="1577">
          <cell r="A1577" t="str">
            <v>10172337-S01LF</v>
          </cell>
          <cell r="B1577"/>
          <cell r="C1577"/>
          <cell r="D1577"/>
          <cell r="E1577"/>
          <cell r="F1577"/>
          <cell r="G1577"/>
          <cell r="H1577"/>
          <cell r="I1577"/>
          <cell r="J1577"/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>
            <v>4.1699999999999997E-5</v>
          </cell>
          <cell r="W1577"/>
        </row>
        <row r="1578">
          <cell r="A1578" t="str">
            <v>10172337-S02LF</v>
          </cell>
          <cell r="B1578"/>
          <cell r="C1578"/>
          <cell r="D1578"/>
          <cell r="E1578"/>
          <cell r="F1578"/>
          <cell r="G1578"/>
          <cell r="H1578"/>
          <cell r="I1578"/>
          <cell r="J1578"/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>
            <v>4.1699999999999997E-5</v>
          </cell>
          <cell r="W1578"/>
        </row>
        <row r="1579">
          <cell r="A1579" t="str">
            <v>10172340-001</v>
          </cell>
          <cell r="B1579"/>
          <cell r="C1579"/>
          <cell r="D1579"/>
          <cell r="E1579"/>
          <cell r="F1579"/>
          <cell r="G1579"/>
          <cell r="H1579"/>
          <cell r="I1579"/>
          <cell r="J1579"/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</row>
        <row r="1580">
          <cell r="A1580" t="str">
            <v>10172340-002</v>
          </cell>
          <cell r="B1580"/>
          <cell r="C1580"/>
          <cell r="D1580"/>
          <cell r="E1580"/>
          <cell r="F1580"/>
          <cell r="G1580"/>
          <cell r="H1580"/>
          <cell r="I1580"/>
          <cell r="J1580"/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</row>
        <row r="1581">
          <cell r="A1581" t="str">
            <v>10172340-T01LF</v>
          </cell>
          <cell r="B1581"/>
          <cell r="C1581"/>
          <cell r="D1581"/>
          <cell r="E1581"/>
          <cell r="F1581"/>
          <cell r="G1581"/>
          <cell r="H1581"/>
          <cell r="I1581"/>
          <cell r="J1581"/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>
            <v>1.6699999999999999E-5</v>
          </cell>
          <cell r="W1581"/>
        </row>
        <row r="1582">
          <cell r="A1582" t="str">
            <v>10172340-T02LF</v>
          </cell>
          <cell r="B1582"/>
          <cell r="C1582"/>
          <cell r="D1582"/>
          <cell r="E1582"/>
          <cell r="F1582"/>
          <cell r="G1582"/>
          <cell r="H1582"/>
          <cell r="I1582"/>
          <cell r="J1582"/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>
            <v>1.6699999999999999E-5</v>
          </cell>
          <cell r="W1582"/>
        </row>
        <row r="1583">
          <cell r="A1583" t="str">
            <v>10173673-001LF</v>
          </cell>
          <cell r="B1583"/>
          <cell r="C1583"/>
          <cell r="D1583"/>
          <cell r="E1583"/>
          <cell r="F1583"/>
          <cell r="G1583">
            <v>7.6000000000000004E-4</v>
          </cell>
          <cell r="H1583"/>
          <cell r="I1583"/>
          <cell r="J1583"/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</row>
        <row r="1584">
          <cell r="A1584" t="str">
            <v>10173961-001</v>
          </cell>
          <cell r="B1584"/>
          <cell r="C1584"/>
          <cell r="D1584"/>
          <cell r="E1584"/>
          <cell r="F1584">
            <v>4.5833000000000002E-3</v>
          </cell>
          <cell r="G1584"/>
          <cell r="H1584">
            <v>2.6389E-3</v>
          </cell>
          <cell r="I1584"/>
          <cell r="J1584"/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</row>
        <row r="1585">
          <cell r="A1585" t="str">
            <v>10173962-001</v>
          </cell>
          <cell r="B1585"/>
          <cell r="C1585"/>
          <cell r="D1585"/>
          <cell r="E1585"/>
          <cell r="F1585">
            <v>4.5833000000000002E-3</v>
          </cell>
          <cell r="G1585"/>
          <cell r="H1585">
            <v>2.6389E-3</v>
          </cell>
          <cell r="I1585"/>
          <cell r="J1585"/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</row>
        <row r="1586">
          <cell r="A1586" t="str">
            <v>10174690-1NF004LF</v>
          </cell>
          <cell r="B1586"/>
          <cell r="C1586"/>
          <cell r="D1586"/>
          <cell r="E1586"/>
          <cell r="F1586"/>
          <cell r="G1586">
            <v>2.7777799999999998E-2</v>
          </cell>
          <cell r="H1586"/>
          <cell r="I1586"/>
          <cell r="J1586"/>
          <cell r="K1586"/>
          <cell r="L1586"/>
          <cell r="M1586"/>
          <cell r="N1586">
            <v>0.2458333</v>
          </cell>
          <cell r="O1586"/>
          <cell r="P1586"/>
          <cell r="Q1586"/>
          <cell r="R1586"/>
          <cell r="S1586"/>
          <cell r="T1586"/>
          <cell r="U1586"/>
          <cell r="V1586"/>
          <cell r="W1586"/>
        </row>
        <row r="1587">
          <cell r="A1587" t="str">
            <v>10174690-1NF009LF</v>
          </cell>
          <cell r="B1587"/>
          <cell r="C1587"/>
          <cell r="D1587"/>
          <cell r="E1587"/>
          <cell r="F1587"/>
          <cell r="G1587">
            <v>2.7777799999999998E-2</v>
          </cell>
          <cell r="H1587"/>
          <cell r="I1587"/>
          <cell r="J1587"/>
          <cell r="K1587"/>
          <cell r="L1587"/>
          <cell r="M1587"/>
          <cell r="N1587">
            <v>0.17534720000000001</v>
          </cell>
          <cell r="O1587"/>
          <cell r="P1587"/>
          <cell r="Q1587"/>
          <cell r="R1587"/>
          <cell r="S1587"/>
          <cell r="T1587"/>
          <cell r="U1587"/>
          <cell r="V1587"/>
          <cell r="W1587"/>
        </row>
        <row r="1588">
          <cell r="A1588" t="str">
            <v>10174690-1UF011LF</v>
          </cell>
          <cell r="B1588"/>
          <cell r="C1588"/>
          <cell r="D1588"/>
          <cell r="E1588"/>
          <cell r="F1588"/>
          <cell r="G1588">
            <v>2.7777799999999998E-2</v>
          </cell>
          <cell r="H1588"/>
          <cell r="I1588"/>
          <cell r="J1588"/>
          <cell r="K1588"/>
          <cell r="L1588"/>
          <cell r="M1588"/>
          <cell r="N1588">
            <v>0.2095486</v>
          </cell>
          <cell r="O1588"/>
          <cell r="P1588"/>
          <cell r="Q1588"/>
          <cell r="R1588"/>
          <cell r="S1588"/>
          <cell r="T1588"/>
          <cell r="U1588"/>
          <cell r="V1588"/>
          <cell r="W1588"/>
        </row>
        <row r="1589">
          <cell r="A1589" t="str">
            <v>10174690-1UF025LF</v>
          </cell>
          <cell r="B1589"/>
          <cell r="C1589"/>
          <cell r="D1589"/>
          <cell r="E1589"/>
          <cell r="F1589"/>
          <cell r="G1589">
            <v>2.7777799999999998E-2</v>
          </cell>
          <cell r="H1589"/>
          <cell r="I1589"/>
          <cell r="J1589"/>
          <cell r="K1589"/>
          <cell r="L1589"/>
          <cell r="M1589"/>
          <cell r="N1589">
            <v>0.16458329999999999</v>
          </cell>
          <cell r="O1589"/>
          <cell r="P1589"/>
          <cell r="Q1589"/>
          <cell r="R1589"/>
          <cell r="S1589"/>
          <cell r="T1589"/>
          <cell r="U1589"/>
          <cell r="V1589"/>
          <cell r="W1589"/>
        </row>
        <row r="1590">
          <cell r="A1590" t="str">
            <v>10174754-S01LF</v>
          </cell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>
            <v>5.5559999999999995E-4</v>
          </cell>
          <cell r="V1590"/>
          <cell r="W1590"/>
        </row>
        <row r="1591">
          <cell r="A1591" t="str">
            <v>10174755-S01LF</v>
          </cell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>
            <v>5.5559999999999995E-4</v>
          </cell>
          <cell r="V1591"/>
          <cell r="W1591"/>
        </row>
        <row r="1592">
          <cell r="A1592" t="str">
            <v>10174756-S01LF</v>
          </cell>
          <cell r="B1592"/>
          <cell r="C1592"/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>
            <v>5.5559999999999995E-4</v>
          </cell>
          <cell r="V1592"/>
          <cell r="W1592"/>
        </row>
        <row r="1593">
          <cell r="A1593" t="str">
            <v>10174757-S01LF</v>
          </cell>
          <cell r="B1593"/>
          <cell r="C1593"/>
          <cell r="D1593"/>
          <cell r="E1593"/>
          <cell r="F1593"/>
          <cell r="G1593"/>
          <cell r="H1593"/>
          <cell r="I1593"/>
          <cell r="J1593"/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>
            <v>5.5559999999999995E-4</v>
          </cell>
          <cell r="V1593"/>
          <cell r="W1593"/>
        </row>
        <row r="1594">
          <cell r="A1594" t="str">
            <v>10175162-002</v>
          </cell>
          <cell r="B1594"/>
          <cell r="C1594"/>
          <cell r="D1594"/>
          <cell r="E1594"/>
          <cell r="F1594"/>
          <cell r="G1594"/>
          <cell r="H1594"/>
          <cell r="I1594"/>
          <cell r="J1594"/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</row>
        <row r="1595">
          <cell r="A1595" t="str">
            <v>10175162-002LF</v>
          </cell>
          <cell r="B1595"/>
          <cell r="C1595">
            <v>0</v>
          </cell>
          <cell r="D1595"/>
          <cell r="E1595"/>
          <cell r="F1595"/>
          <cell r="G1595"/>
          <cell r="H1595"/>
          <cell r="I1595"/>
          <cell r="J1595"/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>
            <v>1.3889999999999999E-4</v>
          </cell>
          <cell r="W1595"/>
        </row>
        <row r="1596">
          <cell r="A1596" t="str">
            <v>10175162-201LF</v>
          </cell>
          <cell r="B1596"/>
          <cell r="C1596"/>
          <cell r="D1596"/>
          <cell r="E1596"/>
          <cell r="F1596"/>
          <cell r="G1596"/>
          <cell r="H1596"/>
          <cell r="I1596"/>
          <cell r="J1596">
            <v>5.5559999999999995E-4</v>
          </cell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</row>
        <row r="1597">
          <cell r="A1597" t="str">
            <v>10177118-BLUS01LF</v>
          </cell>
          <cell r="B1597"/>
          <cell r="C1597"/>
          <cell r="D1597"/>
          <cell r="E1597"/>
          <cell r="F1597"/>
          <cell r="G1597">
            <v>1.45667E-2</v>
          </cell>
          <cell r="H1597"/>
          <cell r="I1597"/>
          <cell r="J1597"/>
          <cell r="K1597"/>
          <cell r="L1597"/>
          <cell r="M1597"/>
          <cell r="N1597">
            <v>1.21528E-2</v>
          </cell>
          <cell r="O1597"/>
          <cell r="P1597"/>
          <cell r="Q1597"/>
          <cell r="R1597"/>
          <cell r="S1597"/>
          <cell r="T1597"/>
          <cell r="U1597"/>
          <cell r="V1597"/>
          <cell r="W1597"/>
        </row>
        <row r="1598">
          <cell r="A1598" t="str">
            <v>10177118-BLUS04LF</v>
          </cell>
          <cell r="B1598"/>
          <cell r="C1598"/>
          <cell r="D1598"/>
          <cell r="E1598"/>
          <cell r="F1598"/>
          <cell r="G1598">
            <v>1.45667E-2</v>
          </cell>
          <cell r="H1598"/>
          <cell r="I1598"/>
          <cell r="J1598"/>
          <cell r="K1598"/>
          <cell r="L1598"/>
          <cell r="M1598"/>
          <cell r="N1598">
            <v>1.21528E-2</v>
          </cell>
          <cell r="O1598"/>
          <cell r="P1598"/>
          <cell r="Q1598"/>
          <cell r="R1598"/>
          <cell r="S1598"/>
          <cell r="T1598"/>
          <cell r="U1598"/>
          <cell r="V1598"/>
          <cell r="W1598"/>
        </row>
        <row r="1599">
          <cell r="A1599" t="str">
            <v>10177118-BLUS05LF</v>
          </cell>
          <cell r="B1599"/>
          <cell r="C1599"/>
          <cell r="D1599"/>
          <cell r="E1599"/>
          <cell r="F1599"/>
          <cell r="G1599">
            <v>1.45667E-2</v>
          </cell>
          <cell r="H1599"/>
          <cell r="I1599"/>
          <cell r="J1599"/>
          <cell r="K1599"/>
          <cell r="L1599"/>
          <cell r="M1599"/>
          <cell r="N1599">
            <v>1.21528E-2</v>
          </cell>
          <cell r="O1599"/>
          <cell r="P1599"/>
          <cell r="Q1599"/>
          <cell r="R1599"/>
          <cell r="S1599"/>
          <cell r="T1599"/>
          <cell r="U1599"/>
          <cell r="V1599"/>
          <cell r="W1599"/>
        </row>
        <row r="1600">
          <cell r="A1600" t="str">
            <v>10177118-GRYS01LF</v>
          </cell>
          <cell r="B1600"/>
          <cell r="C1600"/>
          <cell r="D1600"/>
          <cell r="E1600"/>
          <cell r="F1600"/>
          <cell r="G1600">
            <v>1.45667E-2</v>
          </cell>
          <cell r="H1600"/>
          <cell r="I1600"/>
          <cell r="J1600"/>
          <cell r="K1600"/>
          <cell r="L1600"/>
          <cell r="M1600"/>
          <cell r="N1600">
            <v>1.21528E-2</v>
          </cell>
          <cell r="O1600"/>
          <cell r="P1600"/>
          <cell r="Q1600"/>
          <cell r="R1600"/>
          <cell r="S1600"/>
          <cell r="T1600"/>
          <cell r="U1600"/>
          <cell r="V1600"/>
          <cell r="W1600"/>
        </row>
        <row r="1601">
          <cell r="A1601" t="str">
            <v>10177118-GRYS04LF</v>
          </cell>
          <cell r="B1601"/>
          <cell r="C1601"/>
          <cell r="D1601"/>
          <cell r="E1601"/>
          <cell r="F1601"/>
          <cell r="G1601">
            <v>1.45667E-2</v>
          </cell>
          <cell r="H1601"/>
          <cell r="I1601"/>
          <cell r="J1601"/>
          <cell r="K1601"/>
          <cell r="L1601"/>
          <cell r="M1601"/>
          <cell r="N1601">
            <v>1.21528E-2</v>
          </cell>
          <cell r="O1601"/>
          <cell r="P1601"/>
          <cell r="Q1601"/>
          <cell r="R1601"/>
          <cell r="S1601"/>
          <cell r="T1601"/>
          <cell r="U1601"/>
          <cell r="V1601"/>
          <cell r="W1601"/>
        </row>
        <row r="1602">
          <cell r="A1602" t="str">
            <v>10177118-GRYS05LF</v>
          </cell>
          <cell r="B1602"/>
          <cell r="C1602"/>
          <cell r="D1602"/>
          <cell r="E1602"/>
          <cell r="F1602"/>
          <cell r="G1602">
            <v>1.45667E-2</v>
          </cell>
          <cell r="H1602"/>
          <cell r="I1602"/>
          <cell r="J1602"/>
          <cell r="K1602"/>
          <cell r="L1602"/>
          <cell r="M1602"/>
          <cell r="N1602">
            <v>1.21528E-2</v>
          </cell>
          <cell r="O1602"/>
          <cell r="P1602"/>
          <cell r="Q1602"/>
          <cell r="R1602"/>
          <cell r="S1602"/>
          <cell r="T1602"/>
          <cell r="U1602"/>
          <cell r="V1602"/>
          <cell r="W1602"/>
        </row>
        <row r="1603">
          <cell r="A1603" t="str">
            <v>10177118-REDS01LF</v>
          </cell>
          <cell r="B1603"/>
          <cell r="C1603"/>
          <cell r="D1603"/>
          <cell r="E1603"/>
          <cell r="F1603"/>
          <cell r="G1603">
            <v>1.45667E-2</v>
          </cell>
          <cell r="H1603"/>
          <cell r="I1603"/>
          <cell r="J1603"/>
          <cell r="K1603"/>
          <cell r="L1603"/>
          <cell r="M1603"/>
          <cell r="N1603">
            <v>1.21528E-2</v>
          </cell>
          <cell r="O1603"/>
          <cell r="P1603"/>
          <cell r="Q1603"/>
          <cell r="R1603"/>
          <cell r="S1603"/>
          <cell r="T1603"/>
          <cell r="U1603"/>
          <cell r="V1603"/>
          <cell r="W1603"/>
        </row>
        <row r="1604">
          <cell r="A1604" t="str">
            <v>10177118-REDS04LF</v>
          </cell>
          <cell r="B1604"/>
          <cell r="C1604"/>
          <cell r="D1604"/>
          <cell r="E1604"/>
          <cell r="F1604"/>
          <cell r="G1604">
            <v>1.45667E-2</v>
          </cell>
          <cell r="H1604"/>
          <cell r="I1604"/>
          <cell r="J1604"/>
          <cell r="K1604"/>
          <cell r="L1604"/>
          <cell r="M1604"/>
          <cell r="N1604">
            <v>1.21528E-2</v>
          </cell>
          <cell r="O1604"/>
          <cell r="P1604"/>
          <cell r="Q1604"/>
          <cell r="R1604"/>
          <cell r="S1604"/>
          <cell r="T1604"/>
          <cell r="U1604"/>
          <cell r="V1604"/>
          <cell r="W1604"/>
        </row>
        <row r="1605">
          <cell r="A1605" t="str">
            <v>10177118-REDS05LF</v>
          </cell>
          <cell r="B1605"/>
          <cell r="C1605"/>
          <cell r="D1605"/>
          <cell r="E1605"/>
          <cell r="F1605"/>
          <cell r="G1605">
            <v>1.45667E-2</v>
          </cell>
          <cell r="H1605"/>
          <cell r="I1605"/>
          <cell r="J1605"/>
          <cell r="K1605"/>
          <cell r="L1605"/>
          <cell r="M1605"/>
          <cell r="N1605">
            <v>1.21528E-2</v>
          </cell>
          <cell r="O1605"/>
          <cell r="P1605"/>
          <cell r="Q1605"/>
          <cell r="R1605"/>
          <cell r="S1605"/>
          <cell r="T1605"/>
          <cell r="U1605"/>
          <cell r="V1605"/>
          <cell r="W1605"/>
        </row>
        <row r="1606">
          <cell r="A1606" t="str">
            <v>10177119-BLUS01LF</v>
          </cell>
          <cell r="B1606"/>
          <cell r="C1606"/>
          <cell r="D1606"/>
          <cell r="E1606"/>
          <cell r="F1606"/>
          <cell r="G1606">
            <v>1.45667E-2</v>
          </cell>
          <cell r="H1606"/>
          <cell r="I1606"/>
          <cell r="J1606"/>
          <cell r="K1606"/>
          <cell r="L1606"/>
          <cell r="M1606"/>
          <cell r="N1606">
            <v>1.21528E-2</v>
          </cell>
          <cell r="O1606"/>
          <cell r="P1606"/>
          <cell r="Q1606"/>
          <cell r="R1606"/>
          <cell r="S1606"/>
          <cell r="T1606"/>
          <cell r="U1606"/>
          <cell r="V1606"/>
          <cell r="W1606"/>
        </row>
        <row r="1607">
          <cell r="A1607" t="str">
            <v>10177119-BLUS02LF</v>
          </cell>
          <cell r="B1607"/>
          <cell r="C1607"/>
          <cell r="D1607"/>
          <cell r="E1607"/>
          <cell r="F1607"/>
          <cell r="G1607">
            <v>1.45667E-2</v>
          </cell>
          <cell r="H1607"/>
          <cell r="I1607"/>
          <cell r="J1607"/>
          <cell r="K1607"/>
          <cell r="L1607"/>
          <cell r="M1607"/>
          <cell r="N1607">
            <v>1.21528E-2</v>
          </cell>
          <cell r="O1607"/>
          <cell r="P1607"/>
          <cell r="Q1607"/>
          <cell r="R1607"/>
          <cell r="S1607"/>
          <cell r="T1607"/>
          <cell r="U1607"/>
          <cell r="V1607"/>
          <cell r="W1607"/>
        </row>
        <row r="1608">
          <cell r="A1608" t="str">
            <v>10177119-BLUS03LF</v>
          </cell>
          <cell r="B1608"/>
          <cell r="C1608"/>
          <cell r="D1608"/>
          <cell r="E1608"/>
          <cell r="F1608"/>
          <cell r="G1608">
            <v>1.45667E-2</v>
          </cell>
          <cell r="H1608"/>
          <cell r="I1608"/>
          <cell r="J1608"/>
          <cell r="K1608"/>
          <cell r="L1608"/>
          <cell r="M1608"/>
          <cell r="N1608">
            <v>1.21528E-2</v>
          </cell>
          <cell r="O1608"/>
          <cell r="P1608"/>
          <cell r="Q1608"/>
          <cell r="R1608"/>
          <cell r="S1608"/>
          <cell r="T1608"/>
          <cell r="U1608"/>
          <cell r="V1608"/>
          <cell r="W1608"/>
        </row>
        <row r="1609">
          <cell r="A1609" t="str">
            <v>10177119-GRYS01LF</v>
          </cell>
          <cell r="B1609"/>
          <cell r="C1609"/>
          <cell r="D1609"/>
          <cell r="E1609"/>
          <cell r="F1609"/>
          <cell r="G1609">
            <v>1.45667E-2</v>
          </cell>
          <cell r="H1609"/>
          <cell r="I1609"/>
          <cell r="J1609"/>
          <cell r="K1609"/>
          <cell r="L1609"/>
          <cell r="M1609"/>
          <cell r="N1609">
            <v>1.21528E-2</v>
          </cell>
          <cell r="O1609"/>
          <cell r="P1609"/>
          <cell r="Q1609"/>
          <cell r="R1609"/>
          <cell r="S1609"/>
          <cell r="T1609"/>
          <cell r="U1609"/>
          <cell r="V1609"/>
          <cell r="W1609"/>
        </row>
        <row r="1610">
          <cell r="A1610" t="str">
            <v>10177119-GRYS02LF</v>
          </cell>
          <cell r="B1610"/>
          <cell r="C1610"/>
          <cell r="D1610"/>
          <cell r="E1610"/>
          <cell r="F1610"/>
          <cell r="G1610">
            <v>1.45667E-2</v>
          </cell>
          <cell r="H1610"/>
          <cell r="I1610"/>
          <cell r="J1610"/>
          <cell r="K1610"/>
          <cell r="L1610"/>
          <cell r="M1610"/>
          <cell r="N1610">
            <v>1.21528E-2</v>
          </cell>
          <cell r="O1610"/>
          <cell r="P1610"/>
          <cell r="Q1610"/>
          <cell r="R1610"/>
          <cell r="S1610"/>
          <cell r="T1610"/>
          <cell r="U1610"/>
          <cell r="V1610"/>
          <cell r="W1610"/>
        </row>
        <row r="1611">
          <cell r="A1611" t="str">
            <v>10177119-GRYS03LF</v>
          </cell>
          <cell r="B1611"/>
          <cell r="C1611"/>
          <cell r="D1611"/>
          <cell r="E1611"/>
          <cell r="F1611"/>
          <cell r="G1611">
            <v>1.45667E-2</v>
          </cell>
          <cell r="H1611"/>
          <cell r="I1611"/>
          <cell r="J1611"/>
          <cell r="K1611"/>
          <cell r="L1611"/>
          <cell r="M1611"/>
          <cell r="N1611">
            <v>1.21528E-2</v>
          </cell>
          <cell r="O1611"/>
          <cell r="P1611"/>
          <cell r="Q1611"/>
          <cell r="R1611"/>
          <cell r="S1611"/>
          <cell r="T1611"/>
          <cell r="U1611"/>
          <cell r="V1611"/>
          <cell r="W1611"/>
        </row>
        <row r="1612">
          <cell r="A1612" t="str">
            <v>10177119-REDS01LF</v>
          </cell>
          <cell r="B1612"/>
          <cell r="C1612"/>
          <cell r="D1612"/>
          <cell r="E1612"/>
          <cell r="F1612"/>
          <cell r="G1612">
            <v>1.45667E-2</v>
          </cell>
          <cell r="H1612"/>
          <cell r="I1612"/>
          <cell r="J1612"/>
          <cell r="K1612"/>
          <cell r="L1612"/>
          <cell r="M1612"/>
          <cell r="N1612">
            <v>1.21528E-2</v>
          </cell>
          <cell r="O1612"/>
          <cell r="P1612"/>
          <cell r="Q1612"/>
          <cell r="R1612"/>
          <cell r="S1612"/>
          <cell r="T1612"/>
          <cell r="U1612"/>
          <cell r="V1612"/>
          <cell r="W1612"/>
        </row>
        <row r="1613">
          <cell r="A1613" t="str">
            <v>10177119-REDS02LF</v>
          </cell>
          <cell r="B1613"/>
          <cell r="C1613"/>
          <cell r="D1613"/>
          <cell r="E1613"/>
          <cell r="F1613"/>
          <cell r="G1613">
            <v>1.45667E-2</v>
          </cell>
          <cell r="H1613"/>
          <cell r="I1613"/>
          <cell r="J1613"/>
          <cell r="K1613"/>
          <cell r="L1613"/>
          <cell r="M1613"/>
          <cell r="N1613">
            <v>1.21528E-2</v>
          </cell>
          <cell r="O1613"/>
          <cell r="P1613"/>
          <cell r="Q1613"/>
          <cell r="R1613"/>
          <cell r="S1613"/>
          <cell r="T1613"/>
          <cell r="U1613"/>
          <cell r="V1613"/>
          <cell r="W1613"/>
        </row>
        <row r="1614">
          <cell r="A1614" t="str">
            <v>10177119-REDS03LF</v>
          </cell>
          <cell r="B1614"/>
          <cell r="C1614"/>
          <cell r="D1614"/>
          <cell r="E1614"/>
          <cell r="F1614"/>
          <cell r="G1614">
            <v>1.45667E-2</v>
          </cell>
          <cell r="H1614"/>
          <cell r="I1614"/>
          <cell r="J1614"/>
          <cell r="K1614"/>
          <cell r="L1614"/>
          <cell r="M1614"/>
          <cell r="N1614">
            <v>1.21528E-2</v>
          </cell>
          <cell r="O1614"/>
          <cell r="P1614"/>
          <cell r="Q1614"/>
          <cell r="R1614"/>
          <cell r="S1614"/>
          <cell r="T1614"/>
          <cell r="U1614"/>
          <cell r="V1614"/>
          <cell r="W1614"/>
        </row>
        <row r="1615">
          <cell r="A1615" t="str">
            <v>10177120-BLUS02LF</v>
          </cell>
          <cell r="B1615"/>
          <cell r="C1615"/>
          <cell r="D1615"/>
          <cell r="E1615"/>
          <cell r="F1615"/>
          <cell r="G1615">
            <v>1.49833E-2</v>
          </cell>
          <cell r="H1615"/>
          <cell r="I1615"/>
          <cell r="J1615"/>
          <cell r="K1615"/>
          <cell r="L1615"/>
          <cell r="M1615"/>
          <cell r="N1615">
            <v>1.21528E-2</v>
          </cell>
          <cell r="O1615"/>
          <cell r="P1615"/>
          <cell r="Q1615"/>
          <cell r="R1615"/>
          <cell r="S1615"/>
          <cell r="T1615"/>
          <cell r="U1615"/>
          <cell r="V1615"/>
          <cell r="W1615"/>
        </row>
        <row r="1616">
          <cell r="A1616" t="str">
            <v>10177120-BLUS03LF</v>
          </cell>
          <cell r="B1616"/>
          <cell r="C1616"/>
          <cell r="D1616"/>
          <cell r="E1616"/>
          <cell r="F1616"/>
          <cell r="G1616">
            <v>1.49833E-2</v>
          </cell>
          <cell r="H1616"/>
          <cell r="I1616"/>
          <cell r="J1616"/>
          <cell r="K1616"/>
          <cell r="L1616"/>
          <cell r="M1616"/>
          <cell r="N1616">
            <v>1.21528E-2</v>
          </cell>
          <cell r="O1616"/>
          <cell r="P1616"/>
          <cell r="Q1616"/>
          <cell r="R1616"/>
          <cell r="S1616"/>
          <cell r="T1616"/>
          <cell r="U1616"/>
          <cell r="V1616"/>
          <cell r="W1616"/>
        </row>
        <row r="1617">
          <cell r="A1617" t="str">
            <v>10177120-BLUS05LF</v>
          </cell>
          <cell r="B1617"/>
          <cell r="C1617"/>
          <cell r="D1617"/>
          <cell r="E1617"/>
          <cell r="F1617"/>
          <cell r="G1617">
            <v>1.49833E-2</v>
          </cell>
          <cell r="H1617"/>
          <cell r="I1617"/>
          <cell r="J1617"/>
          <cell r="K1617"/>
          <cell r="L1617"/>
          <cell r="M1617"/>
          <cell r="N1617">
            <v>1.21528E-2</v>
          </cell>
          <cell r="O1617"/>
          <cell r="P1617"/>
          <cell r="Q1617"/>
          <cell r="R1617"/>
          <cell r="S1617"/>
          <cell r="T1617"/>
          <cell r="U1617"/>
          <cell r="V1617"/>
          <cell r="W1617"/>
        </row>
        <row r="1618">
          <cell r="A1618" t="str">
            <v>10177120-GRYS02LF</v>
          </cell>
          <cell r="B1618"/>
          <cell r="C1618"/>
          <cell r="D1618"/>
          <cell r="E1618"/>
          <cell r="F1618"/>
          <cell r="G1618">
            <v>1.49833E-2</v>
          </cell>
          <cell r="H1618"/>
          <cell r="I1618"/>
          <cell r="J1618"/>
          <cell r="K1618"/>
          <cell r="L1618"/>
          <cell r="M1618"/>
          <cell r="N1618">
            <v>1.21528E-2</v>
          </cell>
          <cell r="O1618"/>
          <cell r="P1618"/>
          <cell r="Q1618"/>
          <cell r="R1618"/>
          <cell r="S1618"/>
          <cell r="T1618"/>
          <cell r="U1618"/>
          <cell r="V1618"/>
          <cell r="W1618"/>
        </row>
        <row r="1619">
          <cell r="A1619" t="str">
            <v>10177120-GRYS03LF</v>
          </cell>
          <cell r="B1619"/>
          <cell r="C1619"/>
          <cell r="D1619"/>
          <cell r="E1619"/>
          <cell r="F1619"/>
          <cell r="G1619">
            <v>1.49833E-2</v>
          </cell>
          <cell r="H1619"/>
          <cell r="I1619"/>
          <cell r="J1619"/>
          <cell r="K1619"/>
          <cell r="L1619"/>
          <cell r="M1619"/>
          <cell r="N1619">
            <v>1.21528E-2</v>
          </cell>
          <cell r="O1619"/>
          <cell r="P1619"/>
          <cell r="Q1619"/>
          <cell r="R1619"/>
          <cell r="S1619"/>
          <cell r="T1619"/>
          <cell r="U1619"/>
          <cell r="V1619"/>
          <cell r="W1619"/>
        </row>
        <row r="1620">
          <cell r="A1620" t="str">
            <v>10177120-GRYS05LF</v>
          </cell>
          <cell r="B1620"/>
          <cell r="C1620"/>
          <cell r="D1620"/>
          <cell r="E1620"/>
          <cell r="F1620"/>
          <cell r="G1620">
            <v>1.49833E-2</v>
          </cell>
          <cell r="H1620"/>
          <cell r="I1620"/>
          <cell r="J1620"/>
          <cell r="K1620"/>
          <cell r="L1620"/>
          <cell r="M1620"/>
          <cell r="N1620">
            <v>1.21528E-2</v>
          </cell>
          <cell r="O1620"/>
          <cell r="P1620"/>
          <cell r="Q1620"/>
          <cell r="R1620"/>
          <cell r="S1620"/>
          <cell r="T1620"/>
          <cell r="U1620"/>
          <cell r="V1620"/>
          <cell r="W1620"/>
        </row>
        <row r="1621">
          <cell r="A1621" t="str">
            <v>10177120-REDS02LF</v>
          </cell>
          <cell r="B1621"/>
          <cell r="C1621"/>
          <cell r="D1621"/>
          <cell r="E1621"/>
          <cell r="F1621"/>
          <cell r="G1621">
            <v>1.49833E-2</v>
          </cell>
          <cell r="H1621"/>
          <cell r="I1621"/>
          <cell r="J1621"/>
          <cell r="K1621"/>
          <cell r="L1621"/>
          <cell r="M1621"/>
          <cell r="N1621">
            <v>1.21528E-2</v>
          </cell>
          <cell r="O1621"/>
          <cell r="P1621"/>
          <cell r="Q1621"/>
          <cell r="R1621"/>
          <cell r="S1621"/>
          <cell r="T1621"/>
          <cell r="U1621"/>
          <cell r="V1621"/>
          <cell r="W1621"/>
        </row>
        <row r="1622">
          <cell r="A1622" t="str">
            <v>10177120-REDS03LF</v>
          </cell>
          <cell r="B1622"/>
          <cell r="C1622"/>
          <cell r="D1622"/>
          <cell r="E1622"/>
          <cell r="F1622"/>
          <cell r="G1622">
            <v>1.49833E-2</v>
          </cell>
          <cell r="H1622"/>
          <cell r="I1622"/>
          <cell r="J1622"/>
          <cell r="K1622"/>
          <cell r="L1622"/>
          <cell r="M1622"/>
          <cell r="N1622">
            <v>1.21528E-2</v>
          </cell>
          <cell r="O1622"/>
          <cell r="P1622"/>
          <cell r="Q1622"/>
          <cell r="R1622"/>
          <cell r="S1622"/>
          <cell r="T1622"/>
          <cell r="U1622"/>
          <cell r="V1622"/>
          <cell r="W1622"/>
        </row>
        <row r="1623">
          <cell r="A1623" t="str">
            <v>10177120-REDS05LF</v>
          </cell>
          <cell r="B1623"/>
          <cell r="C1623"/>
          <cell r="D1623"/>
          <cell r="E1623"/>
          <cell r="F1623"/>
          <cell r="G1623">
            <v>1.49833E-2</v>
          </cell>
          <cell r="H1623"/>
          <cell r="I1623"/>
          <cell r="J1623"/>
          <cell r="K1623"/>
          <cell r="L1623"/>
          <cell r="M1623"/>
          <cell r="N1623">
            <v>1.21528E-2</v>
          </cell>
          <cell r="O1623"/>
          <cell r="P1623"/>
          <cell r="Q1623"/>
          <cell r="R1623"/>
          <cell r="S1623"/>
          <cell r="T1623"/>
          <cell r="U1623"/>
          <cell r="V1623"/>
          <cell r="W1623"/>
        </row>
        <row r="1624">
          <cell r="A1624" t="str">
            <v>10177121-BLUS01LF</v>
          </cell>
          <cell r="B1624"/>
          <cell r="C1624"/>
          <cell r="D1624"/>
          <cell r="E1624"/>
          <cell r="F1624"/>
          <cell r="G1624">
            <v>1.55389E-2</v>
          </cell>
          <cell r="H1624"/>
          <cell r="I1624"/>
          <cell r="J1624"/>
          <cell r="K1624"/>
          <cell r="L1624"/>
          <cell r="M1624"/>
          <cell r="N1624">
            <v>1.21528E-2</v>
          </cell>
          <cell r="O1624"/>
          <cell r="P1624"/>
          <cell r="Q1624"/>
          <cell r="R1624"/>
          <cell r="S1624"/>
          <cell r="T1624"/>
          <cell r="U1624"/>
          <cell r="V1624"/>
          <cell r="W1624"/>
        </row>
        <row r="1625">
          <cell r="A1625" t="str">
            <v>10177121-BLUS02LF</v>
          </cell>
          <cell r="B1625"/>
          <cell r="C1625"/>
          <cell r="D1625"/>
          <cell r="E1625"/>
          <cell r="F1625"/>
          <cell r="G1625">
            <v>1.55389E-2</v>
          </cell>
          <cell r="H1625"/>
          <cell r="I1625"/>
          <cell r="J1625"/>
          <cell r="K1625"/>
          <cell r="L1625"/>
          <cell r="M1625"/>
          <cell r="N1625">
            <v>1.21528E-2</v>
          </cell>
          <cell r="O1625"/>
          <cell r="P1625"/>
          <cell r="Q1625"/>
          <cell r="R1625"/>
          <cell r="S1625"/>
          <cell r="T1625"/>
          <cell r="U1625"/>
          <cell r="V1625"/>
          <cell r="W1625"/>
        </row>
        <row r="1626">
          <cell r="A1626" t="str">
            <v>10177121-BLUS03LF</v>
          </cell>
          <cell r="B1626"/>
          <cell r="C1626"/>
          <cell r="D1626"/>
          <cell r="E1626"/>
          <cell r="F1626"/>
          <cell r="G1626">
            <v>1.55389E-2</v>
          </cell>
          <cell r="H1626"/>
          <cell r="I1626"/>
          <cell r="J1626"/>
          <cell r="K1626"/>
          <cell r="L1626"/>
          <cell r="M1626"/>
          <cell r="N1626">
            <v>1.21528E-2</v>
          </cell>
          <cell r="O1626"/>
          <cell r="P1626"/>
          <cell r="Q1626"/>
          <cell r="R1626"/>
          <cell r="S1626"/>
          <cell r="T1626"/>
          <cell r="U1626"/>
          <cell r="V1626"/>
          <cell r="W1626"/>
        </row>
        <row r="1627">
          <cell r="A1627" t="str">
            <v>10177121-BLUS04LF</v>
          </cell>
          <cell r="B1627"/>
          <cell r="C1627"/>
          <cell r="D1627"/>
          <cell r="E1627"/>
          <cell r="F1627"/>
          <cell r="G1627">
            <v>1.55389E-2</v>
          </cell>
          <cell r="H1627"/>
          <cell r="I1627"/>
          <cell r="J1627"/>
          <cell r="K1627"/>
          <cell r="L1627"/>
          <cell r="M1627"/>
          <cell r="N1627">
            <v>1.21528E-2</v>
          </cell>
          <cell r="O1627"/>
          <cell r="P1627"/>
          <cell r="Q1627"/>
          <cell r="R1627"/>
          <cell r="S1627"/>
          <cell r="T1627"/>
          <cell r="U1627"/>
          <cell r="V1627"/>
          <cell r="W1627"/>
        </row>
        <row r="1628">
          <cell r="A1628" t="str">
            <v>10177121-BLUS05LF</v>
          </cell>
          <cell r="B1628"/>
          <cell r="C1628"/>
          <cell r="D1628"/>
          <cell r="E1628"/>
          <cell r="F1628"/>
          <cell r="G1628">
            <v>1.55389E-2</v>
          </cell>
          <cell r="H1628"/>
          <cell r="I1628"/>
          <cell r="J1628"/>
          <cell r="K1628"/>
          <cell r="L1628"/>
          <cell r="M1628"/>
          <cell r="N1628">
            <v>1.21528E-2</v>
          </cell>
          <cell r="O1628"/>
          <cell r="P1628"/>
          <cell r="Q1628"/>
          <cell r="R1628"/>
          <cell r="S1628"/>
          <cell r="T1628"/>
          <cell r="U1628"/>
          <cell r="V1628"/>
          <cell r="W1628"/>
        </row>
        <row r="1629">
          <cell r="A1629" t="str">
            <v>10177121-GRYS01LF</v>
          </cell>
          <cell r="B1629"/>
          <cell r="C1629"/>
          <cell r="D1629"/>
          <cell r="E1629"/>
          <cell r="F1629"/>
          <cell r="G1629">
            <v>1.55389E-2</v>
          </cell>
          <cell r="H1629"/>
          <cell r="I1629"/>
          <cell r="J1629"/>
          <cell r="K1629"/>
          <cell r="L1629"/>
          <cell r="M1629"/>
          <cell r="N1629">
            <v>1.21528E-2</v>
          </cell>
          <cell r="O1629"/>
          <cell r="P1629"/>
          <cell r="Q1629"/>
          <cell r="R1629"/>
          <cell r="S1629"/>
          <cell r="T1629"/>
          <cell r="U1629"/>
          <cell r="V1629"/>
          <cell r="W1629"/>
        </row>
        <row r="1630">
          <cell r="A1630" t="str">
            <v>10177121-GRYS02LF</v>
          </cell>
          <cell r="B1630"/>
          <cell r="C1630"/>
          <cell r="D1630"/>
          <cell r="E1630"/>
          <cell r="F1630"/>
          <cell r="G1630">
            <v>1.55389E-2</v>
          </cell>
          <cell r="H1630"/>
          <cell r="I1630"/>
          <cell r="J1630"/>
          <cell r="K1630"/>
          <cell r="L1630"/>
          <cell r="M1630"/>
          <cell r="N1630">
            <v>1.21528E-2</v>
          </cell>
          <cell r="O1630"/>
          <cell r="P1630"/>
          <cell r="Q1630"/>
          <cell r="R1630"/>
          <cell r="S1630"/>
          <cell r="T1630"/>
          <cell r="U1630"/>
          <cell r="V1630"/>
          <cell r="W1630"/>
        </row>
        <row r="1631">
          <cell r="A1631" t="str">
            <v>10177121-GRYS03LF</v>
          </cell>
          <cell r="B1631"/>
          <cell r="C1631"/>
          <cell r="D1631"/>
          <cell r="E1631"/>
          <cell r="F1631"/>
          <cell r="G1631">
            <v>1.55389E-2</v>
          </cell>
          <cell r="H1631"/>
          <cell r="I1631"/>
          <cell r="J1631"/>
          <cell r="K1631"/>
          <cell r="L1631"/>
          <cell r="M1631"/>
          <cell r="N1631">
            <v>1.21528E-2</v>
          </cell>
          <cell r="O1631"/>
          <cell r="P1631"/>
          <cell r="Q1631"/>
          <cell r="R1631"/>
          <cell r="S1631"/>
          <cell r="T1631"/>
          <cell r="U1631"/>
          <cell r="V1631"/>
          <cell r="W1631"/>
        </row>
        <row r="1632">
          <cell r="A1632" t="str">
            <v>10177121-GRYS04LF</v>
          </cell>
          <cell r="B1632"/>
          <cell r="C1632"/>
          <cell r="D1632"/>
          <cell r="E1632"/>
          <cell r="F1632"/>
          <cell r="G1632">
            <v>1.55389E-2</v>
          </cell>
          <cell r="H1632"/>
          <cell r="I1632"/>
          <cell r="J1632"/>
          <cell r="K1632"/>
          <cell r="L1632"/>
          <cell r="M1632"/>
          <cell r="N1632">
            <v>1.21528E-2</v>
          </cell>
          <cell r="O1632"/>
          <cell r="P1632"/>
          <cell r="Q1632"/>
          <cell r="R1632"/>
          <cell r="S1632"/>
          <cell r="T1632"/>
          <cell r="U1632"/>
          <cell r="V1632"/>
          <cell r="W1632"/>
        </row>
        <row r="1633">
          <cell r="A1633" t="str">
            <v>10177121-GRYS05LF</v>
          </cell>
          <cell r="B1633"/>
          <cell r="C1633"/>
          <cell r="D1633"/>
          <cell r="E1633"/>
          <cell r="F1633"/>
          <cell r="G1633">
            <v>1.55389E-2</v>
          </cell>
          <cell r="H1633"/>
          <cell r="I1633"/>
          <cell r="J1633"/>
          <cell r="K1633"/>
          <cell r="L1633"/>
          <cell r="M1633"/>
          <cell r="N1633">
            <v>1.21528E-2</v>
          </cell>
          <cell r="O1633"/>
          <cell r="P1633"/>
          <cell r="Q1633"/>
          <cell r="R1633"/>
          <cell r="S1633"/>
          <cell r="T1633"/>
          <cell r="U1633"/>
          <cell r="V1633"/>
          <cell r="W1633"/>
        </row>
        <row r="1634">
          <cell r="A1634" t="str">
            <v>10177121-REDS01LF</v>
          </cell>
          <cell r="B1634"/>
          <cell r="C1634"/>
          <cell r="D1634"/>
          <cell r="E1634"/>
          <cell r="F1634"/>
          <cell r="G1634">
            <v>1.55389E-2</v>
          </cell>
          <cell r="H1634"/>
          <cell r="I1634"/>
          <cell r="J1634"/>
          <cell r="K1634"/>
          <cell r="L1634"/>
          <cell r="M1634"/>
          <cell r="N1634">
            <v>1.21528E-2</v>
          </cell>
          <cell r="O1634"/>
          <cell r="P1634"/>
          <cell r="Q1634"/>
          <cell r="R1634"/>
          <cell r="S1634"/>
          <cell r="T1634"/>
          <cell r="U1634"/>
          <cell r="V1634"/>
          <cell r="W1634"/>
        </row>
        <row r="1635">
          <cell r="A1635" t="str">
            <v>10177121-REDS02LF</v>
          </cell>
          <cell r="B1635"/>
          <cell r="C1635"/>
          <cell r="D1635"/>
          <cell r="E1635"/>
          <cell r="F1635"/>
          <cell r="G1635">
            <v>1.55389E-2</v>
          </cell>
          <cell r="H1635"/>
          <cell r="I1635"/>
          <cell r="J1635"/>
          <cell r="K1635"/>
          <cell r="L1635"/>
          <cell r="M1635"/>
          <cell r="N1635">
            <v>1.21528E-2</v>
          </cell>
          <cell r="O1635"/>
          <cell r="P1635"/>
          <cell r="Q1635"/>
          <cell r="R1635"/>
          <cell r="S1635"/>
          <cell r="T1635"/>
          <cell r="U1635"/>
          <cell r="V1635"/>
          <cell r="W1635"/>
        </row>
        <row r="1636">
          <cell r="A1636" t="str">
            <v>10177121-REDS03LF</v>
          </cell>
          <cell r="B1636"/>
          <cell r="C1636"/>
          <cell r="D1636"/>
          <cell r="E1636"/>
          <cell r="F1636"/>
          <cell r="G1636">
            <v>1.55389E-2</v>
          </cell>
          <cell r="H1636"/>
          <cell r="I1636"/>
          <cell r="J1636"/>
          <cell r="K1636"/>
          <cell r="L1636"/>
          <cell r="M1636"/>
          <cell r="N1636">
            <v>1.21528E-2</v>
          </cell>
          <cell r="O1636"/>
          <cell r="P1636"/>
          <cell r="Q1636"/>
          <cell r="R1636"/>
          <cell r="S1636"/>
          <cell r="T1636"/>
          <cell r="U1636"/>
          <cell r="V1636"/>
          <cell r="W1636"/>
        </row>
        <row r="1637">
          <cell r="A1637" t="str">
            <v>10177121-REDS04LF</v>
          </cell>
          <cell r="B1637"/>
          <cell r="C1637"/>
          <cell r="D1637"/>
          <cell r="E1637"/>
          <cell r="F1637"/>
          <cell r="G1637">
            <v>1.55389E-2</v>
          </cell>
          <cell r="H1637"/>
          <cell r="I1637"/>
          <cell r="J1637"/>
          <cell r="K1637"/>
          <cell r="L1637"/>
          <cell r="M1637"/>
          <cell r="N1637">
            <v>1.21528E-2</v>
          </cell>
          <cell r="O1637"/>
          <cell r="P1637"/>
          <cell r="Q1637"/>
          <cell r="R1637"/>
          <cell r="S1637"/>
          <cell r="T1637"/>
          <cell r="U1637"/>
          <cell r="V1637"/>
          <cell r="W1637"/>
        </row>
        <row r="1638">
          <cell r="A1638" t="str">
            <v>10177121-REDS05LF</v>
          </cell>
          <cell r="B1638"/>
          <cell r="C1638"/>
          <cell r="D1638"/>
          <cell r="E1638"/>
          <cell r="F1638"/>
          <cell r="G1638">
            <v>1.55389E-2</v>
          </cell>
          <cell r="H1638"/>
          <cell r="I1638"/>
          <cell r="J1638"/>
          <cell r="K1638"/>
          <cell r="L1638"/>
          <cell r="M1638"/>
          <cell r="N1638">
            <v>1.21528E-2</v>
          </cell>
          <cell r="O1638"/>
          <cell r="P1638"/>
          <cell r="Q1638"/>
          <cell r="R1638"/>
          <cell r="S1638"/>
          <cell r="T1638"/>
          <cell r="U1638"/>
          <cell r="V1638"/>
          <cell r="W1638"/>
        </row>
        <row r="1639">
          <cell r="A1639" t="str">
            <v>10177656-001LF</v>
          </cell>
          <cell r="B1639"/>
          <cell r="C1639"/>
          <cell r="D1639"/>
          <cell r="E1639"/>
          <cell r="F1639"/>
          <cell r="G1639">
            <v>0.13763890000000001</v>
          </cell>
          <cell r="H1639"/>
          <cell r="I1639"/>
          <cell r="J1639"/>
          <cell r="K1639"/>
          <cell r="L1639"/>
          <cell r="M1639"/>
          <cell r="N1639">
            <v>0.31591659999999999</v>
          </cell>
          <cell r="O1639"/>
          <cell r="P1639"/>
          <cell r="Q1639"/>
          <cell r="R1639"/>
          <cell r="S1639"/>
          <cell r="T1639"/>
          <cell r="U1639"/>
          <cell r="V1639"/>
          <cell r="W1639"/>
        </row>
        <row r="1640">
          <cell r="A1640" t="str">
            <v>10177657-001lf</v>
          </cell>
          <cell r="B1640"/>
          <cell r="C1640"/>
          <cell r="D1640"/>
          <cell r="E1640"/>
          <cell r="F1640"/>
          <cell r="G1640">
            <v>0.13763890000000001</v>
          </cell>
          <cell r="H1640"/>
          <cell r="I1640"/>
          <cell r="J1640"/>
          <cell r="K1640"/>
          <cell r="L1640"/>
          <cell r="M1640"/>
          <cell r="N1640">
            <v>0.31591659999999999</v>
          </cell>
          <cell r="O1640"/>
          <cell r="P1640"/>
          <cell r="Q1640"/>
          <cell r="R1640"/>
          <cell r="S1640"/>
          <cell r="T1640"/>
          <cell r="U1640"/>
          <cell r="V1640"/>
          <cell r="W1640"/>
        </row>
        <row r="1641">
          <cell r="A1641" t="str">
            <v>10177964-03P001</v>
          </cell>
          <cell r="B1641"/>
          <cell r="C1641"/>
          <cell r="D1641"/>
          <cell r="E1641"/>
          <cell r="F1641"/>
          <cell r="G1641">
            <v>1.93866E-2</v>
          </cell>
          <cell r="H1641"/>
          <cell r="I1641"/>
          <cell r="J1641"/>
          <cell r="K1641"/>
          <cell r="L1641"/>
          <cell r="M1641"/>
          <cell r="N1641">
            <v>9.7569400000000001E-2</v>
          </cell>
          <cell r="O1641"/>
          <cell r="P1641"/>
          <cell r="Q1641"/>
          <cell r="R1641"/>
          <cell r="S1641"/>
          <cell r="T1641"/>
          <cell r="U1641"/>
          <cell r="V1641"/>
          <cell r="W1641"/>
        </row>
        <row r="1642">
          <cell r="A1642" t="str">
            <v>10177964-03p001lf</v>
          </cell>
          <cell r="B1642"/>
          <cell r="C1642"/>
          <cell r="D1642"/>
          <cell r="E1642"/>
          <cell r="F1642"/>
          <cell r="G1642">
            <v>1.93866E-2</v>
          </cell>
          <cell r="H1642"/>
          <cell r="I1642"/>
          <cell r="J1642"/>
          <cell r="K1642"/>
          <cell r="L1642"/>
          <cell r="M1642"/>
          <cell r="N1642">
            <v>9.7569400000000001E-2</v>
          </cell>
          <cell r="O1642"/>
          <cell r="P1642"/>
          <cell r="Q1642"/>
          <cell r="R1642"/>
          <cell r="S1642"/>
          <cell r="T1642"/>
          <cell r="U1642"/>
          <cell r="V1642"/>
          <cell r="W1642"/>
        </row>
        <row r="1643">
          <cell r="A1643" t="str">
            <v>10179919-D7B301</v>
          </cell>
          <cell r="B1643"/>
          <cell r="C1643"/>
          <cell r="D1643"/>
          <cell r="E1643"/>
          <cell r="F1643"/>
          <cell r="G1643">
            <v>0.14534720000000001</v>
          </cell>
          <cell r="H1643"/>
          <cell r="I1643"/>
          <cell r="J1643"/>
          <cell r="K1643"/>
          <cell r="L1643"/>
          <cell r="M1643"/>
          <cell r="N1643">
            <v>0.5426607</v>
          </cell>
          <cell r="O1643"/>
          <cell r="P1643"/>
          <cell r="Q1643"/>
          <cell r="R1643"/>
          <cell r="S1643"/>
          <cell r="T1643"/>
          <cell r="U1643"/>
          <cell r="V1643"/>
          <cell r="W1643"/>
        </row>
        <row r="1644">
          <cell r="A1644" t="str">
            <v>10180495-R001</v>
          </cell>
          <cell r="B1644"/>
          <cell r="C1644"/>
          <cell r="D1644"/>
          <cell r="E1644"/>
          <cell r="F1644"/>
          <cell r="G1644">
            <v>2.3506900000000001E-2</v>
          </cell>
          <cell r="H1644"/>
          <cell r="I1644"/>
          <cell r="J1644"/>
          <cell r="K1644"/>
          <cell r="L1644"/>
          <cell r="M1644"/>
          <cell r="N1644">
            <v>0.2864583</v>
          </cell>
          <cell r="O1644"/>
          <cell r="P1644"/>
          <cell r="Q1644"/>
          <cell r="R1644"/>
          <cell r="S1644"/>
          <cell r="T1644"/>
          <cell r="U1644"/>
          <cell r="V1644"/>
          <cell r="W1644"/>
        </row>
        <row r="1645">
          <cell r="A1645" t="str">
            <v>3ZIPCHEM-015</v>
          </cell>
          <cell r="B1645"/>
          <cell r="C1645">
            <v>0</v>
          </cell>
          <cell r="D1645"/>
          <cell r="E1645"/>
          <cell r="F1645"/>
          <cell r="G1645"/>
          <cell r="H1645"/>
          <cell r="I1645"/>
          <cell r="J1645"/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</row>
        <row r="1646">
          <cell r="A1646" t="str">
            <v>4304-52-1-0</v>
          </cell>
          <cell r="B1646"/>
          <cell r="C1646"/>
          <cell r="D1646"/>
          <cell r="E1646"/>
          <cell r="F1646"/>
          <cell r="G1646"/>
          <cell r="H1646"/>
          <cell r="I1646"/>
          <cell r="J1646"/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>
            <v>8.3330000000000003E-4</v>
          </cell>
          <cell r="V1646"/>
          <cell r="W1646"/>
        </row>
        <row r="1647">
          <cell r="A1647" t="str">
            <v>4304-52-3-0</v>
          </cell>
          <cell r="B1647"/>
          <cell r="C1647"/>
          <cell r="D1647"/>
          <cell r="E1647"/>
          <cell r="F1647"/>
          <cell r="G1647"/>
          <cell r="H1647"/>
          <cell r="I1647"/>
          <cell r="J1647"/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>
            <v>8.3330000000000003E-4</v>
          </cell>
          <cell r="V1647"/>
          <cell r="W1647"/>
        </row>
        <row r="1648">
          <cell r="A1648" t="str">
            <v>51219-XX002LF</v>
          </cell>
          <cell r="B1648"/>
          <cell r="C1648"/>
          <cell r="D1648"/>
          <cell r="E1648"/>
          <cell r="F1648"/>
          <cell r="G1648">
            <v>3.9300000000000002E-2</v>
          </cell>
          <cell r="H1648"/>
          <cell r="I1648"/>
          <cell r="J1648"/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>
            <v>1.9E-3</v>
          </cell>
        </row>
        <row r="1649">
          <cell r="A1649" t="str">
            <v>51261-XX001LF</v>
          </cell>
          <cell r="B1649"/>
          <cell r="C1649"/>
          <cell r="D1649"/>
          <cell r="E1649"/>
          <cell r="F1649"/>
          <cell r="G1649">
            <v>3.5999999999999997E-2</v>
          </cell>
          <cell r="H1649"/>
          <cell r="I1649"/>
          <cell r="J1649"/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>
            <v>3.2000000000000002E-3</v>
          </cell>
        </row>
        <row r="1650">
          <cell r="A1650" t="str">
            <v>51413-XX001AuLF</v>
          </cell>
          <cell r="B1650"/>
          <cell r="C1650"/>
          <cell r="D1650"/>
          <cell r="E1650"/>
          <cell r="F1650"/>
          <cell r="G1650">
            <v>1.0699999999999999E-2</v>
          </cell>
          <cell r="H1650"/>
          <cell r="I1650"/>
          <cell r="J1650"/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>
            <v>3.0000000000000001E-3</v>
          </cell>
        </row>
        <row r="1651">
          <cell r="A1651" t="str">
            <v>51413-XX001LF</v>
          </cell>
          <cell r="B1651"/>
          <cell r="C1651"/>
          <cell r="D1651"/>
          <cell r="E1651"/>
          <cell r="F1651"/>
          <cell r="G1651">
            <v>1.7618000000000002E-2</v>
          </cell>
          <cell r="H1651"/>
          <cell r="I1651"/>
          <cell r="J1651"/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>
            <v>3.0000000000000001E-3</v>
          </cell>
        </row>
        <row r="1652">
          <cell r="A1652" t="str">
            <v>51415-001LF</v>
          </cell>
          <cell r="B1652"/>
          <cell r="C1652"/>
          <cell r="D1652"/>
          <cell r="E1652"/>
          <cell r="F1652"/>
          <cell r="G1652">
            <v>1.0688068E-2</v>
          </cell>
          <cell r="H1652"/>
          <cell r="I1652"/>
          <cell r="J1652"/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>
            <v>1.9E-3</v>
          </cell>
        </row>
        <row r="1653">
          <cell r="A1653" t="str">
            <v>51415-002Au</v>
          </cell>
          <cell r="B1653"/>
          <cell r="C1653"/>
          <cell r="D1653"/>
          <cell r="E1653"/>
          <cell r="F1653"/>
          <cell r="G1653">
            <v>2.0299999999999999E-2</v>
          </cell>
          <cell r="H1653"/>
          <cell r="I1653"/>
          <cell r="J1653"/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>
            <v>1.9E-3</v>
          </cell>
        </row>
        <row r="1654">
          <cell r="A1654" t="str">
            <v>51415-002AuLF</v>
          </cell>
          <cell r="B1654"/>
          <cell r="C1654"/>
          <cell r="D1654"/>
          <cell r="E1654"/>
          <cell r="F1654"/>
          <cell r="G1654">
            <v>2.5999999999999999E-2</v>
          </cell>
          <cell r="H1654"/>
          <cell r="I1654"/>
          <cell r="J1654"/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>
            <v>2E-3</v>
          </cell>
        </row>
        <row r="1655">
          <cell r="A1655" t="str">
            <v>51415-002LF</v>
          </cell>
          <cell r="B1655"/>
          <cell r="C1655"/>
          <cell r="D1655"/>
          <cell r="E1655"/>
          <cell r="F1655"/>
          <cell r="G1655">
            <v>2.4299999999999999E-2</v>
          </cell>
          <cell r="H1655"/>
          <cell r="I1655"/>
          <cell r="J1655"/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>
            <v>1.9E-3</v>
          </cell>
        </row>
        <row r="1656">
          <cell r="A1656" t="str">
            <v>51415-005LF</v>
          </cell>
          <cell r="B1656"/>
          <cell r="C1656"/>
          <cell r="D1656"/>
          <cell r="E1656"/>
          <cell r="F1656"/>
          <cell r="G1656">
            <v>2.4299999999999999E-2</v>
          </cell>
          <cell r="H1656"/>
          <cell r="I1656"/>
          <cell r="J1656"/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>
            <v>1.9E-3</v>
          </cell>
        </row>
        <row r="1657">
          <cell r="A1657" t="str">
            <v>51415-006LF</v>
          </cell>
          <cell r="B1657"/>
          <cell r="C1657"/>
          <cell r="D1657"/>
          <cell r="E1657"/>
          <cell r="F1657"/>
          <cell r="G1657">
            <v>2.3199999999999998E-2</v>
          </cell>
          <cell r="H1657"/>
          <cell r="I1657"/>
          <cell r="J1657"/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>
            <v>1.9E-3</v>
          </cell>
        </row>
        <row r="1658">
          <cell r="A1658" t="str">
            <v>51425-001LF</v>
          </cell>
          <cell r="B1658"/>
          <cell r="C1658"/>
          <cell r="D1658"/>
          <cell r="E1658"/>
          <cell r="F1658"/>
          <cell r="G1658">
            <v>2.0299999999999999E-2</v>
          </cell>
          <cell r="H1658"/>
          <cell r="I1658"/>
          <cell r="J1658"/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>
            <v>1.9E-3</v>
          </cell>
        </row>
        <row r="1659">
          <cell r="A1659" t="str">
            <v>51425-002LF</v>
          </cell>
          <cell r="B1659"/>
          <cell r="C1659"/>
          <cell r="D1659"/>
          <cell r="E1659"/>
          <cell r="F1659"/>
          <cell r="G1659">
            <v>2.52E-2</v>
          </cell>
          <cell r="H1659"/>
          <cell r="I1659"/>
          <cell r="J1659"/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>
            <v>1.9E-3</v>
          </cell>
        </row>
        <row r="1660">
          <cell r="A1660" t="str">
            <v>51426-001LF</v>
          </cell>
          <cell r="B1660"/>
          <cell r="C1660"/>
          <cell r="D1660"/>
          <cell r="E1660"/>
          <cell r="F1660"/>
          <cell r="G1660">
            <v>8.6999999999999994E-3</v>
          </cell>
          <cell r="H1660"/>
          <cell r="I1660"/>
          <cell r="J1660"/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>
            <v>3.0000000000000001E-3</v>
          </cell>
        </row>
        <row r="1661">
          <cell r="A1661" t="str">
            <v>51534-XX001LF</v>
          </cell>
          <cell r="B1661"/>
          <cell r="C1661"/>
          <cell r="D1661"/>
          <cell r="E1661"/>
          <cell r="F1661"/>
          <cell r="G1661">
            <v>5.0500000000000003E-2</v>
          </cell>
          <cell r="H1661"/>
          <cell r="I1661"/>
          <cell r="J1661"/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>
            <v>3.7000000000000002E-3</v>
          </cell>
        </row>
        <row r="1662">
          <cell r="A1662" t="str">
            <v>51617-XX002LF</v>
          </cell>
          <cell r="B1662"/>
          <cell r="C1662"/>
          <cell r="D1662"/>
          <cell r="E1662"/>
          <cell r="F1662"/>
          <cell r="G1662">
            <v>3.1E-2</v>
          </cell>
          <cell r="H1662"/>
          <cell r="I1662"/>
          <cell r="J1662"/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>
            <v>3.2000000000000002E-3</v>
          </cell>
        </row>
        <row r="1663">
          <cell r="A1663" t="str">
            <v>51624-XX001AuLF</v>
          </cell>
          <cell r="B1663"/>
          <cell r="C1663"/>
          <cell r="D1663"/>
          <cell r="E1663"/>
          <cell r="F1663"/>
          <cell r="G1663">
            <v>3.0700000000000002E-2</v>
          </cell>
          <cell r="H1663"/>
          <cell r="I1663"/>
          <cell r="J1663"/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>
            <v>1.9E-3</v>
          </cell>
        </row>
        <row r="1664">
          <cell r="A1664" t="str">
            <v>51624-XX001LF</v>
          </cell>
          <cell r="B1664"/>
          <cell r="C1664"/>
          <cell r="D1664"/>
          <cell r="E1664"/>
          <cell r="F1664"/>
          <cell r="G1664">
            <v>2.0571915999999999E-2</v>
          </cell>
          <cell r="H1664"/>
          <cell r="I1664"/>
          <cell r="J1664"/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>
            <v>1.9E-3</v>
          </cell>
        </row>
        <row r="1665">
          <cell r="A1665" t="str">
            <v>51624-XX001PGSALF</v>
          </cell>
          <cell r="B1665"/>
          <cell r="C1665"/>
          <cell r="D1665"/>
          <cell r="E1665"/>
          <cell r="F1665"/>
          <cell r="G1665">
            <v>2.1499999999999998E-2</v>
          </cell>
          <cell r="H1665"/>
          <cell r="I1665"/>
          <cell r="J1665"/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>
            <v>1.9E-3</v>
          </cell>
        </row>
        <row r="1666">
          <cell r="A1666" t="str">
            <v>51624-XX002LF</v>
          </cell>
          <cell r="B1666"/>
          <cell r="C1666"/>
          <cell r="D1666"/>
          <cell r="E1666"/>
          <cell r="F1666"/>
          <cell r="G1666">
            <v>2.53E-2</v>
          </cell>
          <cell r="H1666"/>
          <cell r="I1666"/>
          <cell r="J1666"/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>
            <v>1.9E-3</v>
          </cell>
        </row>
        <row r="1667">
          <cell r="A1667" t="str">
            <v>51624-XX003LF</v>
          </cell>
          <cell r="B1667"/>
          <cell r="C1667"/>
          <cell r="D1667"/>
          <cell r="E1667"/>
          <cell r="F1667"/>
          <cell r="G1667">
            <v>3.3700000000000001E-2</v>
          </cell>
          <cell r="H1667"/>
          <cell r="I1667"/>
          <cell r="J1667"/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>
            <v>1.9E-3</v>
          </cell>
        </row>
        <row r="1668">
          <cell r="A1668" t="str">
            <v>51624-XX006LF</v>
          </cell>
          <cell r="B1668"/>
          <cell r="C1668"/>
          <cell r="D1668"/>
          <cell r="E1668"/>
          <cell r="F1668"/>
          <cell r="G1668">
            <v>3.6499999999999998E-2</v>
          </cell>
          <cell r="H1668"/>
          <cell r="I1668"/>
          <cell r="J1668"/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>
            <v>1.9E-3</v>
          </cell>
        </row>
        <row r="1669">
          <cell r="A1669" t="str">
            <v>51628-001LF</v>
          </cell>
          <cell r="B1669"/>
          <cell r="C1669"/>
          <cell r="D1669"/>
          <cell r="E1669"/>
          <cell r="F1669"/>
          <cell r="G1669">
            <v>2.1499999999999998E-2</v>
          </cell>
          <cell r="H1669"/>
          <cell r="I1669"/>
          <cell r="J1669"/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>
            <v>6.1000000000000004E-3</v>
          </cell>
        </row>
        <row r="1670">
          <cell r="A1670" t="str">
            <v>51657-001LF</v>
          </cell>
          <cell r="B1670"/>
          <cell r="C1670"/>
          <cell r="D1670"/>
          <cell r="E1670"/>
          <cell r="F1670"/>
          <cell r="G1670">
            <v>3.5999999999999997E-2</v>
          </cell>
          <cell r="H1670"/>
          <cell r="I1670"/>
          <cell r="J1670"/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>
            <v>2E-3</v>
          </cell>
        </row>
        <row r="1671">
          <cell r="A1671" t="str">
            <v>51658-001LF</v>
          </cell>
          <cell r="B1671"/>
          <cell r="C1671"/>
          <cell r="D1671"/>
          <cell r="E1671"/>
          <cell r="F1671"/>
          <cell r="G1671">
            <v>2.4E-2</v>
          </cell>
          <cell r="H1671"/>
          <cell r="I1671"/>
          <cell r="J1671"/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>
            <v>3.3E-3</v>
          </cell>
        </row>
        <row r="1672">
          <cell r="A1672" t="str">
            <v>51659-001LF</v>
          </cell>
          <cell r="B1672"/>
          <cell r="C1672"/>
          <cell r="D1672"/>
          <cell r="E1672"/>
          <cell r="F1672"/>
          <cell r="G1672">
            <v>2.1999999999999999E-2</v>
          </cell>
          <cell r="H1672"/>
          <cell r="I1672"/>
          <cell r="J1672"/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>
            <v>3.0000000000000001E-3</v>
          </cell>
        </row>
        <row r="1673">
          <cell r="A1673" t="str">
            <v>51666-001LF</v>
          </cell>
          <cell r="B1673"/>
          <cell r="C1673"/>
          <cell r="D1673"/>
          <cell r="E1673"/>
          <cell r="F1673"/>
          <cell r="G1673">
            <v>1.0002018E-2</v>
          </cell>
          <cell r="H1673"/>
          <cell r="I1673"/>
          <cell r="J1673"/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>
            <v>3.0000000000000001E-3</v>
          </cell>
        </row>
        <row r="1674">
          <cell r="A1674" t="str">
            <v>51666-001PGSALF</v>
          </cell>
          <cell r="B1674"/>
          <cell r="C1674"/>
          <cell r="D1674"/>
          <cell r="E1674"/>
          <cell r="F1674"/>
          <cell r="G1674">
            <v>9.1999999999999998E-3</v>
          </cell>
          <cell r="H1674"/>
          <cell r="I1674"/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>
            <v>3.0000000000000001E-3</v>
          </cell>
        </row>
        <row r="1675">
          <cell r="A1675" t="str">
            <v>51667-XX001LF</v>
          </cell>
          <cell r="B1675"/>
          <cell r="C1675"/>
          <cell r="D1675"/>
          <cell r="E1675"/>
          <cell r="F1675"/>
          <cell r="G1675">
            <v>9.3620649999999993E-3</v>
          </cell>
          <cell r="H1675"/>
          <cell r="I1675"/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>
            <v>3.0000000000000001E-3</v>
          </cell>
        </row>
        <row r="1676">
          <cell r="A1676" t="str">
            <v>51667-XX001PGSALF</v>
          </cell>
          <cell r="B1676"/>
          <cell r="C1676"/>
          <cell r="D1676"/>
          <cell r="E1676"/>
          <cell r="F1676"/>
          <cell r="G1676">
            <v>1.04E-2</v>
          </cell>
          <cell r="H1676"/>
          <cell r="I1676"/>
          <cell r="J1676"/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>
            <v>3.0000000000000001E-3</v>
          </cell>
        </row>
        <row r="1677">
          <cell r="A1677" t="str">
            <v>51668-001LF</v>
          </cell>
          <cell r="B1677"/>
          <cell r="C1677"/>
          <cell r="D1677"/>
          <cell r="E1677"/>
          <cell r="F1677"/>
          <cell r="G1677">
            <v>4.6800000000000001E-2</v>
          </cell>
          <cell r="H1677"/>
          <cell r="I1677"/>
          <cell r="J1677"/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>
            <v>1.9E-3</v>
          </cell>
        </row>
        <row r="1678">
          <cell r="A1678" t="str">
            <v>51672-001LF</v>
          </cell>
          <cell r="B1678"/>
          <cell r="C1678"/>
          <cell r="D1678"/>
          <cell r="E1678"/>
          <cell r="F1678"/>
          <cell r="G1678">
            <v>3.4599999999999999E-2</v>
          </cell>
          <cell r="H1678"/>
          <cell r="I1678"/>
          <cell r="J1678"/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>
            <v>1.9E-3</v>
          </cell>
        </row>
        <row r="1679">
          <cell r="A1679" t="str">
            <v>51673-001LF</v>
          </cell>
          <cell r="B1679"/>
          <cell r="C1679"/>
          <cell r="D1679"/>
          <cell r="E1679"/>
          <cell r="F1679"/>
          <cell r="G1679">
            <v>2.8000000000000001E-2</v>
          </cell>
          <cell r="H1679"/>
          <cell r="I1679"/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>
            <v>4.0000000000000001E-3</v>
          </cell>
        </row>
        <row r="1680">
          <cell r="A1680" t="str">
            <v>51683-001LF</v>
          </cell>
          <cell r="B1680"/>
          <cell r="C1680"/>
          <cell r="D1680"/>
          <cell r="E1680"/>
          <cell r="F1680"/>
          <cell r="G1680">
            <v>2.9000000000000001E-2</v>
          </cell>
          <cell r="H1680"/>
          <cell r="I1680"/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>
            <v>1.9E-3</v>
          </cell>
        </row>
        <row r="1681">
          <cell r="A1681" t="str">
            <v>51684-001LF</v>
          </cell>
          <cell r="B1681"/>
          <cell r="C1681"/>
          <cell r="D1681"/>
          <cell r="E1681"/>
          <cell r="F1681"/>
          <cell r="G1681">
            <v>2.8000000000000001E-2</v>
          </cell>
          <cell r="H1681"/>
          <cell r="I1681"/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>
            <v>2E-3</v>
          </cell>
        </row>
        <row r="1682">
          <cell r="A1682" t="str">
            <v>51691-001LF</v>
          </cell>
          <cell r="B1682"/>
          <cell r="C1682"/>
          <cell r="D1682"/>
          <cell r="E1682"/>
          <cell r="F1682"/>
          <cell r="G1682">
            <v>2.4500000000000001E-2</v>
          </cell>
          <cell r="H1682"/>
          <cell r="I1682"/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>
            <v>1.9E-3</v>
          </cell>
        </row>
        <row r="1683">
          <cell r="A1683" t="str">
            <v>51694-002LF</v>
          </cell>
          <cell r="B1683"/>
          <cell r="C1683"/>
          <cell r="D1683"/>
          <cell r="E1683"/>
          <cell r="F1683"/>
          <cell r="G1683">
            <v>3.3700000000000001E-2</v>
          </cell>
          <cell r="H1683"/>
          <cell r="I1683"/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>
            <v>1.9E-3</v>
          </cell>
        </row>
        <row r="1684">
          <cell r="A1684" t="str">
            <v>51694-003LF</v>
          </cell>
          <cell r="B1684"/>
          <cell r="C1684"/>
          <cell r="D1684"/>
          <cell r="E1684"/>
          <cell r="F1684"/>
          <cell r="G1684">
            <v>3.4599999999999999E-2</v>
          </cell>
          <cell r="H1684"/>
          <cell r="I1684"/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>
            <v>1.9E-3</v>
          </cell>
        </row>
        <row r="1685">
          <cell r="A1685" t="str">
            <v>51694-004LF</v>
          </cell>
          <cell r="B1685"/>
          <cell r="C1685"/>
          <cell r="D1685"/>
          <cell r="E1685"/>
          <cell r="F1685"/>
          <cell r="G1685">
            <v>3.4599999999999999E-2</v>
          </cell>
          <cell r="H1685"/>
          <cell r="I1685"/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>
            <v>1.9E-3</v>
          </cell>
        </row>
        <row r="1686">
          <cell r="A1686" t="str">
            <v>51720-10001204AALF</v>
          </cell>
          <cell r="B1686"/>
          <cell r="C1686"/>
          <cell r="D1686"/>
          <cell r="E1686"/>
          <cell r="F1686"/>
          <cell r="G1686">
            <v>2.7099999999999999E-2</v>
          </cell>
          <cell r="H1686"/>
          <cell r="I1686"/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>
            <v>1.9E-3</v>
          </cell>
        </row>
        <row r="1687">
          <cell r="A1687" t="str">
            <v>51720-10002004AALF</v>
          </cell>
          <cell r="B1687"/>
          <cell r="C1687"/>
          <cell r="D1687"/>
          <cell r="E1687"/>
          <cell r="F1687"/>
          <cell r="G1687">
            <v>2.4E-2</v>
          </cell>
          <cell r="H1687"/>
          <cell r="I1687"/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>
            <v>1.9E-3</v>
          </cell>
        </row>
        <row r="1688">
          <cell r="A1688" t="str">
            <v>51720-10002403AALF</v>
          </cell>
          <cell r="B1688"/>
          <cell r="C1688"/>
          <cell r="D1688"/>
          <cell r="E1688"/>
          <cell r="F1688"/>
          <cell r="G1688">
            <v>2.81E-2</v>
          </cell>
          <cell r="H1688"/>
          <cell r="I1688"/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>
            <v>1.9E-3</v>
          </cell>
        </row>
        <row r="1689">
          <cell r="A1689" t="str">
            <v>51720-10002412AALF</v>
          </cell>
          <cell r="B1689"/>
          <cell r="C1689"/>
          <cell r="D1689"/>
          <cell r="E1689"/>
          <cell r="F1689"/>
          <cell r="G1689">
            <v>7.5700000000000003E-2</v>
          </cell>
          <cell r="H1689"/>
          <cell r="I1689"/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>
            <v>1.9E-3</v>
          </cell>
        </row>
        <row r="1690">
          <cell r="A1690" t="str">
            <v>51720-10100401AALF</v>
          </cell>
          <cell r="B1690"/>
          <cell r="C1690"/>
          <cell r="D1690"/>
          <cell r="E1690"/>
          <cell r="F1690"/>
          <cell r="G1690">
            <v>2.6200000000000001E-2</v>
          </cell>
          <cell r="H1690"/>
          <cell r="I1690"/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>
            <v>1.9E-3</v>
          </cell>
        </row>
        <row r="1691">
          <cell r="A1691" t="str">
            <v>51720-10100801AALF</v>
          </cell>
          <cell r="B1691"/>
          <cell r="C1691"/>
          <cell r="D1691"/>
          <cell r="E1691"/>
          <cell r="F1691"/>
          <cell r="G1691">
            <v>2.6200000000000001E-2</v>
          </cell>
          <cell r="H1691"/>
          <cell r="I1691"/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>
            <v>1.9E-3</v>
          </cell>
        </row>
        <row r="1692">
          <cell r="A1692" t="str">
            <v>51720-10100801ABLF</v>
          </cell>
          <cell r="B1692"/>
          <cell r="C1692"/>
          <cell r="D1692"/>
          <cell r="E1692"/>
          <cell r="F1692"/>
          <cell r="G1692">
            <v>2.5999999999999999E-2</v>
          </cell>
          <cell r="H1692"/>
          <cell r="I1692"/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>
            <v>2E-3</v>
          </cell>
        </row>
        <row r="1693">
          <cell r="A1693" t="str">
            <v>51720-10100802AALF</v>
          </cell>
          <cell r="B1693"/>
          <cell r="C1693"/>
          <cell r="D1693"/>
          <cell r="E1693"/>
          <cell r="F1693"/>
          <cell r="G1693">
            <v>2.8000000000000001E-2</v>
          </cell>
          <cell r="H1693"/>
          <cell r="I1693"/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>
            <v>2E-3</v>
          </cell>
        </row>
        <row r="1694">
          <cell r="A1694" t="str">
            <v>51720-10101201AALF</v>
          </cell>
          <cell r="B1694"/>
          <cell r="C1694"/>
          <cell r="D1694"/>
          <cell r="E1694"/>
          <cell r="F1694"/>
          <cell r="G1694">
            <v>2.6200000000000001E-2</v>
          </cell>
          <cell r="H1694"/>
          <cell r="I1694"/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>
            <v>1.9E-3</v>
          </cell>
        </row>
        <row r="1695">
          <cell r="A1695" t="str">
            <v>51720-10101201ABLF</v>
          </cell>
          <cell r="B1695"/>
          <cell r="C1695"/>
          <cell r="D1695"/>
          <cell r="E1695"/>
          <cell r="F1695"/>
          <cell r="G1695">
            <v>2.4299999999999999E-2</v>
          </cell>
          <cell r="H1695"/>
          <cell r="I1695"/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>
            <v>1.9E-3</v>
          </cell>
        </row>
        <row r="1696">
          <cell r="A1696" t="str">
            <v>51720-10101601ABLF</v>
          </cell>
          <cell r="B1696"/>
          <cell r="C1696"/>
          <cell r="D1696"/>
          <cell r="E1696"/>
          <cell r="F1696"/>
          <cell r="G1696">
            <v>8.8999999999999999E-3</v>
          </cell>
          <cell r="H1696"/>
          <cell r="I1696"/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>
            <v>5.4999999999999997E-3</v>
          </cell>
        </row>
        <row r="1697">
          <cell r="A1697" t="str">
            <v>51720-10102001ABLF</v>
          </cell>
          <cell r="B1697"/>
          <cell r="C1697"/>
          <cell r="D1697"/>
          <cell r="E1697"/>
          <cell r="F1697"/>
          <cell r="G1697">
            <v>2.5999999999999999E-2</v>
          </cell>
          <cell r="H1697"/>
          <cell r="I1697"/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>
            <v>2E-3</v>
          </cell>
        </row>
        <row r="1698">
          <cell r="A1698" t="str">
            <v>51720-10102401AALF</v>
          </cell>
          <cell r="B1698"/>
          <cell r="C1698"/>
          <cell r="D1698"/>
          <cell r="E1698"/>
          <cell r="F1698"/>
          <cell r="G1698">
            <v>2.1000000000000001E-2</v>
          </cell>
          <cell r="H1698"/>
          <cell r="I1698"/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>
            <v>1.9E-3</v>
          </cell>
        </row>
        <row r="1699">
          <cell r="A1699" t="str">
            <v>51720-10102801AALF</v>
          </cell>
          <cell r="B1699"/>
          <cell r="C1699"/>
          <cell r="D1699"/>
          <cell r="E1699"/>
          <cell r="F1699"/>
          <cell r="G1699">
            <v>3.2000000000000001E-2</v>
          </cell>
          <cell r="H1699"/>
          <cell r="I1699"/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>
            <v>3.3E-3</v>
          </cell>
        </row>
        <row r="1700">
          <cell r="A1700" t="str">
            <v>51720-10102801BALF</v>
          </cell>
          <cell r="B1700"/>
          <cell r="C1700"/>
          <cell r="D1700"/>
          <cell r="E1700"/>
          <cell r="F1700"/>
          <cell r="G1700">
            <v>2.8000000000000001E-2</v>
          </cell>
          <cell r="H1700"/>
          <cell r="I1700"/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>
            <v>3.3E-3</v>
          </cell>
        </row>
        <row r="1701">
          <cell r="A1701" t="str">
            <v>51720-10103201AALF</v>
          </cell>
          <cell r="B1701"/>
          <cell r="C1701"/>
          <cell r="D1701"/>
          <cell r="E1701"/>
          <cell r="F1701"/>
          <cell r="G1701">
            <v>2.8000000000000001E-2</v>
          </cell>
          <cell r="H1701"/>
          <cell r="I1701"/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>
            <v>2E-3</v>
          </cell>
        </row>
        <row r="1702">
          <cell r="A1702" t="str">
            <v>51720-10103201ABLF</v>
          </cell>
          <cell r="B1702"/>
          <cell r="C1702"/>
          <cell r="D1702"/>
          <cell r="E1702"/>
          <cell r="F1702"/>
          <cell r="G1702">
            <v>2.5999999999999999E-2</v>
          </cell>
          <cell r="H1702"/>
          <cell r="I1702"/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>
            <v>2E-3</v>
          </cell>
        </row>
        <row r="1703">
          <cell r="A1703" t="str">
            <v>51720-10103601AALF</v>
          </cell>
          <cell r="B1703"/>
          <cell r="C1703"/>
          <cell r="D1703"/>
          <cell r="E1703"/>
          <cell r="F1703"/>
          <cell r="G1703">
            <v>2.8000000000000001E-2</v>
          </cell>
          <cell r="H1703"/>
          <cell r="I1703"/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>
            <v>2E-3</v>
          </cell>
        </row>
        <row r="1704">
          <cell r="A1704" t="str">
            <v>51720-10104001AALF</v>
          </cell>
          <cell r="B1704"/>
          <cell r="C1704"/>
          <cell r="D1704"/>
          <cell r="E1704"/>
          <cell r="F1704"/>
          <cell r="G1704">
            <v>2.8000000000000001E-2</v>
          </cell>
          <cell r="H1704"/>
          <cell r="I1704"/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>
            <v>2E-3</v>
          </cell>
        </row>
        <row r="1705">
          <cell r="A1705" t="str">
            <v>51720-10104002AALF</v>
          </cell>
          <cell r="B1705"/>
          <cell r="C1705"/>
          <cell r="D1705"/>
          <cell r="E1705"/>
          <cell r="F1705"/>
          <cell r="G1705">
            <v>2.8000000000000001E-2</v>
          </cell>
          <cell r="H1705"/>
          <cell r="I1705"/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>
            <v>2E-3</v>
          </cell>
        </row>
        <row r="1706">
          <cell r="A1706" t="str">
            <v>51720-10104401AALF</v>
          </cell>
          <cell r="B1706"/>
          <cell r="C1706"/>
          <cell r="D1706"/>
          <cell r="E1706"/>
          <cell r="F1706"/>
          <cell r="G1706">
            <v>2.8000000000000001E-2</v>
          </cell>
          <cell r="H1706"/>
          <cell r="I1706"/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>
            <v>2E-3</v>
          </cell>
        </row>
        <row r="1707">
          <cell r="A1707" t="str">
            <v>51720-10104801AALF</v>
          </cell>
          <cell r="B1707"/>
          <cell r="C1707"/>
          <cell r="D1707"/>
          <cell r="E1707"/>
          <cell r="F1707"/>
          <cell r="G1707">
            <v>2.8000000000000001E-2</v>
          </cell>
          <cell r="H1707"/>
          <cell r="I1707"/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>
            <v>2E-3</v>
          </cell>
        </row>
        <row r="1708">
          <cell r="A1708" t="str">
            <v>51720-10106001AALF</v>
          </cell>
          <cell r="B1708"/>
          <cell r="C1708"/>
          <cell r="D1708"/>
          <cell r="E1708"/>
          <cell r="F1708"/>
          <cell r="G1708">
            <v>2.8000000000000001E-2</v>
          </cell>
          <cell r="H1708"/>
          <cell r="I1708"/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>
            <v>2E-3</v>
          </cell>
        </row>
        <row r="1709">
          <cell r="A1709" t="str">
            <v>51720-10106001ABLF</v>
          </cell>
          <cell r="B1709"/>
          <cell r="C1709"/>
          <cell r="D1709"/>
          <cell r="E1709"/>
          <cell r="F1709"/>
          <cell r="G1709">
            <v>2.4299999999999999E-2</v>
          </cell>
          <cell r="H1709"/>
          <cell r="I1709"/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>
            <v>1.9E-3</v>
          </cell>
        </row>
        <row r="1710">
          <cell r="A1710" t="str">
            <v>51720-10106402AALF</v>
          </cell>
          <cell r="B1710"/>
          <cell r="C1710"/>
          <cell r="D1710"/>
          <cell r="E1710"/>
          <cell r="F1710"/>
          <cell r="G1710">
            <v>8.2299999999999998E-2</v>
          </cell>
          <cell r="H1710"/>
          <cell r="I1710"/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>
            <v>1.9E-3</v>
          </cell>
        </row>
        <row r="1711">
          <cell r="A1711" t="str">
            <v>51720-10107201AALF</v>
          </cell>
          <cell r="B1711"/>
          <cell r="C1711"/>
          <cell r="D1711"/>
          <cell r="E1711"/>
          <cell r="F1711"/>
          <cell r="G1711">
            <v>2.52E-2</v>
          </cell>
          <cell r="H1711"/>
          <cell r="I1711"/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>
            <v>2E-3</v>
          </cell>
        </row>
        <row r="1712">
          <cell r="A1712" t="str">
            <v>51720-10107201ABLF</v>
          </cell>
          <cell r="B1712"/>
          <cell r="C1712"/>
          <cell r="D1712"/>
          <cell r="E1712"/>
          <cell r="F1712"/>
          <cell r="G1712">
            <v>2.5999999999999999E-2</v>
          </cell>
          <cell r="H1712"/>
          <cell r="I1712"/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>
            <v>2E-3</v>
          </cell>
        </row>
        <row r="1713">
          <cell r="A1713" t="str">
            <v>51720-10108001AALF</v>
          </cell>
          <cell r="B1713"/>
          <cell r="C1713"/>
          <cell r="D1713"/>
          <cell r="E1713"/>
          <cell r="F1713"/>
          <cell r="G1713">
            <v>2.8000000000000001E-2</v>
          </cell>
          <cell r="H1713"/>
          <cell r="I1713"/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>
            <v>2E-3</v>
          </cell>
        </row>
        <row r="1714">
          <cell r="A1714" t="str">
            <v>51720-10108001ABLF</v>
          </cell>
          <cell r="B1714"/>
          <cell r="C1714"/>
          <cell r="D1714"/>
          <cell r="E1714"/>
          <cell r="F1714"/>
          <cell r="G1714">
            <v>2.8000000000000001E-2</v>
          </cell>
          <cell r="H1714"/>
          <cell r="I1714"/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>
            <v>2E-3</v>
          </cell>
        </row>
        <row r="1715">
          <cell r="A1715" t="str">
            <v>51720-10200402AALF</v>
          </cell>
          <cell r="B1715"/>
          <cell r="C1715"/>
          <cell r="D1715"/>
          <cell r="E1715"/>
          <cell r="F1715"/>
          <cell r="G1715">
            <v>2.9000000000000001E-2</v>
          </cell>
          <cell r="H1715"/>
          <cell r="I1715"/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>
            <v>2E-3</v>
          </cell>
        </row>
        <row r="1716">
          <cell r="A1716" t="str">
            <v>51720-10200402ABLF</v>
          </cell>
          <cell r="B1716"/>
          <cell r="C1716"/>
          <cell r="D1716"/>
          <cell r="E1716"/>
          <cell r="F1716"/>
          <cell r="G1716">
            <v>6.2300000000000001E-2</v>
          </cell>
          <cell r="H1716"/>
          <cell r="I1716"/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>
            <v>1.9E-3</v>
          </cell>
        </row>
        <row r="1717">
          <cell r="A1717" t="str">
            <v>51720-10200801AALF</v>
          </cell>
          <cell r="B1717"/>
          <cell r="C1717"/>
          <cell r="D1717"/>
          <cell r="E1717"/>
          <cell r="F1717"/>
          <cell r="G1717">
            <v>4.8000000000000001E-2</v>
          </cell>
          <cell r="H1717"/>
          <cell r="I1717"/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>
            <v>1.9E-3</v>
          </cell>
        </row>
        <row r="1718">
          <cell r="A1718" t="str">
            <v>51720-10200802AALF</v>
          </cell>
          <cell r="B1718"/>
          <cell r="C1718"/>
          <cell r="D1718"/>
          <cell r="E1718"/>
          <cell r="F1718"/>
          <cell r="G1718">
            <v>0.02</v>
          </cell>
          <cell r="H1718"/>
          <cell r="I1718"/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>
            <v>1.9E-3</v>
          </cell>
        </row>
        <row r="1719">
          <cell r="A1719" t="str">
            <v>51720-10200802ABLF</v>
          </cell>
          <cell r="B1719"/>
          <cell r="C1719"/>
          <cell r="D1719"/>
          <cell r="E1719"/>
          <cell r="F1719"/>
          <cell r="G1719">
            <v>2.81E-2</v>
          </cell>
          <cell r="H1719"/>
          <cell r="I1719"/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>
            <v>1.9E-3</v>
          </cell>
        </row>
        <row r="1720">
          <cell r="A1720" t="str">
            <v>51720-10201201AALF</v>
          </cell>
          <cell r="B1720"/>
          <cell r="C1720"/>
          <cell r="D1720"/>
          <cell r="E1720"/>
          <cell r="F1720"/>
          <cell r="G1720">
            <v>2.8000000000000001E-2</v>
          </cell>
          <cell r="H1720"/>
          <cell r="I1720"/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>
            <v>2E-3</v>
          </cell>
        </row>
        <row r="1721">
          <cell r="A1721" t="str">
            <v>51720-10201202AALF</v>
          </cell>
          <cell r="B1721"/>
          <cell r="C1721"/>
          <cell r="D1721"/>
          <cell r="E1721"/>
          <cell r="F1721"/>
          <cell r="G1721">
            <v>1.4514501000000001E-2</v>
          </cell>
          <cell r="H1721"/>
          <cell r="I1721"/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>
            <v>1.9E-3</v>
          </cell>
        </row>
        <row r="1722">
          <cell r="A1722" t="str">
            <v>51720-10201202ABLF</v>
          </cell>
          <cell r="B1722"/>
          <cell r="C1722"/>
          <cell r="D1722"/>
          <cell r="E1722"/>
          <cell r="F1722"/>
          <cell r="G1722">
            <v>2.7E-2</v>
          </cell>
          <cell r="H1722"/>
          <cell r="I1722"/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>
            <v>2E-3</v>
          </cell>
        </row>
        <row r="1723">
          <cell r="A1723" t="str">
            <v>51720-10201205AALF</v>
          </cell>
          <cell r="B1723"/>
          <cell r="C1723"/>
          <cell r="D1723"/>
          <cell r="E1723"/>
          <cell r="F1723"/>
          <cell r="G1723">
            <v>3.5999999999999997E-2</v>
          </cell>
          <cell r="H1723"/>
          <cell r="I1723"/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>
            <v>2E-3</v>
          </cell>
        </row>
        <row r="1724">
          <cell r="A1724" t="str">
            <v>51720-10201602AALF</v>
          </cell>
          <cell r="B1724"/>
          <cell r="C1724"/>
          <cell r="D1724"/>
          <cell r="E1724"/>
          <cell r="F1724"/>
          <cell r="G1724">
            <v>2.7099999999999999E-2</v>
          </cell>
          <cell r="H1724"/>
          <cell r="I1724"/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>
            <v>1.9E-3</v>
          </cell>
        </row>
        <row r="1725">
          <cell r="A1725" t="str">
            <v>51720-10201602ABLF</v>
          </cell>
          <cell r="B1725"/>
          <cell r="C1725"/>
          <cell r="D1725"/>
          <cell r="E1725"/>
          <cell r="F1725"/>
          <cell r="G1725">
            <v>2.52E-2</v>
          </cell>
          <cell r="H1725"/>
          <cell r="I1725"/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>
            <v>1.9E-3</v>
          </cell>
        </row>
        <row r="1726">
          <cell r="A1726" t="str">
            <v>51720-10201604AALF</v>
          </cell>
          <cell r="B1726"/>
          <cell r="C1726"/>
          <cell r="D1726"/>
          <cell r="E1726"/>
          <cell r="F1726"/>
          <cell r="G1726">
            <v>2.9000000000000001E-2</v>
          </cell>
          <cell r="H1726"/>
          <cell r="I1726"/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>
            <v>1.9E-3</v>
          </cell>
        </row>
        <row r="1727">
          <cell r="A1727" t="str">
            <v>51720-10201606AALF</v>
          </cell>
          <cell r="B1727"/>
          <cell r="C1727"/>
          <cell r="D1727"/>
          <cell r="E1727"/>
          <cell r="F1727"/>
          <cell r="G1727">
            <v>2.6200000000000001E-2</v>
          </cell>
          <cell r="H1727"/>
          <cell r="I1727"/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>
            <v>1.9E-3</v>
          </cell>
        </row>
        <row r="1728">
          <cell r="A1728" t="str">
            <v>51720-10202002AALF</v>
          </cell>
          <cell r="B1728"/>
          <cell r="C1728"/>
          <cell r="D1728"/>
          <cell r="E1728"/>
          <cell r="F1728"/>
          <cell r="G1728">
            <v>2.9000000000000001E-2</v>
          </cell>
          <cell r="H1728"/>
          <cell r="I1728"/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>
            <v>2E-3</v>
          </cell>
        </row>
        <row r="1729">
          <cell r="A1729" t="str">
            <v>51720-10202402AALF</v>
          </cell>
          <cell r="B1729"/>
          <cell r="C1729"/>
          <cell r="D1729"/>
          <cell r="E1729"/>
          <cell r="F1729"/>
          <cell r="G1729">
            <v>0.01</v>
          </cell>
          <cell r="H1729"/>
          <cell r="I1729"/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>
            <v>1.9E-3</v>
          </cell>
        </row>
        <row r="1730">
          <cell r="A1730" t="str">
            <v>51720-10202402ABLF</v>
          </cell>
          <cell r="B1730"/>
          <cell r="C1730"/>
          <cell r="D1730"/>
          <cell r="E1730"/>
          <cell r="F1730"/>
          <cell r="G1730">
            <v>2.52E-2</v>
          </cell>
          <cell r="H1730"/>
          <cell r="I1730"/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>
            <v>1.9E-3</v>
          </cell>
        </row>
        <row r="1731">
          <cell r="A1731" t="str">
            <v>51720-10202402DALF</v>
          </cell>
          <cell r="B1731"/>
          <cell r="C1731"/>
          <cell r="D1731"/>
          <cell r="E1731"/>
          <cell r="F1731"/>
          <cell r="G1731">
            <v>1.55E-2</v>
          </cell>
          <cell r="H1731"/>
          <cell r="I1731"/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>
            <v>1.9E-3</v>
          </cell>
        </row>
        <row r="1732">
          <cell r="A1732" t="str">
            <v>51720-10202403AALF</v>
          </cell>
          <cell r="B1732"/>
          <cell r="C1732"/>
          <cell r="D1732"/>
          <cell r="E1732"/>
          <cell r="F1732"/>
          <cell r="G1732">
            <v>3.3700000000000001E-2</v>
          </cell>
          <cell r="H1732"/>
          <cell r="I1732"/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>
            <v>1.9E-3</v>
          </cell>
        </row>
        <row r="1733">
          <cell r="A1733" t="str">
            <v>51720-10202404AALF</v>
          </cell>
          <cell r="B1733"/>
          <cell r="C1733"/>
          <cell r="D1733"/>
          <cell r="E1733"/>
          <cell r="F1733"/>
          <cell r="G1733">
            <v>2.2957160000000001E-2</v>
          </cell>
          <cell r="H1733"/>
          <cell r="I1733"/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>
            <v>1.9E-3</v>
          </cell>
        </row>
        <row r="1734">
          <cell r="A1734" t="str">
            <v>51720-10202404ABLF</v>
          </cell>
          <cell r="B1734"/>
          <cell r="C1734"/>
          <cell r="D1734"/>
          <cell r="E1734"/>
          <cell r="F1734"/>
          <cell r="G1734">
            <v>2.7099999999999999E-2</v>
          </cell>
          <cell r="H1734"/>
          <cell r="I1734"/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>
            <v>1.9E-3</v>
          </cell>
        </row>
        <row r="1735">
          <cell r="A1735" t="str">
            <v>51720-10202408AALF</v>
          </cell>
          <cell r="B1735"/>
          <cell r="C1735"/>
          <cell r="D1735"/>
          <cell r="E1735"/>
          <cell r="F1735"/>
          <cell r="G1735">
            <v>3.9300000000000002E-2</v>
          </cell>
          <cell r="H1735"/>
          <cell r="I1735"/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>
            <v>1.9E-3</v>
          </cell>
        </row>
        <row r="1736">
          <cell r="A1736" t="str">
            <v>51720-10202408ABLF</v>
          </cell>
          <cell r="B1736"/>
          <cell r="C1736"/>
          <cell r="D1736"/>
          <cell r="E1736"/>
          <cell r="F1736"/>
          <cell r="G1736">
            <v>3.9E-2</v>
          </cell>
          <cell r="H1736"/>
          <cell r="I1736"/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>
            <v>2E-3</v>
          </cell>
        </row>
        <row r="1737">
          <cell r="A1737" t="str">
            <v>51720-10202802AALF</v>
          </cell>
          <cell r="B1737"/>
          <cell r="C1737"/>
          <cell r="D1737"/>
          <cell r="E1737"/>
          <cell r="F1737"/>
          <cell r="G1737">
            <v>2.9000000000000001E-2</v>
          </cell>
          <cell r="H1737"/>
          <cell r="I1737"/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>
            <v>2E-3</v>
          </cell>
        </row>
        <row r="1738">
          <cell r="A1738" t="str">
            <v>51720-10202814ABLF</v>
          </cell>
          <cell r="B1738"/>
          <cell r="C1738"/>
          <cell r="D1738"/>
          <cell r="E1738"/>
          <cell r="F1738"/>
          <cell r="G1738">
            <v>6.5000000000000002E-2</v>
          </cell>
          <cell r="H1738"/>
          <cell r="I1738"/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>
            <v>4.0000000000000001E-3</v>
          </cell>
        </row>
        <row r="1739">
          <cell r="A1739" t="str">
            <v>51720-10203202AALF</v>
          </cell>
          <cell r="B1739"/>
          <cell r="C1739"/>
          <cell r="D1739"/>
          <cell r="E1739"/>
          <cell r="F1739"/>
          <cell r="G1739">
            <v>2.9000000000000001E-2</v>
          </cell>
          <cell r="H1739"/>
          <cell r="I1739"/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>
            <v>2E-3</v>
          </cell>
        </row>
        <row r="1740">
          <cell r="A1740" t="str">
            <v>51720-10203206AALF</v>
          </cell>
          <cell r="B1740"/>
          <cell r="C1740"/>
          <cell r="D1740"/>
          <cell r="E1740"/>
          <cell r="F1740"/>
          <cell r="G1740">
            <v>7.7600000000000002E-2</v>
          </cell>
          <cell r="H1740"/>
          <cell r="I1740"/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>
            <v>1.9E-3</v>
          </cell>
        </row>
        <row r="1741">
          <cell r="A1741" t="str">
            <v>51720-10204002AALF</v>
          </cell>
          <cell r="B1741"/>
          <cell r="C1741"/>
          <cell r="D1741"/>
          <cell r="E1741"/>
          <cell r="F1741"/>
          <cell r="G1741">
            <v>2.9000000000000001E-2</v>
          </cell>
          <cell r="H1741"/>
          <cell r="I1741"/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>
            <v>2E-3</v>
          </cell>
        </row>
        <row r="1742">
          <cell r="A1742" t="str">
            <v>51720-10204800AALF</v>
          </cell>
          <cell r="B1742"/>
          <cell r="C1742"/>
          <cell r="D1742"/>
          <cell r="E1742"/>
          <cell r="F1742"/>
          <cell r="G1742">
            <v>2.6200000000000001E-2</v>
          </cell>
          <cell r="H1742"/>
          <cell r="I1742"/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>
            <v>1.9E-3</v>
          </cell>
        </row>
        <row r="1743">
          <cell r="A1743" t="str">
            <v>51720-10204802AALF</v>
          </cell>
          <cell r="B1743"/>
          <cell r="C1743"/>
          <cell r="D1743"/>
          <cell r="E1743"/>
          <cell r="F1743"/>
          <cell r="G1743">
            <v>2.7099999999999999E-2</v>
          </cell>
          <cell r="H1743"/>
          <cell r="I1743"/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>
            <v>1.9E-3</v>
          </cell>
        </row>
        <row r="1744">
          <cell r="A1744" t="str">
            <v>51720-10206002AALF</v>
          </cell>
          <cell r="B1744"/>
          <cell r="C1744"/>
          <cell r="D1744"/>
          <cell r="E1744"/>
          <cell r="F1744"/>
          <cell r="G1744">
            <v>2.3800000000000002E-2</v>
          </cell>
          <cell r="H1744"/>
          <cell r="I1744"/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>
            <v>2E-3</v>
          </cell>
        </row>
        <row r="1745">
          <cell r="A1745" t="str">
            <v>51720-10206404AALF</v>
          </cell>
          <cell r="B1745"/>
          <cell r="C1745"/>
          <cell r="D1745"/>
          <cell r="E1745"/>
          <cell r="F1745"/>
          <cell r="G1745">
            <v>6.0999999999999999E-2</v>
          </cell>
          <cell r="H1745"/>
          <cell r="I1745"/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>
            <v>4.0000000000000001E-3</v>
          </cell>
        </row>
        <row r="1746">
          <cell r="A1746" t="str">
            <v>51720-10206802AALF</v>
          </cell>
          <cell r="B1746"/>
          <cell r="C1746"/>
          <cell r="D1746"/>
          <cell r="E1746"/>
          <cell r="F1746"/>
          <cell r="G1746">
            <v>2.7099999999999999E-2</v>
          </cell>
          <cell r="H1746"/>
          <cell r="I1746"/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>
            <v>1.9E-3</v>
          </cell>
        </row>
        <row r="1747">
          <cell r="A1747" t="str">
            <v>51720-10207202AALF</v>
          </cell>
          <cell r="B1747"/>
          <cell r="C1747"/>
          <cell r="D1747"/>
          <cell r="E1747"/>
          <cell r="F1747"/>
          <cell r="G1747">
            <v>2.9000000000000001E-2</v>
          </cell>
          <cell r="H1747"/>
          <cell r="I1747"/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>
            <v>2E-3</v>
          </cell>
        </row>
        <row r="1748">
          <cell r="A1748" t="str">
            <v>51720-10208002AALF</v>
          </cell>
          <cell r="B1748"/>
          <cell r="C1748"/>
          <cell r="D1748"/>
          <cell r="E1748"/>
          <cell r="F1748"/>
          <cell r="G1748">
            <v>3.27E-2</v>
          </cell>
          <cell r="H1748"/>
          <cell r="I1748"/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>
            <v>2.0999999999999999E-3</v>
          </cell>
        </row>
        <row r="1749">
          <cell r="A1749" t="str">
            <v>51720-10209602AALF</v>
          </cell>
          <cell r="B1749"/>
          <cell r="C1749"/>
          <cell r="D1749"/>
          <cell r="E1749"/>
          <cell r="F1749"/>
          <cell r="G1749">
            <v>3.27E-2</v>
          </cell>
          <cell r="H1749"/>
          <cell r="I1749"/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>
            <v>1.9E-3</v>
          </cell>
        </row>
        <row r="1750">
          <cell r="A1750" t="str">
            <v>51720-10300403ABLF</v>
          </cell>
          <cell r="B1750"/>
          <cell r="C1750"/>
          <cell r="D1750"/>
          <cell r="E1750"/>
          <cell r="F1750"/>
          <cell r="G1750">
            <v>2.9000000000000001E-2</v>
          </cell>
          <cell r="H1750"/>
          <cell r="I1750"/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>
            <v>2E-3</v>
          </cell>
        </row>
        <row r="1751">
          <cell r="A1751" t="str">
            <v>51720-10300801AALF</v>
          </cell>
          <cell r="B1751"/>
          <cell r="C1751"/>
          <cell r="D1751"/>
          <cell r="E1751"/>
          <cell r="F1751"/>
          <cell r="G1751">
            <v>2.9000000000000001E-2</v>
          </cell>
          <cell r="H1751"/>
          <cell r="I1751"/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>
            <v>2E-3</v>
          </cell>
        </row>
        <row r="1752">
          <cell r="A1752" t="str">
            <v>51720-10300803AALF</v>
          </cell>
          <cell r="B1752"/>
          <cell r="C1752"/>
          <cell r="D1752"/>
          <cell r="E1752"/>
          <cell r="F1752"/>
          <cell r="G1752">
            <v>2.9000000000000001E-2</v>
          </cell>
          <cell r="H1752"/>
          <cell r="I1752"/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>
            <v>1.6000000000000001E-3</v>
          </cell>
        </row>
        <row r="1753">
          <cell r="A1753" t="str">
            <v>51720-10300804AALF</v>
          </cell>
          <cell r="B1753"/>
          <cell r="C1753"/>
          <cell r="D1753"/>
          <cell r="E1753"/>
          <cell r="F1753"/>
          <cell r="G1753">
            <v>3.5999999999999997E-2</v>
          </cell>
          <cell r="H1753"/>
          <cell r="I1753"/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>
            <v>2E-3</v>
          </cell>
        </row>
        <row r="1754">
          <cell r="A1754" t="str">
            <v>51720-10301203AALF</v>
          </cell>
          <cell r="B1754"/>
          <cell r="C1754"/>
          <cell r="D1754"/>
          <cell r="E1754"/>
          <cell r="F1754"/>
          <cell r="G1754">
            <v>2.9000000000000001E-2</v>
          </cell>
          <cell r="H1754"/>
          <cell r="I1754"/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>
            <v>1.6000000000000001E-3</v>
          </cell>
        </row>
        <row r="1755">
          <cell r="A1755" t="str">
            <v>51720-10301602AALF</v>
          </cell>
          <cell r="B1755"/>
          <cell r="C1755"/>
          <cell r="D1755"/>
          <cell r="E1755"/>
          <cell r="F1755"/>
          <cell r="G1755">
            <v>3.3700000000000001E-2</v>
          </cell>
          <cell r="H1755"/>
          <cell r="I1755"/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>
            <v>1.6000000000000001E-3</v>
          </cell>
        </row>
        <row r="1756">
          <cell r="A1756" t="str">
            <v>51720-10301603AALF</v>
          </cell>
          <cell r="B1756"/>
          <cell r="C1756"/>
          <cell r="D1756"/>
          <cell r="E1756"/>
          <cell r="F1756"/>
          <cell r="G1756">
            <v>3.1E-2</v>
          </cell>
          <cell r="H1756"/>
          <cell r="I1756"/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>
            <v>2E-3</v>
          </cell>
        </row>
        <row r="1757">
          <cell r="A1757" t="str">
            <v>51720-10301603ABLF</v>
          </cell>
          <cell r="B1757"/>
          <cell r="C1757"/>
          <cell r="D1757"/>
          <cell r="E1757"/>
          <cell r="F1757"/>
          <cell r="G1757">
            <v>2.9000000000000001E-2</v>
          </cell>
          <cell r="H1757"/>
          <cell r="I1757"/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>
            <v>2E-3</v>
          </cell>
        </row>
        <row r="1758">
          <cell r="A1758" t="str">
            <v>51720-10302003AALF</v>
          </cell>
          <cell r="B1758"/>
          <cell r="C1758"/>
          <cell r="D1758"/>
          <cell r="E1758"/>
          <cell r="F1758"/>
          <cell r="G1758">
            <v>2.6700000000000002E-2</v>
          </cell>
          <cell r="H1758"/>
          <cell r="I1758"/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>
            <v>1.6000000000000001E-3</v>
          </cell>
        </row>
        <row r="1759">
          <cell r="A1759" t="str">
            <v>51720-10302005AALF</v>
          </cell>
          <cell r="B1759"/>
          <cell r="C1759"/>
          <cell r="D1759"/>
          <cell r="E1759"/>
          <cell r="F1759"/>
          <cell r="G1759">
            <v>3.2000000000000001E-2</v>
          </cell>
          <cell r="H1759"/>
          <cell r="I1759"/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>
            <v>2E-3</v>
          </cell>
        </row>
        <row r="1760">
          <cell r="A1760" t="str">
            <v>51720-10302403AALF</v>
          </cell>
          <cell r="B1760"/>
          <cell r="C1760"/>
          <cell r="D1760"/>
          <cell r="E1760"/>
          <cell r="F1760"/>
          <cell r="G1760">
            <v>1.9300000000000001E-2</v>
          </cell>
          <cell r="H1760"/>
          <cell r="I1760"/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>
            <v>1.6000000000000001E-3</v>
          </cell>
        </row>
        <row r="1761">
          <cell r="A1761" t="str">
            <v>51720-10302403ABLF</v>
          </cell>
          <cell r="B1761"/>
          <cell r="C1761"/>
          <cell r="D1761"/>
          <cell r="E1761"/>
          <cell r="F1761"/>
          <cell r="G1761">
            <v>2.7099999999999999E-2</v>
          </cell>
          <cell r="H1761"/>
          <cell r="I1761"/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>
            <v>1.6000000000000001E-3</v>
          </cell>
        </row>
        <row r="1762">
          <cell r="A1762" t="str">
            <v>51720-10302404AALF</v>
          </cell>
          <cell r="B1762"/>
          <cell r="C1762"/>
          <cell r="D1762"/>
          <cell r="E1762"/>
          <cell r="F1762"/>
          <cell r="G1762">
            <v>2.9000000000000001E-2</v>
          </cell>
          <cell r="H1762"/>
          <cell r="I1762"/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>
            <v>3.0000000000000001E-3</v>
          </cell>
        </row>
        <row r="1763">
          <cell r="A1763" t="str">
            <v>51720-10302406AALF</v>
          </cell>
          <cell r="B1763"/>
          <cell r="C1763"/>
          <cell r="D1763"/>
          <cell r="E1763"/>
          <cell r="F1763"/>
          <cell r="G1763">
            <v>3.4599999999999999E-2</v>
          </cell>
          <cell r="H1763"/>
          <cell r="I1763"/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>
            <v>1.6000000000000001E-3</v>
          </cell>
        </row>
        <row r="1764">
          <cell r="A1764" t="str">
            <v>51720-10302406ABLF</v>
          </cell>
          <cell r="B1764"/>
          <cell r="C1764"/>
          <cell r="D1764"/>
          <cell r="E1764"/>
          <cell r="F1764"/>
          <cell r="G1764">
            <v>3.5000000000000003E-2</v>
          </cell>
          <cell r="H1764"/>
          <cell r="I1764"/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>
            <v>2E-3</v>
          </cell>
        </row>
        <row r="1765">
          <cell r="A1765" t="str">
            <v>51720-10302408AALF</v>
          </cell>
          <cell r="B1765"/>
          <cell r="C1765"/>
          <cell r="D1765"/>
          <cell r="E1765"/>
          <cell r="F1765"/>
          <cell r="G1765">
            <v>3.9300000000000002E-2</v>
          </cell>
          <cell r="H1765"/>
          <cell r="I1765"/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>
            <v>2.0999999999999999E-3</v>
          </cell>
        </row>
        <row r="1766">
          <cell r="A1766" t="str">
            <v>51720-10302803AALF</v>
          </cell>
          <cell r="B1766"/>
          <cell r="C1766"/>
          <cell r="D1766"/>
          <cell r="E1766"/>
          <cell r="F1766"/>
          <cell r="G1766">
            <v>2.9000000000000001E-2</v>
          </cell>
          <cell r="H1766"/>
          <cell r="I1766"/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>
            <v>1.6000000000000001E-3</v>
          </cell>
        </row>
        <row r="1767">
          <cell r="A1767" t="str">
            <v>51720-10303203AALF</v>
          </cell>
          <cell r="B1767"/>
          <cell r="C1767"/>
          <cell r="D1767"/>
          <cell r="E1767"/>
          <cell r="F1767"/>
          <cell r="G1767">
            <v>2.9000000000000001E-2</v>
          </cell>
          <cell r="H1767"/>
          <cell r="I1767"/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>
            <v>1.6000000000000001E-3</v>
          </cell>
        </row>
        <row r="1768">
          <cell r="A1768" t="str">
            <v>51720-10303203ABLF</v>
          </cell>
          <cell r="B1768"/>
          <cell r="C1768"/>
          <cell r="D1768"/>
          <cell r="E1768"/>
          <cell r="F1768"/>
          <cell r="G1768">
            <v>2.7099999999999999E-2</v>
          </cell>
          <cell r="H1768"/>
          <cell r="I1768"/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>
            <v>1.9E-3</v>
          </cell>
        </row>
        <row r="1769">
          <cell r="A1769" t="str">
            <v>51720-10303603AALF</v>
          </cell>
          <cell r="B1769"/>
          <cell r="C1769"/>
          <cell r="D1769"/>
          <cell r="E1769"/>
          <cell r="F1769"/>
          <cell r="G1769">
            <v>2.9000000000000001E-2</v>
          </cell>
          <cell r="H1769"/>
          <cell r="I1769"/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>
            <v>1.6000000000000001E-3</v>
          </cell>
        </row>
        <row r="1770">
          <cell r="A1770" t="str">
            <v>51720-10306402AALF</v>
          </cell>
          <cell r="B1770"/>
          <cell r="C1770"/>
          <cell r="D1770"/>
          <cell r="E1770"/>
          <cell r="F1770"/>
          <cell r="G1770">
            <v>3.3700000000000001E-2</v>
          </cell>
          <cell r="H1770"/>
          <cell r="I1770"/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>
            <v>1.6000000000000001E-3</v>
          </cell>
        </row>
        <row r="1771">
          <cell r="A1771" t="str">
            <v>51720-10306802AALF</v>
          </cell>
          <cell r="B1771"/>
          <cell r="C1771"/>
          <cell r="D1771"/>
          <cell r="E1771"/>
          <cell r="F1771"/>
          <cell r="G1771">
            <v>2.8899999999999999E-2</v>
          </cell>
          <cell r="H1771"/>
          <cell r="I1771"/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>
            <v>1.9E-3</v>
          </cell>
        </row>
        <row r="1772">
          <cell r="A1772" t="str">
            <v>51720-10312003ABLF</v>
          </cell>
          <cell r="B1772"/>
          <cell r="C1772"/>
          <cell r="D1772"/>
          <cell r="E1772"/>
          <cell r="F1772"/>
          <cell r="G1772">
            <v>3.7400000000000003E-2</v>
          </cell>
          <cell r="H1772"/>
          <cell r="I1772"/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>
            <v>3.3E-3</v>
          </cell>
        </row>
        <row r="1773">
          <cell r="A1773" t="str">
            <v>51720-10312803ABLF</v>
          </cell>
          <cell r="B1773"/>
          <cell r="C1773"/>
          <cell r="D1773"/>
          <cell r="E1773"/>
          <cell r="F1773"/>
          <cell r="G1773">
            <v>3.7400000000000003E-2</v>
          </cell>
          <cell r="H1773"/>
          <cell r="I1773"/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>
            <v>3.3E-3</v>
          </cell>
        </row>
        <row r="1774">
          <cell r="A1774" t="str">
            <v>51720-10400804AALF</v>
          </cell>
          <cell r="B1774"/>
          <cell r="C1774"/>
          <cell r="D1774"/>
          <cell r="E1774"/>
          <cell r="F1774"/>
          <cell r="G1774">
            <v>1.8700000000000001E-2</v>
          </cell>
          <cell r="H1774"/>
          <cell r="I1774"/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>
            <v>1.9E-3</v>
          </cell>
        </row>
        <row r="1775">
          <cell r="A1775" t="str">
            <v>51720-10401202AALF</v>
          </cell>
          <cell r="B1775"/>
          <cell r="C1775"/>
          <cell r="D1775"/>
          <cell r="E1775"/>
          <cell r="F1775"/>
          <cell r="G1775">
            <v>3.1E-2</v>
          </cell>
          <cell r="H1775"/>
          <cell r="I1775"/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>
            <v>2E-3</v>
          </cell>
        </row>
        <row r="1776">
          <cell r="A1776" t="str">
            <v>51720-10401204AALF</v>
          </cell>
          <cell r="B1776"/>
          <cell r="C1776"/>
          <cell r="D1776"/>
          <cell r="E1776"/>
          <cell r="F1776"/>
          <cell r="G1776">
            <v>2.9899999999999999E-2</v>
          </cell>
          <cell r="H1776"/>
          <cell r="I1776"/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>
            <v>1.6000000000000001E-3</v>
          </cell>
        </row>
        <row r="1777">
          <cell r="A1777" t="str">
            <v>51720-10401204ABLF</v>
          </cell>
          <cell r="B1777"/>
          <cell r="C1777"/>
          <cell r="D1777"/>
          <cell r="E1777"/>
          <cell r="F1777"/>
          <cell r="G1777">
            <v>3.1E-2</v>
          </cell>
          <cell r="H1777"/>
          <cell r="I1777"/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>
            <v>2E-3</v>
          </cell>
        </row>
        <row r="1778">
          <cell r="A1778" t="str">
            <v>51720-10401602AALF</v>
          </cell>
          <cell r="B1778"/>
          <cell r="C1778"/>
          <cell r="D1778"/>
          <cell r="E1778"/>
          <cell r="F1778"/>
          <cell r="G1778">
            <v>2.4649999999999998E-2</v>
          </cell>
          <cell r="H1778"/>
          <cell r="I1778"/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>
            <v>1.6000000000000001E-3</v>
          </cell>
        </row>
        <row r="1779">
          <cell r="A1779" t="str">
            <v>51720-10401602ABLF</v>
          </cell>
          <cell r="B1779"/>
          <cell r="C1779"/>
          <cell r="D1779"/>
          <cell r="E1779"/>
          <cell r="F1779"/>
          <cell r="G1779">
            <v>2.7099999999999999E-2</v>
          </cell>
          <cell r="H1779"/>
          <cell r="I1779"/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>
            <v>1.6000000000000001E-3</v>
          </cell>
        </row>
        <row r="1780">
          <cell r="A1780" t="str">
            <v>51720-10401603AALF</v>
          </cell>
          <cell r="B1780"/>
          <cell r="C1780"/>
          <cell r="D1780"/>
          <cell r="E1780"/>
          <cell r="F1780"/>
          <cell r="G1780">
            <v>3.3700000000000001E-2</v>
          </cell>
          <cell r="H1780"/>
          <cell r="I1780"/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>
            <v>1.6000000000000001E-3</v>
          </cell>
        </row>
        <row r="1781">
          <cell r="A1781" t="str">
            <v>51720-10401604AALF</v>
          </cell>
          <cell r="B1781"/>
          <cell r="C1781"/>
          <cell r="D1781"/>
          <cell r="E1781"/>
          <cell r="F1781"/>
          <cell r="G1781">
            <v>2.9899999999999999E-2</v>
          </cell>
          <cell r="H1781"/>
          <cell r="I1781"/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>
            <v>1.6000000000000001E-3</v>
          </cell>
        </row>
        <row r="1782">
          <cell r="A1782" t="str">
            <v>51720-10401604ABLF</v>
          </cell>
          <cell r="B1782"/>
          <cell r="C1782"/>
          <cell r="D1782"/>
          <cell r="E1782"/>
          <cell r="F1782"/>
          <cell r="G1782">
            <v>2.9000000000000001E-2</v>
          </cell>
          <cell r="H1782"/>
          <cell r="I1782"/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>
            <v>1.6000000000000001E-3</v>
          </cell>
        </row>
        <row r="1783">
          <cell r="A1783" t="str">
            <v>51720-10402002AALF</v>
          </cell>
          <cell r="B1783"/>
          <cell r="C1783"/>
          <cell r="D1783"/>
          <cell r="E1783"/>
          <cell r="F1783"/>
          <cell r="G1783">
            <v>3.1E-2</v>
          </cell>
          <cell r="H1783"/>
          <cell r="I1783"/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>
            <v>2E-3</v>
          </cell>
        </row>
        <row r="1784">
          <cell r="A1784" t="str">
            <v>51720-10402003AALF</v>
          </cell>
          <cell r="B1784"/>
          <cell r="C1784"/>
          <cell r="D1784"/>
          <cell r="E1784"/>
          <cell r="F1784"/>
          <cell r="G1784">
            <v>3.3700000000000001E-2</v>
          </cell>
          <cell r="H1784"/>
          <cell r="I1784"/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>
            <v>1.9E-3</v>
          </cell>
        </row>
        <row r="1785">
          <cell r="A1785" t="str">
            <v>51720-10402004AALF</v>
          </cell>
          <cell r="B1785"/>
          <cell r="C1785"/>
          <cell r="D1785"/>
          <cell r="E1785"/>
          <cell r="F1785"/>
          <cell r="G1785">
            <v>2.7099999999999999E-2</v>
          </cell>
          <cell r="H1785"/>
          <cell r="I1785"/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>
            <v>1.6000000000000001E-3</v>
          </cell>
        </row>
        <row r="1786">
          <cell r="A1786" t="str">
            <v>51720-10402004ABLF</v>
          </cell>
          <cell r="B1786"/>
          <cell r="C1786"/>
          <cell r="D1786"/>
          <cell r="E1786"/>
          <cell r="F1786"/>
          <cell r="G1786">
            <v>2.9000000000000001E-2</v>
          </cell>
          <cell r="H1786"/>
          <cell r="I1786"/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>
            <v>1.9E-3</v>
          </cell>
        </row>
        <row r="1787">
          <cell r="A1787" t="str">
            <v>51720-10402402AALF</v>
          </cell>
          <cell r="B1787"/>
          <cell r="C1787"/>
          <cell r="D1787"/>
          <cell r="E1787"/>
          <cell r="F1787"/>
          <cell r="G1787">
            <v>2.7099999999999999E-2</v>
          </cell>
          <cell r="H1787"/>
          <cell r="I1787"/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>
            <v>1.6000000000000001E-3</v>
          </cell>
        </row>
        <row r="1788">
          <cell r="A1788" t="str">
            <v>51720-10402403AALF</v>
          </cell>
          <cell r="B1788"/>
          <cell r="C1788"/>
          <cell r="D1788"/>
          <cell r="E1788"/>
          <cell r="F1788"/>
          <cell r="G1788">
            <v>3.3700000000000001E-2</v>
          </cell>
          <cell r="H1788"/>
          <cell r="I1788"/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>
            <v>1.6000000000000001E-3</v>
          </cell>
        </row>
        <row r="1789">
          <cell r="A1789" t="str">
            <v>51720-10402404AALF</v>
          </cell>
          <cell r="B1789"/>
          <cell r="C1789"/>
          <cell r="D1789"/>
          <cell r="E1789"/>
          <cell r="F1789"/>
          <cell r="G1789">
            <v>2.538E-2</v>
          </cell>
          <cell r="H1789"/>
          <cell r="I1789"/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>
            <v>1.6000000000000001E-3</v>
          </cell>
        </row>
        <row r="1790">
          <cell r="A1790" t="str">
            <v>51720-10402404ABLF</v>
          </cell>
          <cell r="B1790"/>
          <cell r="C1790"/>
          <cell r="D1790"/>
          <cell r="E1790"/>
          <cell r="F1790"/>
          <cell r="G1790">
            <v>1.7000000000000001E-2</v>
          </cell>
          <cell r="H1790"/>
          <cell r="I1790"/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>
            <v>1.6000000000000001E-3</v>
          </cell>
        </row>
        <row r="1791">
          <cell r="A1791" t="str">
            <v>51720-10402404CBLF</v>
          </cell>
          <cell r="B1791"/>
          <cell r="C1791"/>
          <cell r="D1791"/>
          <cell r="E1791"/>
          <cell r="F1791"/>
          <cell r="G1791">
            <v>3.1E-2</v>
          </cell>
          <cell r="H1791"/>
          <cell r="I1791"/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>
            <v>2E-3</v>
          </cell>
        </row>
        <row r="1792">
          <cell r="A1792" t="str">
            <v>51720-10402405AALF</v>
          </cell>
          <cell r="B1792"/>
          <cell r="C1792"/>
          <cell r="D1792"/>
          <cell r="E1792"/>
          <cell r="F1792"/>
          <cell r="G1792">
            <v>3.6999999999999998E-2</v>
          </cell>
          <cell r="H1792"/>
          <cell r="I1792"/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>
            <v>2E-3</v>
          </cell>
        </row>
        <row r="1793">
          <cell r="A1793" t="str">
            <v>51720-10402406AALF</v>
          </cell>
          <cell r="B1793"/>
          <cell r="C1793"/>
          <cell r="D1793"/>
          <cell r="E1793"/>
          <cell r="F1793"/>
          <cell r="G1793">
            <v>4.2000000000000003E-2</v>
          </cell>
          <cell r="H1793"/>
          <cell r="I1793"/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>
            <v>2E-3</v>
          </cell>
        </row>
        <row r="1794">
          <cell r="A1794" t="str">
            <v>51720-10402406ABLF</v>
          </cell>
          <cell r="B1794"/>
          <cell r="C1794"/>
          <cell r="D1794"/>
          <cell r="E1794"/>
          <cell r="F1794"/>
          <cell r="G1794">
            <v>3.6499999999999998E-2</v>
          </cell>
          <cell r="H1794"/>
          <cell r="I1794"/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>
            <v>2.2000000000000001E-3</v>
          </cell>
        </row>
        <row r="1795">
          <cell r="A1795" t="str">
            <v>51720-10402408AALF</v>
          </cell>
          <cell r="B1795"/>
          <cell r="C1795"/>
          <cell r="D1795"/>
          <cell r="E1795"/>
          <cell r="F1795"/>
          <cell r="G1795">
            <v>3.9E-2</v>
          </cell>
          <cell r="H1795"/>
          <cell r="I1795"/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>
            <v>2E-3</v>
          </cell>
        </row>
        <row r="1796">
          <cell r="A1796" t="str">
            <v>51720-10402804AALF</v>
          </cell>
          <cell r="B1796"/>
          <cell r="C1796"/>
          <cell r="D1796"/>
          <cell r="E1796"/>
          <cell r="F1796"/>
          <cell r="G1796">
            <v>2.9899999999999999E-2</v>
          </cell>
          <cell r="H1796"/>
          <cell r="I1796"/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>
            <v>1.6000000000000001E-3</v>
          </cell>
        </row>
        <row r="1797">
          <cell r="A1797" t="str">
            <v>51720-10403204AALF</v>
          </cell>
          <cell r="B1797"/>
          <cell r="C1797"/>
          <cell r="D1797"/>
          <cell r="E1797"/>
          <cell r="F1797"/>
          <cell r="G1797">
            <v>3.2000000000000001E-2</v>
          </cell>
          <cell r="H1797"/>
          <cell r="I1797"/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>
            <v>2E-3</v>
          </cell>
        </row>
        <row r="1798">
          <cell r="A1798" t="str">
            <v>51720-10404004AALF</v>
          </cell>
          <cell r="B1798"/>
          <cell r="C1798"/>
          <cell r="D1798"/>
          <cell r="E1798"/>
          <cell r="F1798"/>
          <cell r="G1798">
            <v>3.6499999999999998E-2</v>
          </cell>
          <cell r="H1798"/>
          <cell r="I1798"/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>
            <v>1.9E-3</v>
          </cell>
        </row>
        <row r="1799">
          <cell r="A1799" t="str">
            <v>51720-10404804AALF</v>
          </cell>
          <cell r="B1799"/>
          <cell r="C1799"/>
          <cell r="D1799"/>
          <cell r="E1799"/>
          <cell r="F1799"/>
          <cell r="G1799">
            <v>3.6499999999999998E-2</v>
          </cell>
          <cell r="H1799"/>
          <cell r="I1799"/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>
            <v>2.0999999999999999E-3</v>
          </cell>
        </row>
        <row r="1800">
          <cell r="A1800" t="str">
            <v>51720-10404804ABLF</v>
          </cell>
          <cell r="B1800"/>
          <cell r="C1800"/>
          <cell r="D1800"/>
          <cell r="E1800"/>
          <cell r="F1800"/>
          <cell r="G1800">
            <v>3.6999999999999998E-2</v>
          </cell>
          <cell r="H1800"/>
          <cell r="I1800"/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>
            <v>2E-3</v>
          </cell>
        </row>
        <row r="1801">
          <cell r="A1801" t="str">
            <v>51720-10404804CALF</v>
          </cell>
          <cell r="B1801"/>
          <cell r="C1801"/>
          <cell r="D1801"/>
          <cell r="E1801"/>
          <cell r="F1801"/>
          <cell r="G1801">
            <v>3.9E-2</v>
          </cell>
          <cell r="H1801"/>
          <cell r="I1801"/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>
            <v>2E-3</v>
          </cell>
        </row>
        <row r="1802">
          <cell r="A1802" t="str">
            <v>51720-10405604ABLF</v>
          </cell>
          <cell r="B1802"/>
          <cell r="C1802"/>
          <cell r="D1802"/>
          <cell r="E1802"/>
          <cell r="F1802"/>
          <cell r="G1802">
            <v>3.6999999999999998E-2</v>
          </cell>
          <cell r="H1802"/>
          <cell r="I1802"/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>
            <v>2E-3</v>
          </cell>
        </row>
        <row r="1803">
          <cell r="A1803" t="str">
            <v>51720-10406004ABLF</v>
          </cell>
          <cell r="B1803"/>
          <cell r="C1803"/>
          <cell r="D1803"/>
          <cell r="E1803"/>
          <cell r="F1803"/>
          <cell r="G1803">
            <v>3.9E-2</v>
          </cell>
          <cell r="H1803"/>
          <cell r="I1803"/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>
            <v>6.7000000000000002E-3</v>
          </cell>
        </row>
        <row r="1804">
          <cell r="A1804" t="str">
            <v>51720-10408004AALF</v>
          </cell>
          <cell r="B1804"/>
          <cell r="C1804"/>
          <cell r="D1804"/>
          <cell r="E1804"/>
          <cell r="F1804"/>
          <cell r="G1804">
            <v>3.5000000000000003E-2</v>
          </cell>
          <cell r="H1804"/>
          <cell r="I1804"/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>
            <v>2E-3</v>
          </cell>
        </row>
        <row r="1805">
          <cell r="A1805" t="str">
            <v>51720-10410004AALF</v>
          </cell>
          <cell r="B1805"/>
          <cell r="C1805"/>
          <cell r="D1805"/>
          <cell r="E1805"/>
          <cell r="F1805"/>
          <cell r="G1805">
            <v>4.7E-2</v>
          </cell>
          <cell r="H1805"/>
          <cell r="I1805"/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>
            <v>3.5000000000000001E-3</v>
          </cell>
        </row>
        <row r="1806">
          <cell r="A1806" t="str">
            <v>51720-10500805AALF</v>
          </cell>
          <cell r="B1806"/>
          <cell r="C1806"/>
          <cell r="D1806"/>
          <cell r="E1806"/>
          <cell r="F1806"/>
          <cell r="G1806">
            <v>3.1800000000000002E-2</v>
          </cell>
          <cell r="H1806"/>
          <cell r="I1806"/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>
            <v>1.6000000000000001E-3</v>
          </cell>
        </row>
        <row r="1807">
          <cell r="A1807" t="str">
            <v>51720-10502002AALF</v>
          </cell>
          <cell r="B1807"/>
          <cell r="C1807"/>
          <cell r="D1807"/>
          <cell r="E1807"/>
          <cell r="F1807"/>
          <cell r="G1807">
            <v>3.3700000000000001E-2</v>
          </cell>
          <cell r="H1807"/>
          <cell r="I1807"/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>
            <v>1.6000000000000001E-3</v>
          </cell>
        </row>
        <row r="1808">
          <cell r="A1808" t="str">
            <v>51720-10502400AALF</v>
          </cell>
          <cell r="B1808"/>
          <cell r="C1808"/>
          <cell r="D1808"/>
          <cell r="E1808"/>
          <cell r="F1808"/>
          <cell r="G1808">
            <v>3.3700000000000001E-2</v>
          </cell>
          <cell r="H1808"/>
          <cell r="I1808"/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>
            <v>1.6000000000000001E-3</v>
          </cell>
        </row>
        <row r="1809">
          <cell r="A1809" t="str">
            <v>51720-10502403ABLF</v>
          </cell>
          <cell r="B1809"/>
          <cell r="C1809"/>
          <cell r="D1809"/>
          <cell r="E1809"/>
          <cell r="F1809"/>
          <cell r="G1809">
            <v>2.9000000000000001E-2</v>
          </cell>
          <cell r="H1809"/>
          <cell r="I1809"/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>
            <v>1.6000000000000001E-3</v>
          </cell>
        </row>
        <row r="1810">
          <cell r="A1810" t="str">
            <v>51720-10502404AALF</v>
          </cell>
          <cell r="B1810"/>
          <cell r="C1810"/>
          <cell r="D1810"/>
          <cell r="E1810"/>
          <cell r="F1810"/>
          <cell r="G1810">
            <v>3.4599999999999999E-2</v>
          </cell>
          <cell r="H1810"/>
          <cell r="I1810"/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>
            <v>1.9E-3</v>
          </cell>
        </row>
        <row r="1811">
          <cell r="A1811" t="str">
            <v>51720-10502405AALF</v>
          </cell>
          <cell r="B1811"/>
          <cell r="C1811"/>
          <cell r="D1811"/>
          <cell r="E1811"/>
          <cell r="F1811"/>
          <cell r="G1811">
            <v>3.9300000000000002E-2</v>
          </cell>
          <cell r="H1811"/>
          <cell r="I1811"/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>
            <v>2.0999999999999999E-3</v>
          </cell>
        </row>
        <row r="1812">
          <cell r="A1812" t="str">
            <v>51720-10502410AALF</v>
          </cell>
          <cell r="B1812"/>
          <cell r="C1812"/>
          <cell r="D1812"/>
          <cell r="E1812"/>
          <cell r="F1812"/>
          <cell r="G1812">
            <v>5.1999999999999998E-2</v>
          </cell>
          <cell r="H1812"/>
          <cell r="I1812"/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>
            <v>2E-3</v>
          </cell>
        </row>
        <row r="1813">
          <cell r="A1813" t="str">
            <v>51720-10503205AALF</v>
          </cell>
          <cell r="B1813"/>
          <cell r="C1813"/>
          <cell r="D1813"/>
          <cell r="E1813"/>
          <cell r="F1813"/>
          <cell r="G1813">
            <v>3.9300000000000002E-2</v>
          </cell>
          <cell r="H1813"/>
          <cell r="I1813"/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>
            <v>2.0999999999999999E-3</v>
          </cell>
        </row>
        <row r="1814">
          <cell r="A1814" t="str">
            <v>51720-10600806AALF</v>
          </cell>
          <cell r="B1814"/>
          <cell r="C1814"/>
          <cell r="D1814"/>
          <cell r="E1814"/>
          <cell r="F1814"/>
          <cell r="G1814">
            <v>4.2000000000000003E-2</v>
          </cell>
          <cell r="H1814"/>
          <cell r="I1814"/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>
            <v>2E-3</v>
          </cell>
        </row>
        <row r="1815">
          <cell r="A1815" t="str">
            <v>51720-10601601ABLF</v>
          </cell>
          <cell r="B1815"/>
          <cell r="C1815"/>
          <cell r="D1815"/>
          <cell r="E1815"/>
          <cell r="F1815"/>
          <cell r="G1815">
            <v>3.4000000000000002E-2</v>
          </cell>
          <cell r="H1815"/>
          <cell r="I1815"/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>
            <v>2E-3</v>
          </cell>
        </row>
        <row r="1816">
          <cell r="A1816" t="str">
            <v>51720-10601602AALF</v>
          </cell>
          <cell r="B1816"/>
          <cell r="C1816"/>
          <cell r="D1816"/>
          <cell r="E1816"/>
          <cell r="F1816"/>
          <cell r="G1816">
            <v>3.2000000000000001E-2</v>
          </cell>
          <cell r="H1816"/>
          <cell r="I1816"/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>
            <v>2E-3</v>
          </cell>
        </row>
        <row r="1817">
          <cell r="A1817" t="str">
            <v>51720-10601602ABLF</v>
          </cell>
          <cell r="B1817"/>
          <cell r="C1817"/>
          <cell r="D1817"/>
          <cell r="E1817"/>
          <cell r="F1817"/>
          <cell r="G1817">
            <v>2.63E-2</v>
          </cell>
          <cell r="H1817"/>
          <cell r="I1817"/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>
            <v>2E-3</v>
          </cell>
        </row>
        <row r="1818">
          <cell r="A1818" t="str">
            <v>51720-10601603ABLF</v>
          </cell>
          <cell r="B1818"/>
          <cell r="C1818"/>
          <cell r="D1818"/>
          <cell r="E1818"/>
          <cell r="F1818"/>
          <cell r="G1818">
            <v>3.5000000000000003E-2</v>
          </cell>
          <cell r="H1818"/>
          <cell r="I1818"/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>
            <v>2E-3</v>
          </cell>
        </row>
        <row r="1819">
          <cell r="A1819" t="str">
            <v>51720-10601604ABLF</v>
          </cell>
          <cell r="B1819"/>
          <cell r="C1819"/>
          <cell r="D1819"/>
          <cell r="E1819"/>
          <cell r="F1819"/>
          <cell r="G1819">
            <v>3.9E-2</v>
          </cell>
          <cell r="H1819"/>
          <cell r="I1819"/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>
            <v>2E-3</v>
          </cell>
        </row>
        <row r="1820">
          <cell r="A1820" t="str">
            <v>51720-10602005ABLF</v>
          </cell>
          <cell r="B1820"/>
          <cell r="C1820"/>
          <cell r="D1820"/>
          <cell r="E1820"/>
          <cell r="F1820"/>
          <cell r="G1820">
            <v>3.6499999999999998E-2</v>
          </cell>
          <cell r="H1820"/>
          <cell r="I1820"/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>
            <v>2.0999999999999999E-3</v>
          </cell>
        </row>
        <row r="1821">
          <cell r="A1821" t="str">
            <v>51720-10602404ABLF</v>
          </cell>
          <cell r="B1821"/>
          <cell r="C1821"/>
          <cell r="D1821"/>
          <cell r="E1821"/>
          <cell r="F1821"/>
          <cell r="G1821">
            <v>3.6499999999999998E-2</v>
          </cell>
          <cell r="H1821"/>
          <cell r="I1821"/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>
            <v>2.0999999999999999E-3</v>
          </cell>
        </row>
        <row r="1822">
          <cell r="A1822" t="str">
            <v>51720-10602405AALF</v>
          </cell>
          <cell r="B1822"/>
          <cell r="C1822"/>
          <cell r="D1822"/>
          <cell r="E1822"/>
          <cell r="F1822"/>
          <cell r="G1822">
            <v>3.9300000000000002E-2</v>
          </cell>
          <cell r="H1822"/>
          <cell r="I1822"/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>
            <v>2.0999999999999999E-3</v>
          </cell>
        </row>
        <row r="1823">
          <cell r="A1823" t="str">
            <v>51720-10602405ABLF</v>
          </cell>
          <cell r="B1823"/>
          <cell r="C1823"/>
          <cell r="D1823"/>
          <cell r="E1823"/>
          <cell r="F1823"/>
          <cell r="G1823">
            <v>3.9E-2</v>
          </cell>
          <cell r="H1823"/>
          <cell r="I1823"/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>
            <v>2E-3</v>
          </cell>
        </row>
        <row r="1824">
          <cell r="A1824" t="str">
            <v>51720-10602406AALF</v>
          </cell>
          <cell r="B1824"/>
          <cell r="C1824"/>
          <cell r="D1824"/>
          <cell r="E1824"/>
          <cell r="F1824"/>
          <cell r="G1824">
            <v>3.9300000000000002E-2</v>
          </cell>
          <cell r="H1824"/>
          <cell r="I1824"/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>
            <v>2.0999999999999999E-3</v>
          </cell>
        </row>
        <row r="1825">
          <cell r="A1825" t="str">
            <v>51720-10602804ABLF</v>
          </cell>
          <cell r="B1825"/>
          <cell r="C1825"/>
          <cell r="D1825"/>
          <cell r="E1825"/>
          <cell r="F1825"/>
          <cell r="G1825">
            <v>3.6499999999999998E-2</v>
          </cell>
          <cell r="H1825"/>
          <cell r="I1825"/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>
            <v>1.9E-3</v>
          </cell>
        </row>
        <row r="1826">
          <cell r="A1826" t="str">
            <v>51720-10602807ABLF</v>
          </cell>
          <cell r="B1826"/>
          <cell r="C1826"/>
          <cell r="D1826"/>
          <cell r="E1826"/>
          <cell r="F1826"/>
          <cell r="G1826">
            <v>3.9300000000000002E-2</v>
          </cell>
          <cell r="H1826"/>
          <cell r="I1826"/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>
            <v>2.0999999999999999E-3</v>
          </cell>
        </row>
        <row r="1827">
          <cell r="A1827" t="str">
            <v>51720-10602808ABLF</v>
          </cell>
          <cell r="B1827"/>
          <cell r="C1827"/>
          <cell r="D1827"/>
          <cell r="E1827"/>
          <cell r="F1827"/>
          <cell r="G1827">
            <v>4.6399999999999997E-2</v>
          </cell>
          <cell r="H1827"/>
          <cell r="I1827"/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>
            <v>1.9E-3</v>
          </cell>
        </row>
        <row r="1828">
          <cell r="A1828" t="str">
            <v>51720-10603204AALF</v>
          </cell>
          <cell r="B1828"/>
          <cell r="C1828"/>
          <cell r="D1828"/>
          <cell r="E1828"/>
          <cell r="F1828"/>
          <cell r="G1828">
            <v>4.5999999999999999E-2</v>
          </cell>
          <cell r="H1828"/>
          <cell r="I1828"/>
          <cell r="J1828"/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>
            <v>2E-3</v>
          </cell>
        </row>
        <row r="1829">
          <cell r="A1829" t="str">
            <v>51720-10606006AALF</v>
          </cell>
          <cell r="B1829"/>
          <cell r="C1829"/>
          <cell r="D1829"/>
          <cell r="E1829"/>
          <cell r="F1829"/>
          <cell r="G1829">
            <v>4.7699999999999999E-2</v>
          </cell>
          <cell r="H1829"/>
          <cell r="I1829"/>
          <cell r="J1829"/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>
            <v>3.7000000000000002E-3</v>
          </cell>
        </row>
        <row r="1830">
          <cell r="A1830" t="str">
            <v>51720-10700807AALF</v>
          </cell>
          <cell r="B1830"/>
          <cell r="C1830"/>
          <cell r="D1830"/>
          <cell r="E1830"/>
          <cell r="F1830"/>
          <cell r="G1830">
            <v>3.2000000000000001E-2</v>
          </cell>
          <cell r="H1830"/>
          <cell r="I1830"/>
          <cell r="J1830"/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>
            <v>3.0000000000000001E-3</v>
          </cell>
        </row>
        <row r="1831">
          <cell r="A1831" t="str">
            <v>51720-10701607ABLF</v>
          </cell>
          <cell r="B1831"/>
          <cell r="C1831"/>
          <cell r="D1831"/>
          <cell r="E1831"/>
          <cell r="F1831"/>
          <cell r="G1831">
            <v>2.2974747E-2</v>
          </cell>
          <cell r="H1831"/>
          <cell r="I1831"/>
          <cell r="J1831"/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>
            <v>2E-3</v>
          </cell>
        </row>
        <row r="1832">
          <cell r="A1832" t="str">
            <v>51720-10702407AALF</v>
          </cell>
          <cell r="B1832"/>
          <cell r="C1832"/>
          <cell r="D1832"/>
          <cell r="E1832"/>
          <cell r="F1832"/>
          <cell r="G1832">
            <v>2.1399999999999999E-2</v>
          </cell>
          <cell r="H1832"/>
          <cell r="I1832"/>
          <cell r="J1832"/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>
            <v>2.0999999999999999E-3</v>
          </cell>
        </row>
        <row r="1833">
          <cell r="A1833" t="str">
            <v>51720-10702807ABLF</v>
          </cell>
          <cell r="B1833"/>
          <cell r="C1833"/>
          <cell r="D1833"/>
          <cell r="E1833"/>
          <cell r="F1833"/>
          <cell r="G1833">
            <v>4.4999999999999998E-2</v>
          </cell>
          <cell r="H1833"/>
          <cell r="I1833"/>
          <cell r="J1833"/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>
            <v>2E-3</v>
          </cell>
        </row>
        <row r="1834">
          <cell r="A1834" t="str">
            <v>51720-10703206AALF</v>
          </cell>
          <cell r="B1834"/>
          <cell r="C1834"/>
          <cell r="D1834"/>
          <cell r="E1834"/>
          <cell r="F1834"/>
          <cell r="G1834">
            <v>4.1099999999999998E-2</v>
          </cell>
          <cell r="H1834"/>
          <cell r="I1834"/>
          <cell r="J1834"/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>
            <v>2.0999999999999999E-3</v>
          </cell>
        </row>
        <row r="1835">
          <cell r="A1835" t="str">
            <v>51720-10703207AALF</v>
          </cell>
          <cell r="B1835"/>
          <cell r="C1835"/>
          <cell r="D1835"/>
          <cell r="E1835"/>
          <cell r="F1835"/>
          <cell r="G1835">
            <v>4.8000000000000001E-2</v>
          </cell>
          <cell r="H1835"/>
          <cell r="I1835"/>
          <cell r="J1835"/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>
            <v>2E-3</v>
          </cell>
        </row>
        <row r="1836">
          <cell r="A1836" t="str">
            <v>51720-10703607AALF</v>
          </cell>
          <cell r="B1836"/>
          <cell r="C1836"/>
          <cell r="D1836"/>
          <cell r="E1836"/>
          <cell r="F1836"/>
          <cell r="G1836">
            <v>4.8000000000000001E-2</v>
          </cell>
          <cell r="H1836"/>
          <cell r="I1836"/>
          <cell r="J1836"/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>
            <v>5.0000000000000001E-3</v>
          </cell>
        </row>
        <row r="1837">
          <cell r="A1837" t="str">
            <v>51720-10802008AALF</v>
          </cell>
          <cell r="B1837"/>
          <cell r="C1837"/>
          <cell r="D1837"/>
          <cell r="E1837"/>
          <cell r="F1837"/>
          <cell r="G1837">
            <v>6.8000000000000005E-2</v>
          </cell>
          <cell r="H1837"/>
          <cell r="I1837"/>
          <cell r="J1837"/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>
            <v>4.0000000000000001E-3</v>
          </cell>
        </row>
        <row r="1838">
          <cell r="A1838" t="str">
            <v>51720-10802408AALF</v>
          </cell>
          <cell r="B1838"/>
          <cell r="C1838"/>
          <cell r="D1838"/>
          <cell r="E1838"/>
          <cell r="F1838"/>
          <cell r="G1838">
            <v>5.0500000000000003E-2</v>
          </cell>
          <cell r="H1838"/>
          <cell r="I1838"/>
          <cell r="J1838"/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>
            <v>3.3E-3</v>
          </cell>
        </row>
        <row r="1839">
          <cell r="A1839" t="str">
            <v>51720-10803208AALF</v>
          </cell>
          <cell r="B1839"/>
          <cell r="C1839"/>
          <cell r="D1839"/>
          <cell r="E1839"/>
          <cell r="F1839"/>
          <cell r="G1839">
            <v>6.8000000000000005E-2</v>
          </cell>
          <cell r="H1839"/>
          <cell r="I1839"/>
          <cell r="J1839"/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>
            <v>4.0000000000000001E-3</v>
          </cell>
        </row>
        <row r="1840">
          <cell r="A1840" t="str">
            <v>51720-10803208ABLF</v>
          </cell>
          <cell r="B1840"/>
          <cell r="C1840"/>
          <cell r="D1840"/>
          <cell r="E1840"/>
          <cell r="F1840"/>
          <cell r="G1840">
            <v>6.5000000000000002E-2</v>
          </cell>
          <cell r="H1840"/>
          <cell r="I1840"/>
          <cell r="J1840"/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>
            <v>4.0000000000000001E-3</v>
          </cell>
        </row>
        <row r="1841">
          <cell r="A1841" t="str">
            <v>51720-10806010AALF</v>
          </cell>
          <cell r="B1841"/>
          <cell r="C1841"/>
          <cell r="D1841"/>
          <cell r="E1841"/>
          <cell r="F1841"/>
          <cell r="G1841">
            <v>6.8000000000000005E-2</v>
          </cell>
          <cell r="H1841"/>
          <cell r="I1841"/>
          <cell r="J1841"/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>
            <v>4.0000000000000001E-3</v>
          </cell>
        </row>
        <row r="1842">
          <cell r="A1842" t="str">
            <v>51720-10902409AALF</v>
          </cell>
          <cell r="B1842"/>
          <cell r="C1842"/>
          <cell r="D1842"/>
          <cell r="E1842"/>
          <cell r="F1842"/>
          <cell r="G1842">
            <v>5.7000000000000002E-2</v>
          </cell>
          <cell r="H1842"/>
          <cell r="I1842"/>
          <cell r="J1842"/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>
            <v>3.7000000000000002E-3</v>
          </cell>
        </row>
        <row r="1843">
          <cell r="A1843" t="str">
            <v>51720-10903204AALF</v>
          </cell>
          <cell r="B1843"/>
          <cell r="C1843"/>
          <cell r="D1843"/>
          <cell r="E1843"/>
          <cell r="F1843"/>
          <cell r="G1843">
            <v>4.3999999999999997E-2</v>
          </cell>
          <cell r="H1843"/>
          <cell r="I1843"/>
          <cell r="J1843"/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>
            <v>2E-3</v>
          </cell>
        </row>
        <row r="1844">
          <cell r="A1844" t="str">
            <v>51720-10903209AALF</v>
          </cell>
          <cell r="B1844"/>
          <cell r="C1844"/>
          <cell r="D1844"/>
          <cell r="E1844"/>
          <cell r="F1844"/>
          <cell r="G1844">
            <v>6.5000000000000002E-2</v>
          </cell>
          <cell r="H1844"/>
          <cell r="I1844"/>
          <cell r="J1844"/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>
            <v>4.0000000000000001E-3</v>
          </cell>
        </row>
        <row r="1845">
          <cell r="A1845" t="str">
            <v>51720-11002006AALF</v>
          </cell>
          <cell r="B1845"/>
          <cell r="C1845"/>
          <cell r="D1845"/>
          <cell r="E1845"/>
          <cell r="F1845"/>
          <cell r="G1845">
            <v>0.06</v>
          </cell>
          <cell r="H1845"/>
          <cell r="I1845"/>
          <cell r="J1845"/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>
            <v>2E-3</v>
          </cell>
        </row>
        <row r="1846">
          <cell r="A1846" t="str">
            <v>51720-11003206ABLF</v>
          </cell>
          <cell r="B1846"/>
          <cell r="C1846"/>
          <cell r="D1846"/>
          <cell r="E1846"/>
          <cell r="F1846"/>
          <cell r="G1846">
            <v>6.5000000000000002E-2</v>
          </cell>
          <cell r="H1846"/>
          <cell r="I1846"/>
          <cell r="J1846"/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>
            <v>4.0000000000000001E-3</v>
          </cell>
        </row>
        <row r="1847">
          <cell r="A1847" t="str">
            <v>51720-11003210AALF</v>
          </cell>
          <cell r="B1847"/>
          <cell r="C1847"/>
          <cell r="D1847"/>
          <cell r="E1847"/>
          <cell r="F1847"/>
          <cell r="G1847">
            <v>5.4199999999999998E-2</v>
          </cell>
          <cell r="H1847"/>
          <cell r="I1847"/>
          <cell r="J1847"/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>
            <v>3.7000000000000002E-3</v>
          </cell>
        </row>
        <row r="1848">
          <cell r="A1848" t="str">
            <v>51720-11008410AALF</v>
          </cell>
          <cell r="B1848"/>
          <cell r="C1848"/>
          <cell r="D1848"/>
          <cell r="E1848"/>
          <cell r="F1848"/>
          <cell r="G1848">
            <v>5.4199999999999998E-2</v>
          </cell>
          <cell r="H1848"/>
          <cell r="I1848"/>
          <cell r="J1848"/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>
            <v>3.3E-3</v>
          </cell>
        </row>
        <row r="1849">
          <cell r="A1849" t="str">
            <v>51720-11008410ABLF</v>
          </cell>
          <cell r="B1849"/>
          <cell r="C1849"/>
          <cell r="D1849"/>
          <cell r="E1849"/>
          <cell r="F1849"/>
          <cell r="G1849">
            <v>6.1199999999999997E-2</v>
          </cell>
          <cell r="H1849"/>
          <cell r="I1849"/>
          <cell r="J1849"/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>
            <v>4.0000000000000001E-3</v>
          </cell>
        </row>
        <row r="1850">
          <cell r="A1850" t="str">
            <v>51720-11102003AALF</v>
          </cell>
          <cell r="B1850"/>
          <cell r="C1850"/>
          <cell r="D1850"/>
          <cell r="E1850"/>
          <cell r="F1850"/>
          <cell r="G1850">
            <v>4.4900000000000002E-2</v>
          </cell>
          <cell r="H1850"/>
          <cell r="I1850"/>
          <cell r="J1850"/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>
            <v>2.0999999999999999E-3</v>
          </cell>
        </row>
        <row r="1851">
          <cell r="A1851" t="str">
            <v>51720-A0802408AALF</v>
          </cell>
          <cell r="B1851"/>
          <cell r="C1851"/>
          <cell r="D1851"/>
          <cell r="E1851"/>
          <cell r="F1851"/>
          <cell r="G1851">
            <v>5.0500000000000003E-2</v>
          </cell>
          <cell r="H1851"/>
          <cell r="I1851"/>
          <cell r="J1851"/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>
            <v>3.3E-3</v>
          </cell>
        </row>
        <row r="1852">
          <cell r="A1852" t="str">
            <v>51720-B0202402AALF</v>
          </cell>
          <cell r="B1852"/>
          <cell r="C1852"/>
          <cell r="D1852"/>
          <cell r="E1852"/>
          <cell r="F1852"/>
          <cell r="G1852">
            <v>1.9199999999999998E-2</v>
          </cell>
          <cell r="H1852"/>
          <cell r="I1852"/>
          <cell r="J1852"/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>
            <v>1.9E-3</v>
          </cell>
        </row>
        <row r="1853">
          <cell r="A1853" t="str">
            <v>51720-B0302003AALF</v>
          </cell>
          <cell r="B1853"/>
          <cell r="C1853"/>
          <cell r="D1853"/>
          <cell r="E1853"/>
          <cell r="F1853"/>
          <cell r="G1853">
            <v>2.9000000000000001E-2</v>
          </cell>
          <cell r="H1853"/>
          <cell r="I1853"/>
          <cell r="J1853"/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>
            <v>1.6000000000000001E-3</v>
          </cell>
        </row>
        <row r="1854">
          <cell r="A1854" t="str">
            <v>51720-B0602406AALF</v>
          </cell>
          <cell r="B1854"/>
          <cell r="C1854"/>
          <cell r="D1854"/>
          <cell r="E1854"/>
          <cell r="F1854"/>
          <cell r="G1854">
            <v>3.9300000000000002E-2</v>
          </cell>
          <cell r="H1854"/>
          <cell r="I1854"/>
          <cell r="J1854"/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>
            <v>2.0999999999999999E-3</v>
          </cell>
        </row>
        <row r="1855">
          <cell r="A1855" t="str">
            <v>51720-B0702407AALF</v>
          </cell>
          <cell r="B1855"/>
          <cell r="C1855"/>
          <cell r="D1855"/>
          <cell r="E1855"/>
          <cell r="F1855"/>
          <cell r="G1855">
            <v>2.86E-2</v>
          </cell>
          <cell r="H1855"/>
          <cell r="I1855"/>
          <cell r="J1855"/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>
            <v>2.0999999999999999E-3</v>
          </cell>
        </row>
        <row r="1856">
          <cell r="A1856" t="str">
            <v>51720-B0902409AALF</v>
          </cell>
          <cell r="B1856"/>
          <cell r="C1856"/>
          <cell r="D1856"/>
          <cell r="E1856"/>
          <cell r="F1856"/>
          <cell r="G1856">
            <v>5.7000000000000002E-2</v>
          </cell>
          <cell r="H1856"/>
          <cell r="I1856"/>
          <cell r="J1856"/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>
            <v>3.7000000000000002E-3</v>
          </cell>
        </row>
        <row r="1857">
          <cell r="A1857" t="str">
            <v>51721-10000404AALF</v>
          </cell>
          <cell r="B1857"/>
          <cell r="C1857"/>
          <cell r="D1857"/>
          <cell r="E1857"/>
          <cell r="F1857"/>
          <cell r="G1857">
            <v>2.7099999999999999E-2</v>
          </cell>
          <cell r="H1857"/>
          <cell r="I1857"/>
          <cell r="J1857"/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>
            <v>1.6000000000000001E-3</v>
          </cell>
        </row>
        <row r="1858">
          <cell r="A1858" t="str">
            <v>51721-10000404ABLF</v>
          </cell>
          <cell r="B1858"/>
          <cell r="C1858"/>
          <cell r="D1858"/>
          <cell r="E1858"/>
          <cell r="F1858"/>
          <cell r="G1858">
            <v>2.41E-2</v>
          </cell>
          <cell r="H1858"/>
          <cell r="I1858"/>
          <cell r="J1858"/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>
            <v>2E-3</v>
          </cell>
        </row>
        <row r="1859">
          <cell r="A1859" t="str">
            <v>51721-10000405AALF</v>
          </cell>
          <cell r="B1859"/>
          <cell r="C1859"/>
          <cell r="D1859"/>
          <cell r="E1859"/>
          <cell r="F1859"/>
          <cell r="G1859">
            <v>3.5999999999999997E-2</v>
          </cell>
          <cell r="H1859"/>
          <cell r="I1859"/>
          <cell r="J1859"/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>
            <v>2E-3</v>
          </cell>
        </row>
        <row r="1860">
          <cell r="A1860" t="str">
            <v>51721-10000406AALF</v>
          </cell>
          <cell r="B1860"/>
          <cell r="C1860"/>
          <cell r="D1860"/>
          <cell r="E1860"/>
          <cell r="F1860"/>
          <cell r="G1860">
            <v>3.1E-2</v>
          </cell>
          <cell r="H1860"/>
          <cell r="I1860"/>
          <cell r="J1860"/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>
            <v>2E-3</v>
          </cell>
        </row>
        <row r="1861">
          <cell r="A1861" t="str">
            <v>51721-10000802AALF</v>
          </cell>
          <cell r="B1861"/>
          <cell r="C1861"/>
          <cell r="D1861"/>
          <cell r="E1861"/>
          <cell r="F1861"/>
          <cell r="G1861">
            <v>2.6200000000000001E-2</v>
          </cell>
          <cell r="H1861"/>
          <cell r="I1861"/>
          <cell r="J1861"/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>
            <v>1.6000000000000001E-3</v>
          </cell>
        </row>
        <row r="1862">
          <cell r="A1862" t="str">
            <v>51721-10000803AALF</v>
          </cell>
          <cell r="B1862"/>
          <cell r="C1862"/>
          <cell r="D1862"/>
          <cell r="E1862"/>
          <cell r="F1862"/>
          <cell r="G1862">
            <v>2.5999999999999999E-2</v>
          </cell>
          <cell r="H1862"/>
          <cell r="I1862"/>
          <cell r="J1862"/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>
            <v>2E-3</v>
          </cell>
        </row>
        <row r="1863">
          <cell r="A1863" t="str">
            <v>51721-10000804AALF</v>
          </cell>
          <cell r="B1863"/>
          <cell r="C1863"/>
          <cell r="D1863"/>
          <cell r="E1863"/>
          <cell r="F1863"/>
          <cell r="G1863">
            <v>2.7099999999999999E-2</v>
          </cell>
          <cell r="H1863"/>
          <cell r="I1863"/>
          <cell r="J1863"/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>
            <v>1.6000000000000001E-3</v>
          </cell>
        </row>
        <row r="1864">
          <cell r="A1864" t="str">
            <v>51721-10000805AALF</v>
          </cell>
          <cell r="B1864"/>
          <cell r="C1864"/>
          <cell r="D1864"/>
          <cell r="E1864"/>
          <cell r="F1864"/>
          <cell r="G1864">
            <v>5.6000000000000001E-2</v>
          </cell>
          <cell r="H1864"/>
          <cell r="I1864"/>
          <cell r="J1864"/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>
            <v>2E-3</v>
          </cell>
        </row>
        <row r="1865">
          <cell r="A1865" t="str">
            <v>51721-10000806ABLF</v>
          </cell>
          <cell r="B1865"/>
          <cell r="C1865"/>
          <cell r="D1865"/>
          <cell r="E1865"/>
          <cell r="F1865"/>
          <cell r="G1865">
            <v>2.9000000000000001E-2</v>
          </cell>
          <cell r="H1865"/>
          <cell r="I1865"/>
          <cell r="J1865"/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>
            <v>2E-3</v>
          </cell>
        </row>
        <row r="1866">
          <cell r="A1866" t="str">
            <v>51721-10000807AALF</v>
          </cell>
          <cell r="B1866"/>
          <cell r="C1866"/>
          <cell r="D1866"/>
          <cell r="E1866"/>
          <cell r="F1866"/>
          <cell r="G1866">
            <v>3.3700000000000001E-2</v>
          </cell>
          <cell r="H1866"/>
          <cell r="I1866"/>
          <cell r="J1866"/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>
            <v>1.6000000000000001E-3</v>
          </cell>
        </row>
        <row r="1867">
          <cell r="A1867" t="str">
            <v>51721-10000810AALF</v>
          </cell>
          <cell r="B1867"/>
          <cell r="C1867"/>
          <cell r="D1867"/>
          <cell r="E1867"/>
          <cell r="F1867"/>
          <cell r="G1867">
            <v>2.58E-2</v>
          </cell>
          <cell r="H1867"/>
          <cell r="I1867"/>
          <cell r="J1867"/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>
            <v>1.9E-3</v>
          </cell>
        </row>
        <row r="1868">
          <cell r="A1868" t="str">
            <v>51721-10000812AALF</v>
          </cell>
          <cell r="B1868"/>
          <cell r="C1868"/>
          <cell r="D1868"/>
          <cell r="E1868"/>
          <cell r="F1868"/>
          <cell r="G1868">
            <v>4.7E-2</v>
          </cell>
          <cell r="H1868"/>
          <cell r="I1868"/>
          <cell r="J1868"/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>
            <v>2E-3</v>
          </cell>
        </row>
        <row r="1869">
          <cell r="A1869" t="str">
            <v>51721-10001204AALF</v>
          </cell>
          <cell r="B1869"/>
          <cell r="C1869"/>
          <cell r="D1869"/>
          <cell r="E1869"/>
          <cell r="F1869"/>
          <cell r="G1869">
            <v>1.6899999999999998E-2</v>
          </cell>
          <cell r="H1869"/>
          <cell r="I1869"/>
          <cell r="J1869"/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>
            <v>1.6000000000000001E-3</v>
          </cell>
        </row>
        <row r="1870">
          <cell r="A1870" t="str">
            <v>51721-10001204ABLF</v>
          </cell>
          <cell r="B1870"/>
          <cell r="C1870"/>
          <cell r="D1870"/>
          <cell r="E1870"/>
          <cell r="F1870"/>
          <cell r="G1870">
            <v>2.7E-2</v>
          </cell>
          <cell r="H1870"/>
          <cell r="I1870"/>
          <cell r="J1870"/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>
            <v>2E-3</v>
          </cell>
        </row>
        <row r="1871">
          <cell r="A1871" t="str">
            <v>51721-10001205AALF</v>
          </cell>
          <cell r="B1871"/>
          <cell r="C1871"/>
          <cell r="D1871"/>
          <cell r="E1871"/>
          <cell r="F1871"/>
          <cell r="G1871">
            <v>3.5999999999999997E-2</v>
          </cell>
          <cell r="H1871"/>
          <cell r="I1871"/>
          <cell r="J1871"/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>
            <v>2E-3</v>
          </cell>
        </row>
        <row r="1872">
          <cell r="A1872" t="str">
            <v>51721-10001206AALF</v>
          </cell>
          <cell r="B1872"/>
          <cell r="C1872"/>
          <cell r="D1872"/>
          <cell r="E1872"/>
          <cell r="F1872"/>
          <cell r="G1872">
            <v>2.9000000000000001E-2</v>
          </cell>
          <cell r="H1872"/>
          <cell r="I1872"/>
          <cell r="J1872"/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>
            <v>1.6000000000000001E-3</v>
          </cell>
        </row>
        <row r="1873">
          <cell r="A1873" t="str">
            <v>51721-10001206ABLF</v>
          </cell>
          <cell r="B1873"/>
          <cell r="C1873"/>
          <cell r="D1873"/>
          <cell r="E1873"/>
          <cell r="F1873"/>
          <cell r="G1873">
            <v>2.7099999999999999E-2</v>
          </cell>
          <cell r="H1873"/>
          <cell r="I1873"/>
          <cell r="J1873"/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>
            <v>1.6000000000000001E-3</v>
          </cell>
        </row>
        <row r="1874">
          <cell r="A1874" t="str">
            <v>51721-10001208AALF</v>
          </cell>
          <cell r="B1874"/>
          <cell r="C1874"/>
          <cell r="D1874"/>
          <cell r="E1874"/>
          <cell r="F1874"/>
          <cell r="G1874">
            <v>3.2000000000000001E-2</v>
          </cell>
          <cell r="H1874"/>
          <cell r="I1874"/>
          <cell r="J1874"/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>
            <v>2E-3</v>
          </cell>
        </row>
        <row r="1875">
          <cell r="A1875" t="str">
            <v>51721-10001210AALF</v>
          </cell>
          <cell r="B1875"/>
          <cell r="C1875"/>
          <cell r="D1875"/>
          <cell r="E1875"/>
          <cell r="F1875"/>
          <cell r="G1875">
            <v>3.4000000000000002E-2</v>
          </cell>
          <cell r="H1875"/>
          <cell r="I1875"/>
          <cell r="J1875"/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>
            <v>2E-3</v>
          </cell>
        </row>
        <row r="1876">
          <cell r="A1876" t="str">
            <v>51721-10001213AALF</v>
          </cell>
          <cell r="B1876"/>
          <cell r="C1876"/>
          <cell r="D1876"/>
          <cell r="E1876"/>
          <cell r="F1876"/>
          <cell r="G1876">
            <v>4.3999999999999997E-2</v>
          </cell>
          <cell r="H1876"/>
          <cell r="I1876"/>
          <cell r="J1876"/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>
            <v>2E-3</v>
          </cell>
        </row>
        <row r="1877">
          <cell r="A1877" t="str">
            <v>51721-10001218AALF</v>
          </cell>
          <cell r="B1877"/>
          <cell r="C1877"/>
          <cell r="D1877"/>
          <cell r="E1877"/>
          <cell r="F1877"/>
          <cell r="G1877">
            <v>3.9199999999999999E-2</v>
          </cell>
          <cell r="H1877"/>
          <cell r="I1877"/>
          <cell r="J1877"/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>
            <v>3.7000000000000002E-3</v>
          </cell>
        </row>
        <row r="1878">
          <cell r="A1878" t="str">
            <v>51721-10001218ABLF</v>
          </cell>
          <cell r="B1878"/>
          <cell r="C1878"/>
          <cell r="D1878"/>
          <cell r="E1878"/>
          <cell r="F1878"/>
          <cell r="G1878">
            <v>5.4199999999999998E-2</v>
          </cell>
          <cell r="H1878"/>
          <cell r="I1878"/>
          <cell r="J1878"/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>
            <v>3.3E-3</v>
          </cell>
        </row>
        <row r="1879">
          <cell r="A1879" t="str">
            <v>51721-10001602AALF</v>
          </cell>
          <cell r="B1879"/>
          <cell r="C1879"/>
          <cell r="D1879"/>
          <cell r="E1879"/>
          <cell r="F1879"/>
          <cell r="G1879">
            <v>3.3500000000000002E-2</v>
          </cell>
          <cell r="H1879"/>
          <cell r="I1879"/>
          <cell r="J1879"/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>
            <v>1.9E-3</v>
          </cell>
        </row>
        <row r="1880">
          <cell r="A1880" t="str">
            <v>51721-10001602CBLF</v>
          </cell>
          <cell r="B1880"/>
          <cell r="C1880"/>
          <cell r="D1880"/>
          <cell r="E1880"/>
          <cell r="F1880"/>
          <cell r="G1880">
            <v>2.8000000000000001E-2</v>
          </cell>
          <cell r="H1880"/>
          <cell r="I1880"/>
          <cell r="J1880"/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>
            <v>4.4000000000000003E-3</v>
          </cell>
        </row>
        <row r="1881">
          <cell r="A1881" t="str">
            <v>51721-10001604AALF</v>
          </cell>
          <cell r="B1881"/>
          <cell r="C1881"/>
          <cell r="D1881"/>
          <cell r="E1881"/>
          <cell r="F1881"/>
          <cell r="G1881">
            <v>2.7099999999999999E-2</v>
          </cell>
          <cell r="H1881"/>
          <cell r="I1881"/>
          <cell r="J1881"/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>
            <v>1.6000000000000001E-3</v>
          </cell>
        </row>
        <row r="1882">
          <cell r="A1882" t="str">
            <v>51721-10001604BALF</v>
          </cell>
          <cell r="B1882"/>
          <cell r="C1882"/>
          <cell r="D1882"/>
          <cell r="E1882"/>
          <cell r="F1882"/>
          <cell r="G1882">
            <v>2.7E-2</v>
          </cell>
          <cell r="H1882"/>
          <cell r="I1882"/>
          <cell r="J1882"/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>
            <v>3.3E-3</v>
          </cell>
        </row>
        <row r="1883">
          <cell r="A1883" t="str">
            <v>51721-10001605AALF</v>
          </cell>
          <cell r="B1883"/>
          <cell r="C1883"/>
          <cell r="D1883"/>
          <cell r="E1883"/>
          <cell r="F1883"/>
          <cell r="G1883">
            <v>3.5999999999999997E-2</v>
          </cell>
          <cell r="H1883"/>
          <cell r="I1883"/>
          <cell r="J1883"/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>
            <v>2E-3</v>
          </cell>
        </row>
        <row r="1884">
          <cell r="A1884" t="str">
            <v>51721-10001605ABLF</v>
          </cell>
          <cell r="B1884"/>
          <cell r="C1884"/>
          <cell r="D1884"/>
          <cell r="E1884"/>
          <cell r="F1884"/>
          <cell r="G1884">
            <v>3.4000000000000002E-2</v>
          </cell>
          <cell r="H1884"/>
          <cell r="I1884"/>
          <cell r="J1884"/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>
            <v>2E-3</v>
          </cell>
        </row>
        <row r="1885">
          <cell r="A1885" t="str">
            <v>51721-10001606AALF</v>
          </cell>
          <cell r="B1885"/>
          <cell r="C1885"/>
          <cell r="D1885"/>
          <cell r="E1885"/>
          <cell r="F1885"/>
          <cell r="G1885">
            <v>2.9000000000000001E-2</v>
          </cell>
          <cell r="H1885"/>
          <cell r="I1885"/>
          <cell r="J1885"/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>
            <v>1.6000000000000001E-3</v>
          </cell>
        </row>
        <row r="1886">
          <cell r="A1886" t="str">
            <v>51721-10001608AALF</v>
          </cell>
          <cell r="B1886"/>
          <cell r="C1886"/>
          <cell r="D1886"/>
          <cell r="E1886"/>
          <cell r="F1886"/>
          <cell r="G1886">
            <v>3.2000000000000001E-2</v>
          </cell>
          <cell r="H1886"/>
          <cell r="I1886"/>
          <cell r="J1886"/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>
            <v>2E-3</v>
          </cell>
        </row>
        <row r="1887">
          <cell r="A1887" t="str">
            <v>51721-10001608ABLF</v>
          </cell>
          <cell r="B1887"/>
          <cell r="C1887"/>
          <cell r="D1887"/>
          <cell r="E1887"/>
          <cell r="F1887"/>
          <cell r="G1887">
            <v>2.9000000000000001E-2</v>
          </cell>
          <cell r="H1887"/>
          <cell r="I1887"/>
          <cell r="J1887"/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>
            <v>1.9E-3</v>
          </cell>
        </row>
        <row r="1888">
          <cell r="A1888" t="str">
            <v>51721-10001612AALF</v>
          </cell>
          <cell r="B1888"/>
          <cell r="C1888"/>
          <cell r="D1888"/>
          <cell r="E1888"/>
          <cell r="F1888"/>
          <cell r="G1888">
            <v>4.2000000000000003E-2</v>
          </cell>
          <cell r="H1888"/>
          <cell r="I1888"/>
          <cell r="J1888"/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>
            <v>2E-3</v>
          </cell>
        </row>
        <row r="1889">
          <cell r="A1889" t="str">
            <v>51721-10002004AALF</v>
          </cell>
          <cell r="B1889"/>
          <cell r="C1889"/>
          <cell r="D1889"/>
          <cell r="E1889"/>
          <cell r="F1889"/>
          <cell r="G1889">
            <v>1.6914999999999999E-2</v>
          </cell>
          <cell r="H1889"/>
          <cell r="I1889"/>
          <cell r="J1889"/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>
            <v>1.9E-3</v>
          </cell>
        </row>
        <row r="1890">
          <cell r="A1890" t="str">
            <v>51721-10002005ABLF</v>
          </cell>
          <cell r="B1890"/>
          <cell r="C1890"/>
          <cell r="D1890"/>
          <cell r="E1890"/>
          <cell r="F1890"/>
          <cell r="G1890">
            <v>3.4000000000000002E-2</v>
          </cell>
          <cell r="H1890"/>
          <cell r="I1890"/>
          <cell r="J1890"/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>
            <v>2E-3</v>
          </cell>
        </row>
        <row r="1891">
          <cell r="A1891" t="str">
            <v>51721-10002006AALF</v>
          </cell>
          <cell r="B1891"/>
          <cell r="C1891"/>
          <cell r="D1891"/>
          <cell r="E1891"/>
          <cell r="F1891"/>
          <cell r="G1891">
            <v>2.9000000000000001E-2</v>
          </cell>
          <cell r="H1891"/>
          <cell r="I1891"/>
          <cell r="J1891"/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>
            <v>1.6000000000000001E-3</v>
          </cell>
        </row>
        <row r="1892">
          <cell r="A1892" t="str">
            <v>51721-10002006ABLF</v>
          </cell>
          <cell r="B1892"/>
          <cell r="C1892"/>
          <cell r="D1892"/>
          <cell r="E1892"/>
          <cell r="F1892"/>
          <cell r="G1892">
            <v>2.9000000000000001E-2</v>
          </cell>
          <cell r="H1892"/>
          <cell r="I1892"/>
          <cell r="J1892"/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>
            <v>2E-3</v>
          </cell>
        </row>
        <row r="1893">
          <cell r="A1893" t="str">
            <v>51721-10002403ABLF</v>
          </cell>
          <cell r="B1893"/>
          <cell r="C1893"/>
          <cell r="D1893"/>
          <cell r="E1893"/>
          <cell r="F1893"/>
          <cell r="G1893">
            <v>2.4299999999999999E-2</v>
          </cell>
          <cell r="H1893"/>
          <cell r="I1893"/>
          <cell r="J1893"/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>
            <v>1.6000000000000001E-3</v>
          </cell>
        </row>
        <row r="1894">
          <cell r="A1894" t="str">
            <v>51721-10002404AALF</v>
          </cell>
          <cell r="B1894"/>
          <cell r="C1894"/>
          <cell r="D1894"/>
          <cell r="E1894"/>
          <cell r="F1894"/>
          <cell r="G1894">
            <v>1.55E-2</v>
          </cell>
          <cell r="H1894"/>
          <cell r="I1894"/>
          <cell r="J1894"/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>
            <v>1.9E-3</v>
          </cell>
        </row>
        <row r="1895">
          <cell r="A1895" t="str">
            <v>51721-10002404ABLF</v>
          </cell>
          <cell r="B1895"/>
          <cell r="C1895"/>
          <cell r="D1895"/>
          <cell r="E1895"/>
          <cell r="F1895"/>
          <cell r="G1895">
            <v>1.2E-2</v>
          </cell>
          <cell r="H1895"/>
          <cell r="I1895"/>
          <cell r="J1895"/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>
            <v>2E-3</v>
          </cell>
        </row>
        <row r="1896">
          <cell r="A1896" t="str">
            <v>51721-10002405BALF</v>
          </cell>
          <cell r="B1896"/>
          <cell r="C1896"/>
          <cell r="D1896"/>
          <cell r="E1896"/>
          <cell r="F1896"/>
          <cell r="G1896">
            <v>2.8000000000000001E-2</v>
          </cell>
          <cell r="H1896"/>
          <cell r="I1896"/>
          <cell r="J1896"/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>
            <v>3.0000000000000001E-3</v>
          </cell>
        </row>
        <row r="1897">
          <cell r="A1897" t="str">
            <v>51721-10002406AALF</v>
          </cell>
          <cell r="B1897"/>
          <cell r="C1897"/>
          <cell r="D1897"/>
          <cell r="E1897"/>
          <cell r="F1897"/>
          <cell r="G1897">
            <v>1.4404348000000001E-2</v>
          </cell>
          <cell r="H1897"/>
          <cell r="I1897"/>
          <cell r="J1897"/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>
            <v>1.9E-3</v>
          </cell>
        </row>
        <row r="1898">
          <cell r="A1898" t="str">
            <v>51721-10002406ABLF</v>
          </cell>
          <cell r="B1898"/>
          <cell r="C1898"/>
          <cell r="D1898"/>
          <cell r="E1898"/>
          <cell r="F1898"/>
          <cell r="G1898">
            <v>1.32E-2</v>
          </cell>
          <cell r="H1898"/>
          <cell r="I1898"/>
          <cell r="J1898"/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>
            <v>1.6000000000000001E-3</v>
          </cell>
        </row>
        <row r="1899">
          <cell r="A1899" t="str">
            <v>51721-10002407AALF</v>
          </cell>
          <cell r="B1899"/>
          <cell r="C1899"/>
          <cell r="D1899"/>
          <cell r="E1899"/>
          <cell r="F1899"/>
          <cell r="G1899">
            <v>3.5999999999999997E-2</v>
          </cell>
          <cell r="H1899"/>
          <cell r="I1899"/>
          <cell r="J1899"/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>
            <v>2E-3</v>
          </cell>
        </row>
        <row r="1900">
          <cell r="A1900" t="str">
            <v>51721-10002407ABLF</v>
          </cell>
          <cell r="B1900"/>
          <cell r="C1900"/>
          <cell r="D1900"/>
          <cell r="E1900"/>
          <cell r="F1900"/>
          <cell r="G1900">
            <v>2.1999999999999999E-2</v>
          </cell>
          <cell r="H1900"/>
          <cell r="I1900"/>
          <cell r="J1900"/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>
            <v>1.6000000000000001E-3</v>
          </cell>
        </row>
        <row r="1901">
          <cell r="A1901" t="str">
            <v>51721-10002408AALF</v>
          </cell>
          <cell r="B1901"/>
          <cell r="C1901"/>
          <cell r="D1901"/>
          <cell r="E1901"/>
          <cell r="F1901"/>
          <cell r="G1901">
            <v>2.9899999999999999E-2</v>
          </cell>
          <cell r="H1901"/>
          <cell r="I1901"/>
          <cell r="J1901"/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>
            <v>1.9E-3</v>
          </cell>
        </row>
        <row r="1902">
          <cell r="A1902" t="str">
            <v>51721-10002408ABLF</v>
          </cell>
          <cell r="B1902"/>
          <cell r="C1902"/>
          <cell r="D1902"/>
          <cell r="E1902"/>
          <cell r="F1902"/>
          <cell r="G1902">
            <v>2.7400000000000001E-2</v>
          </cell>
          <cell r="H1902"/>
          <cell r="I1902"/>
          <cell r="J1902"/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>
            <v>1.6000000000000001E-3</v>
          </cell>
        </row>
        <row r="1903">
          <cell r="A1903" t="str">
            <v>51721-10002410AALF</v>
          </cell>
          <cell r="B1903"/>
          <cell r="C1903"/>
          <cell r="D1903"/>
          <cell r="E1903"/>
          <cell r="F1903"/>
          <cell r="G1903">
            <v>2.6200000000000001E-2</v>
          </cell>
          <cell r="H1903"/>
          <cell r="I1903"/>
          <cell r="J1903"/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>
            <v>1.9E-3</v>
          </cell>
        </row>
        <row r="1904">
          <cell r="A1904" t="str">
            <v>51721-10002410ABLF</v>
          </cell>
          <cell r="B1904"/>
          <cell r="C1904"/>
          <cell r="D1904"/>
          <cell r="E1904"/>
          <cell r="F1904"/>
          <cell r="G1904">
            <v>3.2899999999999999E-2</v>
          </cell>
          <cell r="H1904"/>
          <cell r="I1904"/>
          <cell r="J1904"/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>
            <v>2.0999999999999999E-3</v>
          </cell>
        </row>
        <row r="1905">
          <cell r="A1905" t="str">
            <v>51721-10002412AALF</v>
          </cell>
          <cell r="B1905"/>
          <cell r="C1905"/>
          <cell r="D1905"/>
          <cell r="E1905"/>
          <cell r="F1905"/>
          <cell r="G1905">
            <v>4.2000000000000003E-2</v>
          </cell>
          <cell r="H1905"/>
          <cell r="I1905"/>
          <cell r="J1905"/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>
            <v>2E-3</v>
          </cell>
        </row>
        <row r="1906">
          <cell r="A1906" t="str">
            <v>51721-10002412ABLF</v>
          </cell>
          <cell r="B1906"/>
          <cell r="C1906"/>
          <cell r="D1906"/>
          <cell r="E1906"/>
          <cell r="F1906"/>
          <cell r="G1906">
            <v>3.6499999999999998E-2</v>
          </cell>
          <cell r="H1906"/>
          <cell r="I1906"/>
          <cell r="J1906"/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>
            <v>2.0999999999999999E-3</v>
          </cell>
        </row>
        <row r="1907">
          <cell r="A1907" t="str">
            <v>51721-10002414AALF</v>
          </cell>
          <cell r="B1907"/>
          <cell r="C1907"/>
          <cell r="D1907"/>
          <cell r="E1907"/>
          <cell r="F1907"/>
          <cell r="G1907">
            <v>4.4900000000000002E-2</v>
          </cell>
          <cell r="H1907"/>
          <cell r="I1907"/>
          <cell r="J1907"/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>
            <v>2.0999999999999999E-3</v>
          </cell>
        </row>
        <row r="1908">
          <cell r="A1908" t="str">
            <v>51721-10002416AALF</v>
          </cell>
          <cell r="B1908"/>
          <cell r="C1908"/>
          <cell r="D1908"/>
          <cell r="E1908"/>
          <cell r="F1908"/>
          <cell r="G1908">
            <v>5.0500000000000003E-2</v>
          </cell>
          <cell r="H1908"/>
          <cell r="I1908"/>
          <cell r="J1908"/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>
            <v>3.3E-3</v>
          </cell>
        </row>
        <row r="1909">
          <cell r="A1909" t="str">
            <v>51721-10002420ABLF</v>
          </cell>
          <cell r="B1909"/>
          <cell r="C1909"/>
          <cell r="D1909"/>
          <cell r="E1909"/>
          <cell r="F1909"/>
          <cell r="G1909">
            <v>5.4199999999999998E-2</v>
          </cell>
          <cell r="H1909"/>
          <cell r="I1909"/>
          <cell r="J1909"/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>
            <v>3.3E-3</v>
          </cell>
        </row>
        <row r="1910">
          <cell r="A1910" t="str">
            <v>51721-10002805AALF</v>
          </cell>
          <cell r="B1910"/>
          <cell r="C1910"/>
          <cell r="D1910"/>
          <cell r="E1910"/>
          <cell r="F1910"/>
          <cell r="G1910">
            <v>3.2000000000000001E-2</v>
          </cell>
          <cell r="H1910"/>
          <cell r="I1910"/>
          <cell r="J1910"/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>
            <v>3.3E-3</v>
          </cell>
        </row>
        <row r="1911">
          <cell r="A1911" t="str">
            <v>51721-10002806AALF</v>
          </cell>
          <cell r="B1911"/>
          <cell r="C1911"/>
          <cell r="D1911"/>
          <cell r="E1911"/>
          <cell r="F1911"/>
          <cell r="G1911">
            <v>8.8200000000000001E-2</v>
          </cell>
          <cell r="H1911"/>
          <cell r="I1911"/>
          <cell r="J1911"/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>
            <v>2E-3</v>
          </cell>
        </row>
        <row r="1912">
          <cell r="A1912" t="str">
            <v>51721-10002806ABLF</v>
          </cell>
          <cell r="B1912"/>
          <cell r="C1912"/>
          <cell r="D1912"/>
          <cell r="E1912"/>
          <cell r="F1912"/>
          <cell r="G1912">
            <v>2.9000000000000001E-2</v>
          </cell>
          <cell r="H1912"/>
          <cell r="I1912"/>
          <cell r="J1912"/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>
            <v>2E-3</v>
          </cell>
        </row>
        <row r="1913">
          <cell r="A1913" t="str">
            <v>51721-10002808AALF</v>
          </cell>
          <cell r="B1913"/>
          <cell r="C1913"/>
          <cell r="D1913"/>
          <cell r="E1913"/>
          <cell r="F1913"/>
          <cell r="G1913">
            <v>2.9899999999999999E-2</v>
          </cell>
          <cell r="H1913"/>
          <cell r="I1913"/>
          <cell r="J1913"/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>
            <v>1.9E-3</v>
          </cell>
        </row>
        <row r="1914">
          <cell r="A1914" t="str">
            <v>51721-10003202AALF</v>
          </cell>
          <cell r="B1914"/>
          <cell r="C1914"/>
          <cell r="D1914"/>
          <cell r="E1914"/>
          <cell r="F1914"/>
          <cell r="G1914">
            <v>2.8000000000000001E-2</v>
          </cell>
          <cell r="H1914"/>
          <cell r="I1914"/>
          <cell r="J1914"/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>
            <v>2E-3</v>
          </cell>
        </row>
        <row r="1915">
          <cell r="A1915" t="str">
            <v>51721-10003204AALF</v>
          </cell>
          <cell r="B1915"/>
          <cell r="C1915"/>
          <cell r="D1915"/>
          <cell r="E1915"/>
          <cell r="F1915"/>
          <cell r="G1915">
            <v>2.7099999999999999E-2</v>
          </cell>
          <cell r="H1915"/>
          <cell r="I1915"/>
          <cell r="J1915"/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>
            <v>1.6000000000000001E-3</v>
          </cell>
        </row>
        <row r="1916">
          <cell r="A1916" t="str">
            <v>51721-10003205AALF</v>
          </cell>
          <cell r="B1916"/>
          <cell r="C1916"/>
          <cell r="D1916"/>
          <cell r="E1916"/>
          <cell r="F1916"/>
          <cell r="G1916">
            <v>3.1E-2</v>
          </cell>
          <cell r="H1916"/>
          <cell r="I1916"/>
          <cell r="J1916"/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>
            <v>3.3E-3</v>
          </cell>
        </row>
        <row r="1917">
          <cell r="A1917" t="str">
            <v>51721-10003206ABLF</v>
          </cell>
          <cell r="B1917"/>
          <cell r="C1917"/>
          <cell r="D1917"/>
          <cell r="E1917"/>
          <cell r="F1917"/>
          <cell r="G1917">
            <v>2.7099999999999999E-2</v>
          </cell>
          <cell r="H1917"/>
          <cell r="I1917"/>
          <cell r="J1917"/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>
            <v>1.6000000000000001E-3</v>
          </cell>
        </row>
        <row r="1918">
          <cell r="A1918" t="str">
            <v>51721-10003208AALF</v>
          </cell>
          <cell r="B1918"/>
          <cell r="C1918"/>
          <cell r="D1918"/>
          <cell r="E1918"/>
          <cell r="F1918"/>
          <cell r="G1918">
            <v>3.2000000000000001E-2</v>
          </cell>
          <cell r="H1918"/>
          <cell r="I1918"/>
          <cell r="J1918"/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>
            <v>2E-3</v>
          </cell>
        </row>
        <row r="1919">
          <cell r="A1919" t="str">
            <v>51721-10003218ABLF</v>
          </cell>
          <cell r="B1919"/>
          <cell r="C1919"/>
          <cell r="D1919"/>
          <cell r="E1919"/>
          <cell r="F1919"/>
          <cell r="G1919">
            <v>6.5000000000000002E-2</v>
          </cell>
          <cell r="H1919"/>
          <cell r="I1919"/>
          <cell r="J1919"/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>
            <v>4.0000000000000001E-3</v>
          </cell>
        </row>
        <row r="1920">
          <cell r="A1920" t="str">
            <v>51721-10003603AALF</v>
          </cell>
          <cell r="B1920"/>
          <cell r="C1920"/>
          <cell r="D1920"/>
          <cell r="E1920"/>
          <cell r="F1920"/>
          <cell r="G1920">
            <v>2.8000000000000001E-2</v>
          </cell>
          <cell r="H1920"/>
          <cell r="I1920"/>
          <cell r="J1920"/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>
            <v>2E-3</v>
          </cell>
        </row>
        <row r="1921">
          <cell r="A1921" t="str">
            <v>51721-10003605AALF</v>
          </cell>
          <cell r="B1921"/>
          <cell r="C1921"/>
          <cell r="D1921"/>
          <cell r="E1921"/>
          <cell r="F1921"/>
          <cell r="G1921">
            <v>3.5999999999999997E-2</v>
          </cell>
          <cell r="H1921"/>
          <cell r="I1921"/>
          <cell r="J1921"/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>
            <v>2E-3</v>
          </cell>
        </row>
        <row r="1922">
          <cell r="A1922" t="str">
            <v>51721-10003606AALF</v>
          </cell>
          <cell r="B1922"/>
          <cell r="C1922"/>
          <cell r="D1922"/>
          <cell r="E1922"/>
          <cell r="F1922"/>
          <cell r="G1922">
            <v>2.9000000000000001E-2</v>
          </cell>
          <cell r="H1922"/>
          <cell r="I1922"/>
          <cell r="J1922"/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>
            <v>1.9E-3</v>
          </cell>
        </row>
        <row r="1923">
          <cell r="A1923" t="str">
            <v>51721-10004006AALF</v>
          </cell>
          <cell r="B1923"/>
          <cell r="C1923"/>
          <cell r="D1923"/>
          <cell r="E1923"/>
          <cell r="F1923"/>
          <cell r="G1923">
            <v>2.7799999999999998E-2</v>
          </cell>
          <cell r="H1923"/>
          <cell r="I1923"/>
          <cell r="J1923"/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>
            <v>1.9E-3</v>
          </cell>
        </row>
        <row r="1924">
          <cell r="A1924" t="str">
            <v>51721-10004007ABLF</v>
          </cell>
          <cell r="B1924"/>
          <cell r="C1924"/>
          <cell r="D1924"/>
          <cell r="E1924"/>
          <cell r="F1924"/>
          <cell r="G1924">
            <v>3.4000000000000002E-2</v>
          </cell>
          <cell r="H1924"/>
          <cell r="I1924"/>
          <cell r="J1924"/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>
            <v>2E-3</v>
          </cell>
        </row>
        <row r="1925">
          <cell r="A1925" t="str">
            <v>51721-10004802AALF</v>
          </cell>
          <cell r="B1925"/>
          <cell r="C1925"/>
          <cell r="D1925"/>
          <cell r="E1925"/>
          <cell r="F1925"/>
          <cell r="G1925">
            <v>2.6200000000000001E-2</v>
          </cell>
          <cell r="H1925"/>
          <cell r="I1925"/>
          <cell r="J1925"/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>
            <v>1.9E-3</v>
          </cell>
        </row>
        <row r="1926">
          <cell r="A1926" t="str">
            <v>51721-10004803AALF</v>
          </cell>
          <cell r="B1926"/>
          <cell r="C1926"/>
          <cell r="D1926"/>
          <cell r="E1926"/>
          <cell r="F1926"/>
          <cell r="G1926">
            <v>2.9000000000000001E-2</v>
          </cell>
          <cell r="H1926"/>
          <cell r="I1926"/>
          <cell r="J1926"/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>
            <v>2E-3</v>
          </cell>
        </row>
        <row r="1927">
          <cell r="A1927" t="str">
            <v>51721-10004807AALF</v>
          </cell>
          <cell r="B1927"/>
          <cell r="C1927"/>
          <cell r="D1927"/>
          <cell r="E1927"/>
          <cell r="F1927"/>
          <cell r="G1927">
            <v>3.6999999999999998E-2</v>
          </cell>
          <cell r="H1927"/>
          <cell r="I1927"/>
          <cell r="J1927"/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>
            <v>2E-3</v>
          </cell>
        </row>
        <row r="1928">
          <cell r="A1928" t="str">
            <v>51721-10004808ABLF</v>
          </cell>
          <cell r="B1928"/>
          <cell r="C1928"/>
          <cell r="D1928"/>
          <cell r="E1928"/>
          <cell r="F1928"/>
          <cell r="G1928">
            <v>3.6999999999999998E-2</v>
          </cell>
          <cell r="H1928"/>
          <cell r="I1928"/>
          <cell r="J1928"/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>
            <v>2E-3</v>
          </cell>
        </row>
        <row r="1929">
          <cell r="A1929" t="str">
            <v>51721-10004812AALF</v>
          </cell>
          <cell r="B1929"/>
          <cell r="C1929"/>
          <cell r="D1929"/>
          <cell r="E1929"/>
          <cell r="F1929"/>
          <cell r="G1929">
            <v>4.2000000000000003E-2</v>
          </cell>
          <cell r="H1929"/>
          <cell r="I1929"/>
          <cell r="J1929"/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>
            <v>2E-3</v>
          </cell>
        </row>
        <row r="1930">
          <cell r="A1930" t="str">
            <v>51721-10005611ABLF</v>
          </cell>
          <cell r="B1930"/>
          <cell r="C1930"/>
          <cell r="D1930"/>
          <cell r="E1930"/>
          <cell r="F1930"/>
          <cell r="G1930">
            <v>3.9E-2</v>
          </cell>
          <cell r="H1930"/>
          <cell r="I1930"/>
          <cell r="J1930"/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>
            <v>2E-3</v>
          </cell>
        </row>
        <row r="1931">
          <cell r="A1931" t="str">
            <v>51721-10006402ABLF</v>
          </cell>
          <cell r="B1931"/>
          <cell r="C1931"/>
          <cell r="D1931"/>
          <cell r="E1931"/>
          <cell r="F1931"/>
          <cell r="G1931">
            <v>2.5999999999999999E-2</v>
          </cell>
          <cell r="H1931"/>
          <cell r="I1931"/>
          <cell r="J1931"/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>
            <v>2E-3</v>
          </cell>
        </row>
        <row r="1932">
          <cell r="A1932" t="str">
            <v>51721-10006403AALF</v>
          </cell>
          <cell r="B1932"/>
          <cell r="C1932"/>
          <cell r="D1932"/>
          <cell r="E1932"/>
          <cell r="F1932"/>
          <cell r="G1932">
            <v>2.8000000000000001E-2</v>
          </cell>
          <cell r="H1932"/>
          <cell r="I1932"/>
          <cell r="J1932"/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>
            <v>2E-3</v>
          </cell>
        </row>
        <row r="1933">
          <cell r="A1933" t="str">
            <v>51721-10007205ABLF</v>
          </cell>
          <cell r="B1933"/>
          <cell r="C1933"/>
          <cell r="D1933"/>
          <cell r="E1933"/>
          <cell r="F1933"/>
          <cell r="G1933">
            <v>5.04E-2</v>
          </cell>
          <cell r="H1933"/>
          <cell r="I1933"/>
          <cell r="J1933"/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>
            <v>2E-3</v>
          </cell>
        </row>
        <row r="1934">
          <cell r="A1934" t="str">
            <v>51721-B0001204AALF</v>
          </cell>
          <cell r="B1934"/>
          <cell r="C1934"/>
          <cell r="D1934"/>
          <cell r="E1934"/>
          <cell r="F1934"/>
          <cell r="G1934">
            <v>1.8800000000000001E-2</v>
          </cell>
          <cell r="H1934"/>
          <cell r="I1934"/>
          <cell r="J1934"/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>
            <v>1.6000000000000001E-3</v>
          </cell>
        </row>
        <row r="1935">
          <cell r="A1935" t="str">
            <v>51721-B0002406AALF</v>
          </cell>
          <cell r="B1935"/>
          <cell r="C1935"/>
          <cell r="D1935"/>
          <cell r="E1935"/>
          <cell r="F1935"/>
          <cell r="G1935">
            <v>2.1700000000000001E-2</v>
          </cell>
          <cell r="H1935"/>
          <cell r="I1935"/>
          <cell r="J1935"/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>
            <v>1.9E-3</v>
          </cell>
        </row>
        <row r="1936">
          <cell r="A1936" t="str">
            <v>51722-10103600AALF</v>
          </cell>
          <cell r="B1936"/>
          <cell r="C1936"/>
          <cell r="D1936"/>
          <cell r="E1936"/>
          <cell r="F1936"/>
          <cell r="G1936">
            <v>2.6200000000000001E-2</v>
          </cell>
          <cell r="H1936"/>
          <cell r="I1936"/>
          <cell r="J1936"/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>
            <v>1.6000000000000001E-3</v>
          </cell>
        </row>
        <row r="1937">
          <cell r="A1937" t="str">
            <v>51722-10200400AALF</v>
          </cell>
          <cell r="B1937"/>
          <cell r="C1937"/>
          <cell r="D1937"/>
          <cell r="E1937"/>
          <cell r="F1937"/>
          <cell r="G1937">
            <v>2.8000000000000001E-2</v>
          </cell>
          <cell r="H1937"/>
          <cell r="I1937"/>
          <cell r="J1937"/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>
            <v>2E-3</v>
          </cell>
        </row>
        <row r="1938">
          <cell r="A1938" t="str">
            <v>51722-10200800AALF</v>
          </cell>
          <cell r="B1938"/>
          <cell r="C1938"/>
          <cell r="D1938"/>
          <cell r="E1938"/>
          <cell r="F1938"/>
          <cell r="G1938">
            <v>2.8000000000000001E-2</v>
          </cell>
          <cell r="H1938"/>
          <cell r="I1938"/>
          <cell r="J1938"/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>
            <v>2E-3</v>
          </cell>
        </row>
        <row r="1939">
          <cell r="A1939" t="str">
            <v>51722-10201200AALF</v>
          </cell>
          <cell r="B1939"/>
          <cell r="C1939"/>
          <cell r="D1939"/>
          <cell r="E1939"/>
          <cell r="F1939"/>
          <cell r="G1939">
            <v>2.8000000000000001E-2</v>
          </cell>
          <cell r="H1939"/>
          <cell r="I1939"/>
          <cell r="J1939"/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>
            <v>2E-3</v>
          </cell>
        </row>
        <row r="1940">
          <cell r="A1940" t="str">
            <v>51722-10201200ABLF</v>
          </cell>
          <cell r="B1940"/>
          <cell r="C1940"/>
          <cell r="D1940"/>
          <cell r="E1940"/>
          <cell r="F1940"/>
          <cell r="G1940">
            <v>8.1084390000000003E-3</v>
          </cell>
          <cell r="H1940"/>
          <cell r="I1940"/>
          <cell r="J1940"/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>
            <v>1.9E-3</v>
          </cell>
        </row>
        <row r="1941">
          <cell r="A1941" t="str">
            <v>51722-10201600AALF</v>
          </cell>
          <cell r="B1941"/>
          <cell r="C1941"/>
          <cell r="D1941"/>
          <cell r="E1941"/>
          <cell r="F1941"/>
          <cell r="G1941">
            <v>1.6E-2</v>
          </cell>
          <cell r="H1941"/>
          <cell r="I1941"/>
          <cell r="J1941"/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>
            <v>3.0000000000000001E-3</v>
          </cell>
        </row>
        <row r="1942">
          <cell r="A1942" t="str">
            <v>51722-10202000AALF</v>
          </cell>
          <cell r="B1942"/>
          <cell r="C1942"/>
          <cell r="D1942"/>
          <cell r="E1942"/>
          <cell r="F1942"/>
          <cell r="G1942">
            <v>2.8000000000000001E-2</v>
          </cell>
          <cell r="H1942"/>
          <cell r="I1942"/>
          <cell r="J1942"/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>
            <v>4.0000000000000001E-3</v>
          </cell>
        </row>
        <row r="1943">
          <cell r="A1943" t="str">
            <v>51722-10202000ABLF</v>
          </cell>
          <cell r="B1943"/>
          <cell r="C1943"/>
          <cell r="D1943"/>
          <cell r="E1943"/>
          <cell r="F1943"/>
          <cell r="G1943">
            <v>2.1000000000000001E-2</v>
          </cell>
          <cell r="H1943"/>
          <cell r="I1943"/>
          <cell r="J1943"/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>
            <v>4.0000000000000001E-3</v>
          </cell>
        </row>
        <row r="1944">
          <cell r="A1944" t="str">
            <v>51722-10202400AALF</v>
          </cell>
          <cell r="B1944"/>
          <cell r="C1944"/>
          <cell r="D1944"/>
          <cell r="E1944"/>
          <cell r="F1944"/>
          <cell r="G1944">
            <v>2.6200000000000001E-2</v>
          </cell>
          <cell r="H1944"/>
          <cell r="I1944"/>
          <cell r="J1944"/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>
            <v>1.6000000000000001E-3</v>
          </cell>
        </row>
        <row r="1945">
          <cell r="A1945" t="str">
            <v>51722-10203200AALF</v>
          </cell>
          <cell r="B1945"/>
          <cell r="C1945"/>
          <cell r="D1945"/>
          <cell r="E1945"/>
          <cell r="F1945"/>
          <cell r="G1945">
            <v>2.8000000000000001E-2</v>
          </cell>
          <cell r="H1945"/>
          <cell r="I1945"/>
          <cell r="J1945"/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>
            <v>2E-3</v>
          </cell>
        </row>
        <row r="1946">
          <cell r="A1946" t="str">
            <v>51722-10203600AALF</v>
          </cell>
          <cell r="B1946"/>
          <cell r="C1946"/>
          <cell r="D1946"/>
          <cell r="E1946"/>
          <cell r="F1946"/>
          <cell r="G1946">
            <v>4.3999999999999997E-2</v>
          </cell>
          <cell r="H1946"/>
          <cell r="I1946"/>
          <cell r="J1946"/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>
            <v>2E-3</v>
          </cell>
        </row>
        <row r="1947">
          <cell r="A1947" t="str">
            <v>51722-10204000AALF</v>
          </cell>
          <cell r="B1947"/>
          <cell r="C1947"/>
          <cell r="D1947"/>
          <cell r="E1947"/>
          <cell r="F1947"/>
          <cell r="G1947">
            <v>2.8000000000000001E-2</v>
          </cell>
          <cell r="H1947"/>
          <cell r="I1947"/>
          <cell r="J1947"/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>
            <v>2E-3</v>
          </cell>
        </row>
        <row r="1948">
          <cell r="A1948" t="str">
            <v>51722-10204800AALF</v>
          </cell>
          <cell r="B1948"/>
          <cell r="C1948"/>
          <cell r="D1948"/>
          <cell r="E1948"/>
          <cell r="F1948"/>
          <cell r="G1948">
            <v>3.1E-2</v>
          </cell>
          <cell r="H1948"/>
          <cell r="I1948"/>
          <cell r="J1948"/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>
            <v>2E-3</v>
          </cell>
        </row>
        <row r="1949">
          <cell r="A1949" t="str">
            <v>51722-10207600AALF</v>
          </cell>
          <cell r="B1949"/>
          <cell r="C1949"/>
          <cell r="D1949"/>
          <cell r="E1949"/>
          <cell r="F1949"/>
          <cell r="G1949">
            <v>2.81E-2</v>
          </cell>
          <cell r="H1949"/>
          <cell r="I1949"/>
          <cell r="J1949"/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>
            <v>1.9E-3</v>
          </cell>
        </row>
        <row r="1950">
          <cell r="A1950" t="str">
            <v>51722-10214400ABLF</v>
          </cell>
          <cell r="B1950"/>
          <cell r="C1950"/>
          <cell r="D1950"/>
          <cell r="E1950"/>
          <cell r="F1950"/>
          <cell r="G1950">
            <v>0.04</v>
          </cell>
          <cell r="H1950"/>
          <cell r="I1950"/>
          <cell r="J1950"/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>
            <v>2E-3</v>
          </cell>
        </row>
        <row r="1951">
          <cell r="A1951" t="str">
            <v>51722-10301600AALF</v>
          </cell>
          <cell r="B1951"/>
          <cell r="C1951"/>
          <cell r="D1951"/>
          <cell r="E1951"/>
          <cell r="F1951"/>
          <cell r="G1951">
            <v>2.8000000000000001E-2</v>
          </cell>
          <cell r="H1951"/>
          <cell r="I1951"/>
          <cell r="J1951"/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>
            <v>2E-3</v>
          </cell>
        </row>
        <row r="1952">
          <cell r="A1952" t="str">
            <v>51722-10302000AALF</v>
          </cell>
          <cell r="B1952"/>
          <cell r="C1952"/>
          <cell r="D1952"/>
          <cell r="E1952"/>
          <cell r="F1952"/>
          <cell r="G1952">
            <v>2.8000000000000001E-2</v>
          </cell>
          <cell r="H1952"/>
          <cell r="I1952"/>
          <cell r="J1952"/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>
            <v>2E-3</v>
          </cell>
        </row>
        <row r="1953">
          <cell r="A1953" t="str">
            <v>51722-10302400AALF</v>
          </cell>
          <cell r="B1953"/>
          <cell r="C1953"/>
          <cell r="D1953"/>
          <cell r="E1953"/>
          <cell r="F1953"/>
          <cell r="G1953">
            <v>2.6200000000000001E-2</v>
          </cell>
          <cell r="H1953"/>
          <cell r="I1953"/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>
            <v>1.6000000000000001E-3</v>
          </cell>
        </row>
        <row r="1954">
          <cell r="A1954" t="str">
            <v>51722-10303200AALF</v>
          </cell>
          <cell r="B1954"/>
          <cell r="C1954"/>
          <cell r="D1954"/>
          <cell r="E1954"/>
          <cell r="F1954"/>
          <cell r="G1954">
            <v>2.6200000000000001E-2</v>
          </cell>
          <cell r="H1954"/>
          <cell r="I1954"/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>
            <v>1.6000000000000001E-3</v>
          </cell>
        </row>
        <row r="1955">
          <cell r="A1955" t="str">
            <v>51722-10400800AALF</v>
          </cell>
          <cell r="B1955"/>
          <cell r="C1955"/>
          <cell r="D1955"/>
          <cell r="E1955"/>
          <cell r="F1955"/>
          <cell r="G1955">
            <v>2.6100000000000002E-2</v>
          </cell>
          <cell r="H1955"/>
          <cell r="I1955"/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>
            <v>2E-3</v>
          </cell>
        </row>
        <row r="1956">
          <cell r="A1956" t="str">
            <v>51722-10400800ABLF</v>
          </cell>
          <cell r="B1956"/>
          <cell r="C1956"/>
          <cell r="D1956"/>
          <cell r="E1956"/>
          <cell r="F1956"/>
          <cell r="G1956">
            <v>2.7E-2</v>
          </cell>
          <cell r="H1956"/>
          <cell r="I1956"/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>
            <v>2E-3</v>
          </cell>
        </row>
        <row r="1957">
          <cell r="A1957" t="str">
            <v>51722-10401200AALF</v>
          </cell>
          <cell r="B1957"/>
          <cell r="C1957"/>
          <cell r="D1957"/>
          <cell r="E1957"/>
          <cell r="F1957"/>
          <cell r="G1957">
            <v>2.8400000000000002E-2</v>
          </cell>
          <cell r="H1957"/>
          <cell r="I1957"/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>
            <v>2E-3</v>
          </cell>
        </row>
        <row r="1958">
          <cell r="A1958" t="str">
            <v>51722-10401200ABLF</v>
          </cell>
          <cell r="B1958"/>
          <cell r="C1958"/>
          <cell r="D1958"/>
          <cell r="E1958"/>
          <cell r="F1958"/>
          <cell r="G1958">
            <v>2.52E-2</v>
          </cell>
          <cell r="H1958"/>
          <cell r="I1958"/>
          <cell r="J1958"/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>
            <v>1.6000000000000001E-3</v>
          </cell>
        </row>
        <row r="1959">
          <cell r="A1959" t="str">
            <v>51722-10401600AALF</v>
          </cell>
          <cell r="B1959"/>
          <cell r="C1959"/>
          <cell r="D1959"/>
          <cell r="E1959"/>
          <cell r="F1959"/>
          <cell r="G1959">
            <v>2.7099999999999999E-2</v>
          </cell>
          <cell r="H1959"/>
          <cell r="I1959"/>
          <cell r="J1959"/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>
            <v>1.6000000000000001E-3</v>
          </cell>
        </row>
        <row r="1960">
          <cell r="A1960" t="str">
            <v>51722-10402000AALF</v>
          </cell>
          <cell r="B1960"/>
          <cell r="C1960"/>
          <cell r="D1960"/>
          <cell r="E1960"/>
          <cell r="F1960"/>
          <cell r="G1960">
            <v>2.9000000000000001E-2</v>
          </cell>
          <cell r="H1960"/>
          <cell r="I1960"/>
          <cell r="J1960"/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>
            <v>2E-3</v>
          </cell>
        </row>
        <row r="1961">
          <cell r="A1961" t="str">
            <v>51722-10402400AALF</v>
          </cell>
          <cell r="B1961"/>
          <cell r="C1961"/>
          <cell r="D1961"/>
          <cell r="E1961"/>
          <cell r="F1961"/>
          <cell r="G1961">
            <v>2.0157999999999999E-2</v>
          </cell>
          <cell r="H1961"/>
          <cell r="I1961"/>
          <cell r="J1961"/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>
            <v>1.6000000000000001E-3</v>
          </cell>
        </row>
        <row r="1962">
          <cell r="A1962" t="str">
            <v>51722-10402400ABLF</v>
          </cell>
          <cell r="B1962"/>
          <cell r="C1962"/>
          <cell r="D1962"/>
          <cell r="E1962"/>
          <cell r="F1962"/>
          <cell r="G1962">
            <v>2.0925414E-2</v>
          </cell>
          <cell r="H1962"/>
          <cell r="I1962"/>
          <cell r="J1962"/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>
            <v>1.9E-3</v>
          </cell>
        </row>
        <row r="1963">
          <cell r="A1963" t="str">
            <v>51722-10403200AALF</v>
          </cell>
          <cell r="B1963"/>
          <cell r="C1963"/>
          <cell r="D1963"/>
          <cell r="E1963"/>
          <cell r="F1963"/>
          <cell r="G1963">
            <v>2.9000000000000001E-2</v>
          </cell>
          <cell r="H1963"/>
          <cell r="I1963"/>
          <cell r="J1963"/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>
            <v>2E-3</v>
          </cell>
        </row>
        <row r="1964">
          <cell r="A1964" t="str">
            <v>51722-10404800AALF</v>
          </cell>
          <cell r="B1964"/>
          <cell r="C1964"/>
          <cell r="D1964"/>
          <cell r="E1964"/>
          <cell r="F1964"/>
          <cell r="G1964">
            <v>2.9000000000000001E-2</v>
          </cell>
          <cell r="H1964"/>
          <cell r="I1964"/>
          <cell r="J1964"/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>
            <v>2E-3</v>
          </cell>
        </row>
        <row r="1965">
          <cell r="A1965" t="str">
            <v>51722-10406000AALF</v>
          </cell>
          <cell r="B1965"/>
          <cell r="C1965"/>
          <cell r="D1965"/>
          <cell r="E1965"/>
          <cell r="F1965"/>
          <cell r="G1965">
            <v>2.7099999999999999E-2</v>
          </cell>
          <cell r="H1965"/>
          <cell r="I1965"/>
          <cell r="J1965"/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>
            <v>1.6000000000000001E-3</v>
          </cell>
        </row>
        <row r="1966">
          <cell r="A1966" t="str">
            <v>51722-10412000AALF</v>
          </cell>
          <cell r="B1966"/>
          <cell r="C1966"/>
          <cell r="D1966"/>
          <cell r="E1966"/>
          <cell r="F1966"/>
          <cell r="G1966">
            <v>3.5000000000000003E-2</v>
          </cell>
          <cell r="H1966"/>
          <cell r="I1966"/>
          <cell r="J1966"/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>
            <v>2E-3</v>
          </cell>
        </row>
        <row r="1967">
          <cell r="A1967" t="str">
            <v>51722-10500800AALF</v>
          </cell>
          <cell r="B1967"/>
          <cell r="C1967"/>
          <cell r="D1967"/>
          <cell r="E1967"/>
          <cell r="F1967"/>
          <cell r="G1967">
            <v>3.5999999999999997E-2</v>
          </cell>
          <cell r="H1967"/>
          <cell r="I1967"/>
          <cell r="J1967"/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>
            <v>2E-3</v>
          </cell>
        </row>
        <row r="1968">
          <cell r="A1968" t="str">
            <v>51722-10501600AALF</v>
          </cell>
          <cell r="B1968"/>
          <cell r="C1968"/>
          <cell r="D1968"/>
          <cell r="E1968"/>
          <cell r="F1968"/>
          <cell r="G1968">
            <v>3.5999999999999997E-2</v>
          </cell>
          <cell r="H1968"/>
          <cell r="I1968"/>
          <cell r="J1968"/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>
            <v>2E-3</v>
          </cell>
        </row>
        <row r="1969">
          <cell r="A1969" t="str">
            <v>51722-10502400AALF</v>
          </cell>
          <cell r="B1969"/>
          <cell r="C1969"/>
          <cell r="D1969"/>
          <cell r="E1969"/>
          <cell r="F1969"/>
          <cell r="G1969">
            <v>3.3700000000000001E-2</v>
          </cell>
          <cell r="H1969"/>
          <cell r="I1969"/>
          <cell r="J1969"/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>
            <v>1.6000000000000001E-3</v>
          </cell>
        </row>
        <row r="1970">
          <cell r="A1970" t="str">
            <v>51722-10600800AALF</v>
          </cell>
          <cell r="B1970"/>
          <cell r="C1970"/>
          <cell r="D1970"/>
          <cell r="E1970"/>
          <cell r="F1970"/>
          <cell r="G1970">
            <v>2.9000000000000001E-2</v>
          </cell>
          <cell r="H1970"/>
          <cell r="I1970"/>
          <cell r="J1970"/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>
            <v>1.6000000000000001E-3</v>
          </cell>
        </row>
        <row r="1971">
          <cell r="A1971" t="str">
            <v>51722-10601200AALF</v>
          </cell>
          <cell r="B1971"/>
          <cell r="C1971"/>
          <cell r="D1971"/>
          <cell r="E1971"/>
          <cell r="F1971"/>
          <cell r="G1971">
            <v>3.1E-2</v>
          </cell>
          <cell r="H1971"/>
          <cell r="I1971"/>
          <cell r="J1971"/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>
            <v>2E-3</v>
          </cell>
        </row>
        <row r="1972">
          <cell r="A1972" t="str">
            <v>51722-10601600AALF</v>
          </cell>
          <cell r="B1972"/>
          <cell r="C1972"/>
          <cell r="D1972"/>
          <cell r="E1972"/>
          <cell r="F1972"/>
          <cell r="G1972">
            <v>1.3100000000000001E-2</v>
          </cell>
          <cell r="H1972"/>
          <cell r="I1972"/>
          <cell r="J1972"/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>
            <v>1.6000000000000001E-3</v>
          </cell>
        </row>
        <row r="1973">
          <cell r="A1973" t="str">
            <v>51722-10601600ABLF</v>
          </cell>
          <cell r="B1973"/>
          <cell r="C1973"/>
          <cell r="D1973"/>
          <cell r="E1973"/>
          <cell r="F1973"/>
          <cell r="G1973">
            <v>2.7099999999999999E-2</v>
          </cell>
          <cell r="H1973"/>
          <cell r="I1973"/>
          <cell r="J1973"/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>
            <v>1.6000000000000001E-3</v>
          </cell>
        </row>
        <row r="1974">
          <cell r="A1974" t="str">
            <v>51722-10602000AALF</v>
          </cell>
          <cell r="B1974"/>
          <cell r="C1974"/>
          <cell r="D1974"/>
          <cell r="E1974"/>
          <cell r="F1974"/>
          <cell r="G1974">
            <v>2.1876224E-2</v>
          </cell>
          <cell r="H1974"/>
          <cell r="I1974"/>
          <cell r="J1974"/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>
            <v>1.9E-3</v>
          </cell>
        </row>
        <row r="1975">
          <cell r="A1975" t="str">
            <v>51722-10602000ABLF</v>
          </cell>
          <cell r="B1975"/>
          <cell r="C1975"/>
          <cell r="D1975"/>
          <cell r="E1975"/>
          <cell r="F1975"/>
          <cell r="G1975">
            <v>2.7099999999999999E-2</v>
          </cell>
          <cell r="H1975"/>
          <cell r="I1975"/>
          <cell r="J1975"/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>
            <v>1.9E-3</v>
          </cell>
        </row>
        <row r="1976">
          <cell r="A1976" t="str">
            <v>51722-10602400AALF</v>
          </cell>
          <cell r="B1976"/>
          <cell r="C1976"/>
          <cell r="D1976"/>
          <cell r="E1976"/>
          <cell r="F1976"/>
          <cell r="G1976">
            <v>2.9000000000000001E-2</v>
          </cell>
          <cell r="H1976"/>
          <cell r="I1976"/>
          <cell r="J1976"/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>
            <v>1.6000000000000001E-3</v>
          </cell>
        </row>
        <row r="1977">
          <cell r="A1977" t="str">
            <v>51722-10602400ABLF</v>
          </cell>
          <cell r="B1977"/>
          <cell r="C1977"/>
          <cell r="D1977"/>
          <cell r="E1977"/>
          <cell r="F1977"/>
          <cell r="G1977">
            <v>2.9000000000000001E-2</v>
          </cell>
          <cell r="H1977"/>
          <cell r="I1977"/>
          <cell r="J1977"/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>
            <v>2E-3</v>
          </cell>
        </row>
        <row r="1978">
          <cell r="A1978" t="str">
            <v>51722-10603200AALF</v>
          </cell>
          <cell r="B1978"/>
          <cell r="C1978"/>
          <cell r="D1978"/>
          <cell r="E1978"/>
          <cell r="F1978"/>
          <cell r="G1978">
            <v>3.1E-2</v>
          </cell>
          <cell r="H1978"/>
          <cell r="I1978"/>
          <cell r="J1978"/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>
            <v>2E-3</v>
          </cell>
        </row>
        <row r="1979">
          <cell r="A1979" t="str">
            <v>51722-10603600AALF</v>
          </cell>
          <cell r="B1979"/>
          <cell r="C1979"/>
          <cell r="D1979"/>
          <cell r="E1979"/>
          <cell r="F1979"/>
          <cell r="G1979">
            <v>2.9000000000000001E-2</v>
          </cell>
          <cell r="H1979"/>
          <cell r="I1979"/>
          <cell r="J1979"/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>
            <v>1.9E-3</v>
          </cell>
        </row>
        <row r="1980">
          <cell r="A1980" t="str">
            <v>51722-10604000AALF</v>
          </cell>
          <cell r="B1980"/>
          <cell r="C1980"/>
          <cell r="D1980"/>
          <cell r="E1980"/>
          <cell r="F1980"/>
          <cell r="G1980">
            <v>3.1E-2</v>
          </cell>
          <cell r="H1980"/>
          <cell r="I1980"/>
          <cell r="J1980"/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>
            <v>2E-3</v>
          </cell>
        </row>
        <row r="1981">
          <cell r="A1981" t="str">
            <v>51722-10606000AALF</v>
          </cell>
          <cell r="B1981"/>
          <cell r="C1981"/>
          <cell r="D1981"/>
          <cell r="E1981"/>
          <cell r="F1981"/>
          <cell r="G1981">
            <v>3.6999999999999998E-2</v>
          </cell>
          <cell r="H1981"/>
          <cell r="I1981"/>
          <cell r="J1981"/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>
            <v>2E-3</v>
          </cell>
        </row>
        <row r="1982">
          <cell r="A1982" t="str">
            <v>51722-10610400AALF</v>
          </cell>
          <cell r="B1982"/>
          <cell r="C1982"/>
          <cell r="D1982"/>
          <cell r="E1982"/>
          <cell r="F1982"/>
          <cell r="G1982">
            <v>3.6999999999999998E-2</v>
          </cell>
          <cell r="H1982"/>
          <cell r="I1982"/>
          <cell r="J1982"/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>
            <v>2E-3</v>
          </cell>
        </row>
        <row r="1983">
          <cell r="A1983" t="str">
            <v>51722-10701600ABLF</v>
          </cell>
          <cell r="B1983"/>
          <cell r="C1983"/>
          <cell r="D1983"/>
          <cell r="E1983"/>
          <cell r="F1983"/>
          <cell r="G1983">
            <v>3.1800000000000002E-2</v>
          </cell>
          <cell r="H1983"/>
          <cell r="I1983"/>
          <cell r="J1983"/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>
            <v>1.9E-3</v>
          </cell>
        </row>
        <row r="1984">
          <cell r="A1984" t="str">
            <v>51722-10702400AALF</v>
          </cell>
          <cell r="B1984"/>
          <cell r="C1984"/>
          <cell r="D1984"/>
          <cell r="E1984"/>
          <cell r="F1984"/>
          <cell r="G1984">
            <v>3.3700000000000001E-2</v>
          </cell>
          <cell r="H1984"/>
          <cell r="I1984"/>
          <cell r="J1984"/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>
            <v>1.9E-3</v>
          </cell>
        </row>
        <row r="1985">
          <cell r="A1985" t="str">
            <v>51722-10702400ABLF</v>
          </cell>
          <cell r="B1985"/>
          <cell r="C1985"/>
          <cell r="D1985"/>
          <cell r="E1985"/>
          <cell r="F1985"/>
          <cell r="G1985">
            <v>3.4000000000000002E-2</v>
          </cell>
          <cell r="H1985"/>
          <cell r="I1985"/>
          <cell r="J1985"/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>
            <v>2E-3</v>
          </cell>
        </row>
        <row r="1986">
          <cell r="A1986" t="str">
            <v>51722-10704000AALF</v>
          </cell>
          <cell r="B1986"/>
          <cell r="C1986"/>
          <cell r="D1986"/>
          <cell r="E1986"/>
          <cell r="F1986"/>
          <cell r="G1986">
            <v>3.5999999999999997E-2</v>
          </cell>
          <cell r="H1986"/>
          <cell r="I1986"/>
          <cell r="J1986"/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>
            <v>2E-3</v>
          </cell>
        </row>
        <row r="1987">
          <cell r="A1987" t="str">
            <v>51722-10704000ABLF</v>
          </cell>
          <cell r="B1987"/>
          <cell r="C1987"/>
          <cell r="D1987"/>
          <cell r="E1987"/>
          <cell r="F1987"/>
          <cell r="G1987">
            <v>3.4000000000000002E-2</v>
          </cell>
          <cell r="H1987"/>
          <cell r="I1987"/>
          <cell r="J1987"/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>
            <v>2E-3</v>
          </cell>
        </row>
        <row r="1988">
          <cell r="A1988" t="str">
            <v>51722-10800800AALF</v>
          </cell>
          <cell r="B1988"/>
          <cell r="C1988"/>
          <cell r="D1988"/>
          <cell r="E1988"/>
          <cell r="F1988"/>
          <cell r="G1988">
            <v>0.05</v>
          </cell>
          <cell r="H1988"/>
          <cell r="I1988"/>
          <cell r="J1988"/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>
            <v>2E-3</v>
          </cell>
        </row>
        <row r="1989">
          <cell r="A1989" t="str">
            <v>51722-10800800ABLF</v>
          </cell>
          <cell r="B1989"/>
          <cell r="C1989"/>
          <cell r="D1989"/>
          <cell r="E1989"/>
          <cell r="F1989"/>
          <cell r="G1989">
            <v>3.1E-2</v>
          </cell>
          <cell r="H1989"/>
          <cell r="I1989"/>
          <cell r="J1989"/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>
            <v>2E-3</v>
          </cell>
        </row>
        <row r="1990">
          <cell r="A1990" t="str">
            <v>51722-10801200ABLF</v>
          </cell>
          <cell r="B1990"/>
          <cell r="C1990"/>
          <cell r="D1990"/>
          <cell r="E1990"/>
          <cell r="F1990"/>
          <cell r="G1990">
            <v>2.9000000000000001E-2</v>
          </cell>
          <cell r="H1990"/>
          <cell r="I1990"/>
          <cell r="J1990"/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>
            <v>1.6000000000000001E-3</v>
          </cell>
        </row>
        <row r="1991">
          <cell r="A1991" t="str">
            <v>51722-10801600AALF</v>
          </cell>
          <cell r="B1991"/>
          <cell r="C1991"/>
          <cell r="D1991"/>
          <cell r="E1991"/>
          <cell r="F1991"/>
          <cell r="G1991">
            <v>6.7299999999999999E-2</v>
          </cell>
          <cell r="H1991"/>
          <cell r="I1991"/>
          <cell r="J1991"/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>
            <v>1.9E-3</v>
          </cell>
        </row>
        <row r="1992">
          <cell r="A1992" t="str">
            <v>51722-10801600ABLF</v>
          </cell>
          <cell r="B1992"/>
          <cell r="C1992"/>
          <cell r="D1992"/>
          <cell r="E1992"/>
          <cell r="F1992"/>
          <cell r="G1992">
            <v>3.1E-2</v>
          </cell>
          <cell r="H1992"/>
          <cell r="I1992"/>
          <cell r="J1992"/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>
            <v>2E-3</v>
          </cell>
        </row>
        <row r="1993">
          <cell r="A1993" t="str">
            <v>51722-10802400AALF</v>
          </cell>
          <cell r="B1993"/>
          <cell r="C1993"/>
          <cell r="D1993"/>
          <cell r="E1993"/>
          <cell r="F1993"/>
          <cell r="G1993">
            <v>3.2000000000000001E-2</v>
          </cell>
          <cell r="H1993"/>
          <cell r="I1993"/>
          <cell r="J1993"/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>
            <v>1.6000000000000001E-3</v>
          </cell>
        </row>
        <row r="1994">
          <cell r="A1994" t="str">
            <v>51722-10802400ABLF</v>
          </cell>
          <cell r="B1994"/>
          <cell r="C1994"/>
          <cell r="D1994"/>
          <cell r="E1994"/>
          <cell r="F1994"/>
          <cell r="G1994">
            <v>2.9000000000000001E-2</v>
          </cell>
          <cell r="H1994"/>
          <cell r="I1994"/>
          <cell r="J1994"/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>
            <v>1.9E-3</v>
          </cell>
        </row>
        <row r="1995">
          <cell r="A1995" t="str">
            <v>51722-10802400DBLF</v>
          </cell>
          <cell r="B1995"/>
          <cell r="C1995"/>
          <cell r="D1995"/>
          <cell r="E1995"/>
          <cell r="F1995"/>
          <cell r="G1995">
            <v>3.1E-2</v>
          </cell>
          <cell r="H1995"/>
          <cell r="I1995"/>
          <cell r="J1995"/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>
            <v>2E-3</v>
          </cell>
        </row>
        <row r="1996">
          <cell r="A1996" t="str">
            <v>51722-10802800ABLF</v>
          </cell>
          <cell r="B1996"/>
          <cell r="C1996"/>
          <cell r="D1996"/>
          <cell r="E1996"/>
          <cell r="F1996"/>
          <cell r="G1996">
            <v>3.1E-2</v>
          </cell>
          <cell r="H1996"/>
          <cell r="I1996"/>
          <cell r="J1996"/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>
            <v>2E-3</v>
          </cell>
        </row>
        <row r="1997">
          <cell r="A1997" t="str">
            <v>51722-10901200ABLF</v>
          </cell>
          <cell r="B1997"/>
          <cell r="C1997"/>
          <cell r="D1997"/>
          <cell r="E1997"/>
          <cell r="F1997"/>
          <cell r="G1997">
            <v>2.9000000000000001E-2</v>
          </cell>
          <cell r="H1997"/>
          <cell r="I1997"/>
          <cell r="J1997"/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>
            <v>6.0000000000000001E-3</v>
          </cell>
        </row>
        <row r="1998">
          <cell r="A1998" t="str">
            <v>51722-10901600AALF</v>
          </cell>
          <cell r="B1998"/>
          <cell r="C1998"/>
          <cell r="D1998"/>
          <cell r="E1998"/>
          <cell r="F1998"/>
          <cell r="G1998">
            <v>2.64E-2</v>
          </cell>
          <cell r="H1998"/>
          <cell r="I1998"/>
          <cell r="J1998"/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>
            <v>1.6000000000000001E-3</v>
          </cell>
        </row>
        <row r="1999">
          <cell r="A1999" t="str">
            <v>51722-10902000ABLF</v>
          </cell>
          <cell r="B1999"/>
          <cell r="C1999"/>
          <cell r="D1999"/>
          <cell r="E1999"/>
          <cell r="F1999"/>
          <cell r="G1999">
            <v>3.5000000000000003E-2</v>
          </cell>
          <cell r="H1999"/>
          <cell r="I1999"/>
          <cell r="J1999"/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>
            <v>2E-3</v>
          </cell>
        </row>
        <row r="2000">
          <cell r="A2000" t="str">
            <v>51722-10902400AALF</v>
          </cell>
          <cell r="B2000"/>
          <cell r="C2000"/>
          <cell r="D2000"/>
          <cell r="E2000"/>
          <cell r="F2000"/>
          <cell r="G2000">
            <v>3.6999999999999998E-2</v>
          </cell>
          <cell r="H2000"/>
          <cell r="I2000"/>
          <cell r="J2000"/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>
            <v>2E-3</v>
          </cell>
        </row>
        <row r="2001">
          <cell r="A2001" t="str">
            <v>51722-11000800ABLF</v>
          </cell>
          <cell r="B2001"/>
          <cell r="C2001"/>
          <cell r="D2001"/>
          <cell r="E2001"/>
          <cell r="F2001"/>
          <cell r="G2001">
            <v>3.56E-2</v>
          </cell>
          <cell r="H2001"/>
          <cell r="I2001"/>
          <cell r="J2001"/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>
            <v>2E-3</v>
          </cell>
        </row>
        <row r="2002">
          <cell r="A2002" t="str">
            <v>51722-11001600AALF</v>
          </cell>
          <cell r="B2002"/>
          <cell r="C2002"/>
          <cell r="D2002"/>
          <cell r="E2002"/>
          <cell r="F2002"/>
          <cell r="G2002">
            <v>5.8900000000000001E-2</v>
          </cell>
          <cell r="H2002"/>
          <cell r="I2002"/>
          <cell r="J2002"/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>
            <v>1.9E-3</v>
          </cell>
        </row>
        <row r="2003">
          <cell r="A2003" t="str">
            <v>51722-11001600ABLF</v>
          </cell>
          <cell r="B2003"/>
          <cell r="C2003"/>
          <cell r="D2003"/>
          <cell r="E2003"/>
          <cell r="F2003"/>
          <cell r="G2003">
            <v>6.5500000000000003E-2</v>
          </cell>
          <cell r="H2003"/>
          <cell r="I2003"/>
          <cell r="J2003"/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>
            <v>1.9E-3</v>
          </cell>
        </row>
        <row r="2004">
          <cell r="A2004" t="str">
            <v>51722-11002000ABLF</v>
          </cell>
          <cell r="B2004"/>
          <cell r="C2004"/>
          <cell r="D2004"/>
          <cell r="E2004"/>
          <cell r="F2004"/>
          <cell r="G2004">
            <v>3.9E-2</v>
          </cell>
          <cell r="H2004"/>
          <cell r="I2004"/>
          <cell r="J2004"/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>
            <v>1.9E-3</v>
          </cell>
        </row>
        <row r="2005">
          <cell r="A2005" t="str">
            <v>51722-11002400AALF</v>
          </cell>
          <cell r="B2005"/>
          <cell r="C2005"/>
          <cell r="D2005"/>
          <cell r="E2005"/>
          <cell r="F2005"/>
          <cell r="G2005">
            <v>3.9300000000000002E-2</v>
          </cell>
          <cell r="H2005"/>
          <cell r="I2005"/>
          <cell r="J2005"/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>
            <v>1.9E-3</v>
          </cell>
        </row>
        <row r="2006">
          <cell r="A2006" t="str">
            <v>51722-11002400ABLF</v>
          </cell>
          <cell r="B2006"/>
          <cell r="C2006"/>
          <cell r="D2006"/>
          <cell r="E2006"/>
          <cell r="F2006"/>
          <cell r="G2006">
            <v>3.6499999999999998E-2</v>
          </cell>
          <cell r="H2006"/>
          <cell r="I2006"/>
          <cell r="J2006"/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>
            <v>2.0999999999999999E-3</v>
          </cell>
        </row>
        <row r="2007">
          <cell r="A2007" t="str">
            <v>51722-11002800AALF</v>
          </cell>
          <cell r="B2007"/>
          <cell r="C2007"/>
          <cell r="D2007"/>
          <cell r="E2007"/>
          <cell r="F2007"/>
          <cell r="G2007">
            <v>4.2000000000000003E-2</v>
          </cell>
          <cell r="H2007"/>
          <cell r="I2007"/>
          <cell r="J2007"/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>
            <v>2E-3</v>
          </cell>
        </row>
        <row r="2008">
          <cell r="A2008" t="str">
            <v>51722-11002800ABLF</v>
          </cell>
          <cell r="B2008"/>
          <cell r="C2008"/>
          <cell r="D2008"/>
          <cell r="E2008"/>
          <cell r="F2008"/>
          <cell r="G2008">
            <v>3.9E-2</v>
          </cell>
          <cell r="H2008"/>
          <cell r="I2008"/>
          <cell r="J2008"/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>
            <v>2E-3</v>
          </cell>
        </row>
        <row r="2009">
          <cell r="A2009" t="str">
            <v>51722-11102400AALF</v>
          </cell>
          <cell r="B2009"/>
          <cell r="C2009"/>
          <cell r="D2009"/>
          <cell r="E2009"/>
          <cell r="F2009"/>
          <cell r="G2009">
            <v>3.6499999999999998E-2</v>
          </cell>
          <cell r="H2009"/>
          <cell r="I2009"/>
          <cell r="J2009"/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>
            <v>1.9E-3</v>
          </cell>
        </row>
        <row r="2010">
          <cell r="A2010" t="str">
            <v>51722-11103200AALF</v>
          </cell>
          <cell r="B2010"/>
          <cell r="C2010"/>
          <cell r="D2010"/>
          <cell r="E2010"/>
          <cell r="F2010"/>
          <cell r="G2010">
            <v>2E-3</v>
          </cell>
          <cell r="H2010"/>
          <cell r="I2010"/>
          <cell r="J2010"/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>
            <v>4.2000000000000003E-2</v>
          </cell>
        </row>
        <row r="2011">
          <cell r="A2011" t="str">
            <v>51722-11201200AALF</v>
          </cell>
          <cell r="B2011"/>
          <cell r="C2011"/>
          <cell r="D2011"/>
          <cell r="E2011"/>
          <cell r="F2011"/>
          <cell r="G2011">
            <v>4.2000000000000003E-2</v>
          </cell>
          <cell r="H2011"/>
          <cell r="I2011"/>
          <cell r="J2011"/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>
            <v>2E-3</v>
          </cell>
        </row>
        <row r="2012">
          <cell r="A2012" t="str">
            <v>51722-11202000AALF</v>
          </cell>
          <cell r="B2012"/>
          <cell r="C2012"/>
          <cell r="D2012"/>
          <cell r="E2012"/>
          <cell r="F2012"/>
          <cell r="G2012">
            <v>4.2000000000000003E-2</v>
          </cell>
          <cell r="H2012"/>
          <cell r="I2012"/>
          <cell r="J2012"/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>
            <v>2E-3</v>
          </cell>
        </row>
        <row r="2013">
          <cell r="A2013" t="str">
            <v>51722-11202000ABLF</v>
          </cell>
          <cell r="B2013"/>
          <cell r="C2013"/>
          <cell r="D2013"/>
          <cell r="E2013"/>
          <cell r="F2013"/>
          <cell r="G2013">
            <v>3.9E-2</v>
          </cell>
          <cell r="H2013"/>
          <cell r="I2013"/>
          <cell r="J2013"/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>
            <v>2E-3</v>
          </cell>
        </row>
        <row r="2014">
          <cell r="A2014" t="str">
            <v>51722-11202400AALF</v>
          </cell>
          <cell r="B2014"/>
          <cell r="C2014"/>
          <cell r="D2014"/>
          <cell r="E2014"/>
          <cell r="F2014"/>
          <cell r="G2014">
            <v>4.2000000000000003E-2</v>
          </cell>
          <cell r="H2014"/>
          <cell r="I2014"/>
          <cell r="J2014"/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>
            <v>2E-3</v>
          </cell>
        </row>
        <row r="2015">
          <cell r="A2015" t="str">
            <v>51722-11202400ABLF</v>
          </cell>
          <cell r="B2015"/>
          <cell r="C2015"/>
          <cell r="D2015"/>
          <cell r="E2015"/>
          <cell r="F2015"/>
          <cell r="G2015">
            <v>3.9E-2</v>
          </cell>
          <cell r="H2015"/>
          <cell r="I2015"/>
          <cell r="J2015"/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>
            <v>2E-3</v>
          </cell>
        </row>
        <row r="2016">
          <cell r="A2016" t="str">
            <v>51722-11301200AALF</v>
          </cell>
          <cell r="B2016"/>
          <cell r="C2016"/>
          <cell r="D2016"/>
          <cell r="E2016"/>
          <cell r="F2016"/>
          <cell r="G2016">
            <v>4.3999999999999997E-2</v>
          </cell>
          <cell r="H2016"/>
          <cell r="I2016"/>
          <cell r="J2016"/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>
            <v>2E-3</v>
          </cell>
        </row>
        <row r="2017">
          <cell r="A2017" t="str">
            <v>51722-11401200AALF</v>
          </cell>
          <cell r="B2017"/>
          <cell r="C2017"/>
          <cell r="D2017"/>
          <cell r="E2017"/>
          <cell r="F2017"/>
          <cell r="G2017">
            <v>4.8000000000000001E-2</v>
          </cell>
          <cell r="H2017"/>
          <cell r="I2017"/>
          <cell r="J2017"/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>
            <v>2E-3</v>
          </cell>
        </row>
        <row r="2018">
          <cell r="A2018" t="str">
            <v>51722-11402400AALF</v>
          </cell>
          <cell r="B2018"/>
          <cell r="C2018"/>
          <cell r="D2018"/>
          <cell r="E2018"/>
          <cell r="F2018"/>
          <cell r="G2018">
            <v>4.8000000000000001E-2</v>
          </cell>
          <cell r="H2018"/>
          <cell r="I2018"/>
          <cell r="J2018"/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>
            <v>2E-3</v>
          </cell>
        </row>
        <row r="2019">
          <cell r="A2019" t="str">
            <v>51722-12001200AALF</v>
          </cell>
          <cell r="B2019"/>
          <cell r="C2019"/>
          <cell r="D2019"/>
          <cell r="E2019"/>
          <cell r="F2019"/>
          <cell r="G2019">
            <v>6.8000000000000005E-2</v>
          </cell>
          <cell r="H2019"/>
          <cell r="I2019"/>
          <cell r="J2019"/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>
            <v>6.0000000000000001E-3</v>
          </cell>
        </row>
        <row r="2020">
          <cell r="A2020" t="str">
            <v>51722-12002000ABLF</v>
          </cell>
          <cell r="B2020"/>
          <cell r="C2020"/>
          <cell r="D2020"/>
          <cell r="E2020"/>
          <cell r="F2020"/>
          <cell r="G2020">
            <v>5.4199999999999998E-2</v>
          </cell>
          <cell r="H2020"/>
          <cell r="I2020"/>
          <cell r="J2020"/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>
            <v>3.3E-3</v>
          </cell>
        </row>
        <row r="2021">
          <cell r="A2021" t="str">
            <v>51722-B0602400AALF</v>
          </cell>
          <cell r="B2021"/>
          <cell r="C2021"/>
          <cell r="D2021"/>
          <cell r="E2021"/>
          <cell r="F2021"/>
          <cell r="G2021">
            <v>2.9000000000000001E-2</v>
          </cell>
          <cell r="H2021"/>
          <cell r="I2021"/>
          <cell r="J2021"/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>
            <v>1.6000000000000001E-3</v>
          </cell>
        </row>
        <row r="2022">
          <cell r="A2022" t="str">
            <v>51723-10200000AALF</v>
          </cell>
          <cell r="B2022"/>
          <cell r="C2022"/>
          <cell r="D2022"/>
          <cell r="E2022"/>
          <cell r="F2022"/>
          <cell r="G2022">
            <v>1.5900000000000001E-2</v>
          </cell>
          <cell r="H2022"/>
          <cell r="I2022"/>
          <cell r="J2022"/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>
            <v>6.1000000000000004E-3</v>
          </cell>
        </row>
        <row r="2023">
          <cell r="A2023" t="str">
            <v>51723-10300000AALF</v>
          </cell>
          <cell r="B2023"/>
          <cell r="C2023"/>
          <cell r="D2023"/>
          <cell r="E2023"/>
          <cell r="F2023"/>
          <cell r="G2023">
            <v>1.5900000000000001E-2</v>
          </cell>
          <cell r="H2023"/>
          <cell r="I2023"/>
          <cell r="J2023"/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>
            <v>6.1000000000000004E-3</v>
          </cell>
        </row>
        <row r="2024">
          <cell r="A2024" t="str">
            <v>51723-10400000AALF</v>
          </cell>
          <cell r="B2024"/>
          <cell r="C2024"/>
          <cell r="D2024"/>
          <cell r="E2024"/>
          <cell r="F2024"/>
          <cell r="G2024">
            <v>1.6754393999999999E-2</v>
          </cell>
          <cell r="H2024"/>
          <cell r="I2024"/>
          <cell r="J2024"/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</row>
        <row r="2025">
          <cell r="A2025" t="str">
            <v>51723-10500000AALF</v>
          </cell>
          <cell r="B2025"/>
          <cell r="C2025"/>
          <cell r="D2025"/>
          <cell r="E2025"/>
          <cell r="F2025"/>
          <cell r="G2025">
            <v>2.5000000000000001E-2</v>
          </cell>
          <cell r="H2025"/>
          <cell r="I2025"/>
          <cell r="J2025"/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>
            <v>6.1000000000000004E-3</v>
          </cell>
        </row>
        <row r="2026">
          <cell r="A2026" t="str">
            <v>51723-10500000ABLF</v>
          </cell>
          <cell r="B2026"/>
          <cell r="C2026"/>
          <cell r="D2026"/>
          <cell r="E2026"/>
          <cell r="F2026"/>
          <cell r="G2026">
            <v>2.06E-2</v>
          </cell>
          <cell r="H2026"/>
          <cell r="I2026"/>
          <cell r="J2026"/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>
            <v>6.1000000000000004E-3</v>
          </cell>
        </row>
        <row r="2027">
          <cell r="A2027" t="str">
            <v>51723-10600000AALF</v>
          </cell>
          <cell r="B2027"/>
          <cell r="C2027"/>
          <cell r="D2027"/>
          <cell r="E2027"/>
          <cell r="F2027"/>
          <cell r="G2027">
            <v>1.9599999999999999E-2</v>
          </cell>
          <cell r="H2027"/>
          <cell r="I2027"/>
          <cell r="J2027"/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>
            <v>6.1000000000000004E-3</v>
          </cell>
        </row>
        <row r="2028">
          <cell r="A2028" t="str">
            <v>51723-10600000ABLF</v>
          </cell>
          <cell r="B2028"/>
          <cell r="C2028"/>
          <cell r="D2028"/>
          <cell r="E2028"/>
          <cell r="F2028"/>
          <cell r="G2028">
            <v>1.8700000000000001E-2</v>
          </cell>
          <cell r="H2028"/>
          <cell r="I2028"/>
          <cell r="J2028"/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>
            <v>6.1000000000000004E-3</v>
          </cell>
        </row>
        <row r="2029">
          <cell r="A2029" t="str">
            <v>51723-10700000AALF</v>
          </cell>
          <cell r="B2029"/>
          <cell r="C2029"/>
          <cell r="D2029"/>
          <cell r="E2029"/>
          <cell r="F2029"/>
          <cell r="G2029">
            <v>2.3400000000000001E-2</v>
          </cell>
          <cell r="H2029"/>
          <cell r="I2029"/>
          <cell r="J2029"/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>
            <v>6.1000000000000004E-3</v>
          </cell>
        </row>
        <row r="2030">
          <cell r="A2030" t="str">
            <v>51723-10700000ABLF</v>
          </cell>
          <cell r="B2030"/>
          <cell r="C2030"/>
          <cell r="D2030"/>
          <cell r="E2030"/>
          <cell r="F2030"/>
          <cell r="G2030">
            <v>2.1499999999999998E-2</v>
          </cell>
          <cell r="H2030"/>
          <cell r="I2030"/>
          <cell r="J2030"/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>
            <v>6.1000000000000004E-3</v>
          </cell>
        </row>
        <row r="2031">
          <cell r="A2031" t="str">
            <v>51723-10700000CBLF</v>
          </cell>
          <cell r="B2031"/>
          <cell r="C2031"/>
          <cell r="D2031"/>
          <cell r="E2031"/>
          <cell r="F2031"/>
          <cell r="G2031">
            <v>2.23E-2</v>
          </cell>
          <cell r="H2031"/>
          <cell r="I2031"/>
          <cell r="J2031"/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>
            <v>6.1000000000000004E-3</v>
          </cell>
        </row>
        <row r="2032">
          <cell r="A2032" t="str">
            <v>51723-10800000AALF</v>
          </cell>
          <cell r="B2032"/>
          <cell r="C2032"/>
          <cell r="D2032"/>
          <cell r="E2032"/>
          <cell r="F2032"/>
          <cell r="G2032">
            <v>2.1499999999999998E-2</v>
          </cell>
          <cell r="H2032"/>
          <cell r="I2032"/>
          <cell r="J2032"/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>
            <v>6.1000000000000004E-3</v>
          </cell>
        </row>
        <row r="2033">
          <cell r="A2033" t="str">
            <v>51723-10800000ABLF</v>
          </cell>
          <cell r="B2033"/>
          <cell r="C2033"/>
          <cell r="D2033"/>
          <cell r="E2033"/>
          <cell r="F2033"/>
          <cell r="G2033">
            <v>1.9599999999999999E-2</v>
          </cell>
          <cell r="H2033"/>
          <cell r="I2033"/>
          <cell r="J2033"/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>
            <v>6.1000000000000004E-3</v>
          </cell>
        </row>
        <row r="2034">
          <cell r="A2034" t="str">
            <v>51723-10800000CBLF</v>
          </cell>
          <cell r="B2034"/>
          <cell r="C2034"/>
          <cell r="D2034"/>
          <cell r="E2034"/>
          <cell r="F2034"/>
          <cell r="G2034">
            <v>1.9599999999999999E-2</v>
          </cell>
          <cell r="H2034"/>
          <cell r="I2034"/>
          <cell r="J2034"/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>
            <v>6.1000000000000004E-3</v>
          </cell>
        </row>
        <row r="2035">
          <cell r="A2035" t="str">
            <v>51723-10900000AALF</v>
          </cell>
          <cell r="B2035"/>
          <cell r="C2035"/>
          <cell r="D2035"/>
          <cell r="E2035"/>
          <cell r="F2035"/>
          <cell r="G2035">
            <v>2.4299999999999999E-2</v>
          </cell>
          <cell r="H2035"/>
          <cell r="I2035"/>
          <cell r="J2035"/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>
            <v>6.1000000000000004E-3</v>
          </cell>
        </row>
        <row r="2036">
          <cell r="A2036" t="str">
            <v>51723-10900000ABLF</v>
          </cell>
          <cell r="B2036"/>
          <cell r="C2036"/>
          <cell r="D2036"/>
          <cell r="E2036"/>
          <cell r="F2036"/>
          <cell r="G2036">
            <v>2.4299999999999999E-2</v>
          </cell>
          <cell r="H2036"/>
          <cell r="I2036"/>
          <cell r="J2036"/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>
            <v>6.1000000000000004E-3</v>
          </cell>
        </row>
        <row r="2037">
          <cell r="A2037" t="str">
            <v>51723-11000000AALF</v>
          </cell>
          <cell r="B2037"/>
          <cell r="C2037"/>
          <cell r="D2037"/>
          <cell r="E2037"/>
          <cell r="F2037"/>
          <cell r="G2037">
            <v>2.3400000000000001E-2</v>
          </cell>
          <cell r="H2037"/>
          <cell r="I2037"/>
          <cell r="J2037"/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>
            <v>6.1000000000000004E-3</v>
          </cell>
        </row>
        <row r="2038">
          <cell r="A2038" t="str">
            <v>51723-11000000ABLF</v>
          </cell>
          <cell r="B2038"/>
          <cell r="C2038"/>
          <cell r="D2038"/>
          <cell r="E2038"/>
          <cell r="F2038"/>
          <cell r="G2038">
            <v>2.3E-2</v>
          </cell>
          <cell r="H2038"/>
          <cell r="I2038"/>
          <cell r="J2038"/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>
            <v>6.1000000000000004E-3</v>
          </cell>
        </row>
        <row r="2039">
          <cell r="A2039" t="str">
            <v>51723-11100000AALF</v>
          </cell>
          <cell r="B2039"/>
          <cell r="C2039"/>
          <cell r="D2039"/>
          <cell r="E2039"/>
          <cell r="F2039"/>
          <cell r="G2039">
            <v>2.7E-2</v>
          </cell>
          <cell r="H2039"/>
          <cell r="I2039"/>
          <cell r="J2039"/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>
            <v>6.1000000000000004E-3</v>
          </cell>
        </row>
        <row r="2040">
          <cell r="A2040" t="str">
            <v>51723-11200000ABLF</v>
          </cell>
          <cell r="B2040"/>
          <cell r="C2040"/>
          <cell r="D2040"/>
          <cell r="E2040"/>
          <cell r="F2040"/>
          <cell r="G2040">
            <v>2.8000000000000001E-2</v>
          </cell>
          <cell r="H2040"/>
          <cell r="I2040"/>
          <cell r="J2040"/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>
            <v>6.1000000000000004E-3</v>
          </cell>
        </row>
        <row r="2041">
          <cell r="A2041" t="str">
            <v>51723-11600000AALF</v>
          </cell>
          <cell r="B2041"/>
          <cell r="C2041"/>
          <cell r="D2041"/>
          <cell r="E2041"/>
          <cell r="F2041"/>
          <cell r="G2041">
            <v>0.04</v>
          </cell>
          <cell r="H2041"/>
          <cell r="I2041"/>
          <cell r="J2041"/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>
            <v>6.1000000000000004E-3</v>
          </cell>
        </row>
        <row r="2042">
          <cell r="A2042" t="str">
            <v>51724-10100801A0LF</v>
          </cell>
          <cell r="B2042"/>
          <cell r="C2042"/>
          <cell r="D2042"/>
          <cell r="E2042"/>
          <cell r="F2042"/>
          <cell r="G2042">
            <v>2.5999999999999999E-2</v>
          </cell>
          <cell r="H2042"/>
          <cell r="I2042"/>
          <cell r="J2042"/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>
            <v>2E-3</v>
          </cell>
        </row>
        <row r="2043">
          <cell r="A2043" t="str">
            <v>51724-10102401A0LF</v>
          </cell>
          <cell r="B2043"/>
          <cell r="C2043"/>
          <cell r="D2043"/>
          <cell r="E2043"/>
          <cell r="F2043"/>
          <cell r="G2043">
            <v>2.4299999999999999E-2</v>
          </cell>
          <cell r="H2043"/>
          <cell r="I2043"/>
          <cell r="J2043"/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>
            <v>1.9E-3</v>
          </cell>
        </row>
        <row r="2044">
          <cell r="A2044" t="str">
            <v>51724-10104001A0LF</v>
          </cell>
          <cell r="B2044"/>
          <cell r="C2044"/>
          <cell r="D2044"/>
          <cell r="E2044"/>
          <cell r="F2044"/>
          <cell r="G2044">
            <v>2.5999999999999999E-2</v>
          </cell>
          <cell r="H2044"/>
          <cell r="I2044"/>
          <cell r="J2044"/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>
            <v>2E-3</v>
          </cell>
        </row>
        <row r="2045">
          <cell r="A2045" t="str">
            <v>51724-10301203A0LF</v>
          </cell>
          <cell r="B2045"/>
          <cell r="C2045"/>
          <cell r="D2045"/>
          <cell r="E2045"/>
          <cell r="F2045"/>
          <cell r="G2045">
            <v>2.7099999999999999E-2</v>
          </cell>
          <cell r="H2045"/>
          <cell r="I2045"/>
          <cell r="J2045"/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>
            <v>1.6000000000000001E-3</v>
          </cell>
        </row>
        <row r="2046">
          <cell r="A2046" t="str">
            <v>51724-10301608A0LF</v>
          </cell>
          <cell r="B2046"/>
          <cell r="C2046"/>
          <cell r="D2046"/>
          <cell r="E2046"/>
          <cell r="F2046"/>
          <cell r="G2046">
            <v>3.5999999999999997E-2</v>
          </cell>
          <cell r="H2046"/>
          <cell r="I2046"/>
          <cell r="J2046"/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>
            <v>2E-3</v>
          </cell>
        </row>
        <row r="2047">
          <cell r="A2047" t="str">
            <v>51724-10301611A0LF</v>
          </cell>
          <cell r="B2047"/>
          <cell r="C2047"/>
          <cell r="D2047"/>
          <cell r="E2047"/>
          <cell r="F2047"/>
          <cell r="G2047">
            <v>4.4999999999999998E-2</v>
          </cell>
          <cell r="H2047"/>
          <cell r="I2047"/>
          <cell r="J2047"/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>
            <v>2E-3</v>
          </cell>
        </row>
        <row r="2048">
          <cell r="A2048" t="str">
            <v>51724-10501204A0LF</v>
          </cell>
          <cell r="B2048"/>
          <cell r="C2048"/>
          <cell r="D2048"/>
          <cell r="E2048"/>
          <cell r="F2048"/>
          <cell r="G2048">
            <v>3.27E-2</v>
          </cell>
          <cell r="H2048"/>
          <cell r="I2048"/>
          <cell r="J2048"/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>
            <v>1.6000000000000001E-3</v>
          </cell>
        </row>
        <row r="2049">
          <cell r="A2049" t="str">
            <v>51724-10601204A0LF</v>
          </cell>
          <cell r="B2049"/>
          <cell r="C2049"/>
          <cell r="D2049"/>
          <cell r="E2049"/>
          <cell r="F2049"/>
          <cell r="G2049">
            <v>2.9899999999999999E-2</v>
          </cell>
          <cell r="H2049"/>
          <cell r="I2049"/>
          <cell r="J2049"/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>
            <v>1.6000000000000001E-3</v>
          </cell>
        </row>
        <row r="2050">
          <cell r="A2050" t="str">
            <v>51724-10601603A0LF</v>
          </cell>
          <cell r="B2050"/>
          <cell r="C2050"/>
          <cell r="D2050"/>
          <cell r="E2050"/>
          <cell r="F2050"/>
          <cell r="G2050">
            <v>3.27E-2</v>
          </cell>
          <cell r="H2050"/>
          <cell r="I2050"/>
          <cell r="J2050"/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>
            <v>1.6000000000000001E-3</v>
          </cell>
        </row>
        <row r="2051">
          <cell r="A2051" t="str">
            <v>51725-10000808A0LF</v>
          </cell>
          <cell r="B2051"/>
          <cell r="C2051"/>
          <cell r="D2051"/>
          <cell r="E2051"/>
          <cell r="F2051"/>
          <cell r="G2051">
            <v>2.9000000000000001E-2</v>
          </cell>
          <cell r="H2051"/>
          <cell r="I2051"/>
          <cell r="J2051"/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>
            <v>1.6000000000000001E-3</v>
          </cell>
        </row>
        <row r="2052">
          <cell r="A2052" t="str">
            <v>51726-10200800A0LF</v>
          </cell>
          <cell r="B2052"/>
          <cell r="C2052"/>
          <cell r="D2052"/>
          <cell r="E2052"/>
          <cell r="F2052"/>
          <cell r="G2052">
            <v>2.4299999999999999E-2</v>
          </cell>
          <cell r="H2052"/>
          <cell r="I2052"/>
          <cell r="J2052"/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>
            <v>1.6000000000000001E-3</v>
          </cell>
        </row>
        <row r="2053">
          <cell r="A2053" t="str">
            <v>51726-10201600A0LF</v>
          </cell>
          <cell r="B2053"/>
          <cell r="C2053"/>
          <cell r="D2053"/>
          <cell r="E2053"/>
          <cell r="F2053"/>
          <cell r="G2053">
            <v>2.01E-2</v>
          </cell>
          <cell r="H2053"/>
          <cell r="I2053"/>
          <cell r="J2053"/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>
            <v>1.6000000000000001E-3</v>
          </cell>
        </row>
        <row r="2054">
          <cell r="A2054" t="str">
            <v>51726-10300800A0LF</v>
          </cell>
          <cell r="B2054"/>
          <cell r="C2054"/>
          <cell r="D2054"/>
          <cell r="E2054"/>
          <cell r="F2054"/>
          <cell r="G2054">
            <v>5.2999999999999999E-2</v>
          </cell>
          <cell r="H2054"/>
          <cell r="I2054"/>
          <cell r="J2054"/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>
            <v>1.9E-3</v>
          </cell>
        </row>
        <row r="2055">
          <cell r="A2055" t="str">
            <v>51726-10402400A0LF</v>
          </cell>
          <cell r="B2055"/>
          <cell r="C2055"/>
          <cell r="D2055"/>
          <cell r="E2055"/>
          <cell r="F2055"/>
          <cell r="G2055">
            <v>2.52E-2</v>
          </cell>
          <cell r="H2055"/>
          <cell r="I2055"/>
          <cell r="J2055"/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>
            <v>1.6000000000000001E-3</v>
          </cell>
        </row>
        <row r="2056">
          <cell r="A2056" t="str">
            <v>51726-10505200A0LF</v>
          </cell>
          <cell r="B2056"/>
          <cell r="C2056"/>
          <cell r="D2056"/>
          <cell r="E2056"/>
          <cell r="F2056"/>
          <cell r="G2056">
            <v>3.1800000000000002E-2</v>
          </cell>
          <cell r="H2056"/>
          <cell r="I2056"/>
          <cell r="J2056"/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>
            <v>1.6000000000000001E-3</v>
          </cell>
        </row>
        <row r="2057">
          <cell r="A2057" t="str">
            <v>51726-11001200A0LF</v>
          </cell>
          <cell r="B2057"/>
          <cell r="C2057"/>
          <cell r="D2057"/>
          <cell r="E2057"/>
          <cell r="F2057"/>
          <cell r="G2057">
            <v>2.9899999999999999E-2</v>
          </cell>
          <cell r="H2057"/>
          <cell r="I2057"/>
          <cell r="J2057"/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>
            <v>1.6000000000000001E-3</v>
          </cell>
        </row>
        <row r="2058">
          <cell r="A2058" t="str">
            <v>51726-11301200A0LF</v>
          </cell>
          <cell r="B2058"/>
          <cell r="C2058"/>
          <cell r="D2058"/>
          <cell r="E2058"/>
          <cell r="F2058"/>
          <cell r="G2058">
            <v>4.2000000000000003E-2</v>
          </cell>
          <cell r="H2058"/>
          <cell r="I2058"/>
          <cell r="J2058"/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>
            <v>2E-3</v>
          </cell>
        </row>
        <row r="2059">
          <cell r="A2059" t="str">
            <v>51727-10200000A0LF</v>
          </cell>
          <cell r="B2059"/>
          <cell r="C2059"/>
          <cell r="D2059"/>
          <cell r="E2059"/>
          <cell r="F2059"/>
          <cell r="G2059">
            <v>1.4E-2</v>
          </cell>
          <cell r="H2059"/>
          <cell r="I2059"/>
          <cell r="J2059"/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>
            <v>6.1000000000000004E-3</v>
          </cell>
        </row>
        <row r="2060">
          <cell r="A2060" t="str">
            <v>51727-10400000A0LF</v>
          </cell>
          <cell r="B2060"/>
          <cell r="C2060"/>
          <cell r="D2060"/>
          <cell r="E2060"/>
          <cell r="F2060"/>
          <cell r="G2060">
            <v>1.6799999999999999E-2</v>
          </cell>
          <cell r="H2060"/>
          <cell r="I2060"/>
          <cell r="J2060"/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</row>
        <row r="2061">
          <cell r="A2061" t="str">
            <v>51727-10900000A0LF</v>
          </cell>
          <cell r="B2061"/>
          <cell r="C2061"/>
          <cell r="D2061"/>
          <cell r="E2061"/>
          <cell r="F2061"/>
          <cell r="G2061">
            <v>2.24E-2</v>
          </cell>
          <cell r="H2061"/>
          <cell r="I2061"/>
          <cell r="J2061"/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>
            <v>6.1000000000000004E-3</v>
          </cell>
        </row>
        <row r="2062">
          <cell r="A2062" t="str">
            <v>51727-10900000C0LF</v>
          </cell>
          <cell r="B2062"/>
          <cell r="C2062"/>
          <cell r="D2062"/>
          <cell r="E2062"/>
          <cell r="F2062"/>
          <cell r="G2062">
            <v>1.3708140000000001E-2</v>
          </cell>
          <cell r="H2062"/>
          <cell r="I2062"/>
          <cell r="J2062"/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</row>
        <row r="2063">
          <cell r="A2063" t="str">
            <v>51727-11100000A0LF</v>
          </cell>
          <cell r="B2063"/>
          <cell r="C2063"/>
          <cell r="D2063"/>
          <cell r="E2063"/>
          <cell r="F2063"/>
          <cell r="G2063">
            <v>2.3400000000000001E-2</v>
          </cell>
          <cell r="H2063"/>
          <cell r="I2063"/>
          <cell r="J2063"/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>
            <v>6.1000000000000004E-3</v>
          </cell>
        </row>
        <row r="2064">
          <cell r="A2064" t="str">
            <v>51730-001LF</v>
          </cell>
          <cell r="B2064"/>
          <cell r="C2064"/>
          <cell r="D2064"/>
          <cell r="E2064"/>
          <cell r="F2064"/>
          <cell r="G2064">
            <v>2.9899999999999999E-2</v>
          </cell>
          <cell r="H2064"/>
          <cell r="I2064"/>
          <cell r="J2064"/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>
            <v>1.6000000000000001E-3</v>
          </cell>
        </row>
        <row r="2065">
          <cell r="A2065" t="str">
            <v>51730-006LF</v>
          </cell>
          <cell r="B2065"/>
          <cell r="C2065"/>
          <cell r="D2065"/>
          <cell r="E2065"/>
          <cell r="F2065"/>
          <cell r="G2065">
            <v>4.1200000000000001E-2</v>
          </cell>
          <cell r="H2065"/>
          <cell r="I2065"/>
          <cell r="J2065"/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>
            <v>2.0999999999999999E-3</v>
          </cell>
        </row>
        <row r="2066">
          <cell r="A2066" t="str">
            <v>51730-007LF</v>
          </cell>
          <cell r="B2066"/>
          <cell r="C2066"/>
          <cell r="D2066"/>
          <cell r="E2066"/>
          <cell r="F2066"/>
          <cell r="G2066">
            <v>4.2999999999999997E-2</v>
          </cell>
          <cell r="H2066"/>
          <cell r="I2066"/>
          <cell r="J2066"/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>
            <v>2.0999999999999999E-3</v>
          </cell>
        </row>
        <row r="2067">
          <cell r="A2067" t="str">
            <v>51730-010LF</v>
          </cell>
          <cell r="B2067"/>
          <cell r="C2067"/>
          <cell r="D2067"/>
          <cell r="E2067"/>
          <cell r="F2067"/>
          <cell r="G2067">
            <v>3.4599999999999999E-2</v>
          </cell>
          <cell r="H2067"/>
          <cell r="I2067"/>
          <cell r="J2067"/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>
            <v>1.9E-3</v>
          </cell>
        </row>
        <row r="2068">
          <cell r="A2068" t="str">
            <v>51730-012LF</v>
          </cell>
          <cell r="B2068"/>
          <cell r="C2068"/>
          <cell r="D2068"/>
          <cell r="E2068"/>
          <cell r="F2068"/>
          <cell r="G2068">
            <v>3.7999999999999999E-2</v>
          </cell>
          <cell r="H2068"/>
          <cell r="I2068"/>
          <cell r="J2068"/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>
            <v>3.3E-3</v>
          </cell>
        </row>
        <row r="2069">
          <cell r="A2069" t="str">
            <v>51730-014LF</v>
          </cell>
          <cell r="B2069"/>
          <cell r="C2069"/>
          <cell r="D2069"/>
          <cell r="E2069"/>
          <cell r="F2069"/>
          <cell r="G2069">
            <v>2.1999999999999999E-2</v>
          </cell>
          <cell r="H2069"/>
          <cell r="I2069"/>
          <cell r="J2069"/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>
            <v>1.6000000000000001E-3</v>
          </cell>
        </row>
        <row r="2070">
          <cell r="A2070" t="str">
            <v>51730-016LF</v>
          </cell>
          <cell r="B2070"/>
          <cell r="C2070"/>
          <cell r="D2070"/>
          <cell r="E2070"/>
          <cell r="F2070"/>
          <cell r="G2070">
            <v>6.0895419999999999E-3</v>
          </cell>
          <cell r="H2070"/>
          <cell r="I2070"/>
          <cell r="J2070"/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>
            <v>1.9E-3</v>
          </cell>
        </row>
        <row r="2071">
          <cell r="A2071" t="str">
            <v>51730-016THDLF</v>
          </cell>
          <cell r="B2071"/>
          <cell r="C2071"/>
          <cell r="D2071"/>
          <cell r="E2071"/>
          <cell r="F2071"/>
          <cell r="G2071">
            <v>1.38E-2</v>
          </cell>
          <cell r="H2071"/>
          <cell r="I2071"/>
          <cell r="J2071"/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>
            <v>1.9E-3</v>
          </cell>
        </row>
        <row r="2072">
          <cell r="A2072" t="str">
            <v>51730-019LF</v>
          </cell>
          <cell r="B2072"/>
          <cell r="C2072"/>
          <cell r="D2072"/>
          <cell r="E2072"/>
          <cell r="F2072"/>
          <cell r="G2072">
            <v>1.0834007E-2</v>
          </cell>
          <cell r="H2072"/>
          <cell r="I2072"/>
          <cell r="J2072"/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>
            <v>1.9E-3</v>
          </cell>
        </row>
        <row r="2073">
          <cell r="A2073" t="str">
            <v>51730-023LF</v>
          </cell>
          <cell r="B2073"/>
          <cell r="C2073"/>
          <cell r="D2073"/>
          <cell r="E2073"/>
          <cell r="F2073"/>
          <cell r="G2073">
            <v>2.9000000000000001E-2</v>
          </cell>
          <cell r="H2073"/>
          <cell r="I2073"/>
          <cell r="J2073"/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>
            <v>1.9E-3</v>
          </cell>
        </row>
        <row r="2074">
          <cell r="A2074" t="str">
            <v>51730-024LF</v>
          </cell>
          <cell r="B2074"/>
          <cell r="C2074"/>
          <cell r="D2074"/>
          <cell r="E2074"/>
          <cell r="F2074"/>
          <cell r="G2074">
            <v>1.6799999999999999E-2</v>
          </cell>
          <cell r="H2074"/>
          <cell r="I2074"/>
          <cell r="J2074"/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>
            <v>1.9E-3</v>
          </cell>
        </row>
        <row r="2075">
          <cell r="A2075" t="str">
            <v>51730-031LF</v>
          </cell>
          <cell r="B2075"/>
          <cell r="C2075"/>
          <cell r="D2075"/>
          <cell r="E2075"/>
          <cell r="F2075"/>
          <cell r="G2075">
            <v>2.6200000000000001E-2</v>
          </cell>
          <cell r="H2075"/>
          <cell r="I2075"/>
          <cell r="J2075"/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>
            <v>1.6000000000000001E-3</v>
          </cell>
        </row>
        <row r="2076">
          <cell r="A2076" t="str">
            <v>51730-032LF</v>
          </cell>
          <cell r="B2076"/>
          <cell r="C2076"/>
          <cell r="D2076"/>
          <cell r="E2076"/>
          <cell r="F2076"/>
          <cell r="G2076">
            <v>2.9000000000000001E-2</v>
          </cell>
          <cell r="H2076"/>
          <cell r="I2076"/>
          <cell r="J2076"/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>
            <v>1.6000000000000001E-3</v>
          </cell>
        </row>
        <row r="2077">
          <cell r="A2077" t="str">
            <v>51730-033LF</v>
          </cell>
          <cell r="B2077"/>
          <cell r="C2077"/>
          <cell r="D2077"/>
          <cell r="E2077"/>
          <cell r="F2077"/>
          <cell r="G2077">
            <v>2.9000000000000001E-2</v>
          </cell>
          <cell r="H2077"/>
          <cell r="I2077"/>
          <cell r="J2077"/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>
            <v>1.6000000000000001E-3</v>
          </cell>
        </row>
        <row r="2078">
          <cell r="A2078" t="str">
            <v>51730-034LF</v>
          </cell>
          <cell r="B2078"/>
          <cell r="C2078"/>
          <cell r="D2078"/>
          <cell r="E2078"/>
          <cell r="F2078"/>
          <cell r="G2078">
            <v>2.9000000000000001E-2</v>
          </cell>
          <cell r="H2078"/>
          <cell r="I2078"/>
          <cell r="J2078"/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>
            <v>1.6000000000000001E-3</v>
          </cell>
        </row>
        <row r="2079">
          <cell r="A2079" t="str">
            <v>51730-038LF</v>
          </cell>
          <cell r="B2079"/>
          <cell r="C2079"/>
          <cell r="D2079"/>
          <cell r="E2079"/>
          <cell r="F2079"/>
          <cell r="G2079">
            <v>4.3999999999999997E-2</v>
          </cell>
          <cell r="H2079"/>
          <cell r="I2079"/>
          <cell r="J2079"/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>
            <v>2E-3</v>
          </cell>
        </row>
        <row r="2080">
          <cell r="A2080" t="str">
            <v>51730-042LF</v>
          </cell>
          <cell r="B2080"/>
          <cell r="C2080"/>
          <cell r="D2080"/>
          <cell r="E2080"/>
          <cell r="F2080"/>
          <cell r="G2080">
            <v>2.3800000000000002E-2</v>
          </cell>
          <cell r="H2080"/>
          <cell r="I2080"/>
          <cell r="J2080"/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>
            <v>1.6000000000000001E-3</v>
          </cell>
        </row>
        <row r="2081">
          <cell r="A2081" t="str">
            <v>51730-043LF</v>
          </cell>
          <cell r="B2081"/>
          <cell r="C2081"/>
          <cell r="D2081"/>
          <cell r="E2081"/>
          <cell r="F2081"/>
          <cell r="G2081">
            <v>2.52E-2</v>
          </cell>
          <cell r="H2081"/>
          <cell r="I2081"/>
          <cell r="J2081"/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>
            <v>1.6000000000000001E-3</v>
          </cell>
        </row>
        <row r="2082">
          <cell r="A2082" t="str">
            <v>51730-048LF</v>
          </cell>
          <cell r="B2082"/>
          <cell r="C2082"/>
          <cell r="D2082"/>
          <cell r="E2082"/>
          <cell r="F2082"/>
          <cell r="G2082">
            <v>4.41E-2</v>
          </cell>
          <cell r="H2082"/>
          <cell r="I2082"/>
          <cell r="J2082"/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>
            <v>2.0999999999999999E-3</v>
          </cell>
        </row>
        <row r="2083">
          <cell r="A2083" t="str">
            <v>51730-049LF</v>
          </cell>
          <cell r="B2083"/>
          <cell r="C2083"/>
          <cell r="D2083"/>
          <cell r="E2083"/>
          <cell r="F2083"/>
          <cell r="G2083">
            <v>3.1E-2</v>
          </cell>
          <cell r="H2083"/>
          <cell r="I2083"/>
          <cell r="J2083"/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>
            <v>2E-3</v>
          </cell>
        </row>
        <row r="2084">
          <cell r="A2084" t="str">
            <v>51730-054LF</v>
          </cell>
          <cell r="B2084"/>
          <cell r="C2084"/>
          <cell r="D2084"/>
          <cell r="E2084"/>
          <cell r="F2084"/>
          <cell r="G2084">
            <v>3.1800000000000002E-2</v>
          </cell>
          <cell r="H2084"/>
          <cell r="I2084"/>
          <cell r="J2084"/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>
            <v>1.6000000000000001E-3</v>
          </cell>
        </row>
        <row r="2085">
          <cell r="A2085" t="str">
            <v>51730-062LF</v>
          </cell>
          <cell r="B2085"/>
          <cell r="C2085"/>
          <cell r="D2085"/>
          <cell r="E2085"/>
          <cell r="F2085"/>
          <cell r="G2085">
            <v>1.4800000000000001E-2</v>
          </cell>
          <cell r="H2085"/>
          <cell r="I2085"/>
          <cell r="J2085"/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>
            <v>1.9E-3</v>
          </cell>
        </row>
        <row r="2086">
          <cell r="A2086" t="str">
            <v>51730-067LF</v>
          </cell>
          <cell r="B2086"/>
          <cell r="C2086"/>
          <cell r="D2086"/>
          <cell r="E2086"/>
          <cell r="F2086"/>
          <cell r="G2086">
            <v>2.7099999999999999E-2</v>
          </cell>
          <cell r="H2086"/>
          <cell r="I2086"/>
          <cell r="J2086"/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>
            <v>1.6000000000000001E-3</v>
          </cell>
        </row>
        <row r="2087">
          <cell r="A2087" t="str">
            <v>51730-070LF</v>
          </cell>
          <cell r="B2087"/>
          <cell r="C2087"/>
          <cell r="D2087"/>
          <cell r="E2087"/>
          <cell r="F2087"/>
          <cell r="G2087">
            <v>2.7099999999999999E-2</v>
          </cell>
          <cell r="H2087"/>
          <cell r="I2087"/>
          <cell r="J2087"/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>
            <v>1.6000000000000001E-3</v>
          </cell>
        </row>
        <row r="2088">
          <cell r="A2088" t="str">
            <v>51730-071LF</v>
          </cell>
          <cell r="B2088"/>
          <cell r="C2088"/>
          <cell r="D2088"/>
          <cell r="E2088"/>
          <cell r="F2088"/>
          <cell r="G2088">
            <v>3.6499999999999998E-2</v>
          </cell>
          <cell r="H2088"/>
          <cell r="I2088"/>
          <cell r="J2088"/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>
            <v>2.0999999999999999E-3</v>
          </cell>
        </row>
        <row r="2089">
          <cell r="A2089" t="str">
            <v>51730-072LF</v>
          </cell>
          <cell r="B2089"/>
          <cell r="C2089"/>
          <cell r="D2089"/>
          <cell r="E2089"/>
          <cell r="F2089"/>
          <cell r="G2089">
            <v>2.7099999999999999E-2</v>
          </cell>
          <cell r="H2089"/>
          <cell r="I2089"/>
          <cell r="J2089"/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>
            <v>1.6000000000000001E-3</v>
          </cell>
        </row>
        <row r="2090">
          <cell r="A2090" t="str">
            <v>51730-073LF</v>
          </cell>
          <cell r="B2090"/>
          <cell r="C2090"/>
          <cell r="D2090"/>
          <cell r="E2090"/>
          <cell r="F2090"/>
          <cell r="G2090">
            <v>1.7899999999999999E-2</v>
          </cell>
          <cell r="H2090"/>
          <cell r="I2090"/>
          <cell r="J2090"/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>
            <v>1.9E-3</v>
          </cell>
        </row>
        <row r="2091">
          <cell r="A2091" t="str">
            <v>51730-075LF</v>
          </cell>
          <cell r="B2091"/>
          <cell r="C2091"/>
          <cell r="D2091"/>
          <cell r="E2091"/>
          <cell r="F2091"/>
          <cell r="G2091">
            <v>2.7099999999999999E-2</v>
          </cell>
          <cell r="H2091"/>
          <cell r="I2091"/>
          <cell r="J2091"/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>
            <v>1.6000000000000001E-3</v>
          </cell>
        </row>
        <row r="2092">
          <cell r="A2092" t="str">
            <v>51730-076LF</v>
          </cell>
          <cell r="B2092"/>
          <cell r="C2092"/>
          <cell r="D2092"/>
          <cell r="E2092"/>
          <cell r="F2092"/>
          <cell r="G2092">
            <v>3.8600000000000002E-2</v>
          </cell>
          <cell r="H2092"/>
          <cell r="I2092"/>
          <cell r="J2092"/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>
            <v>2.0999999999999999E-3</v>
          </cell>
        </row>
        <row r="2093">
          <cell r="A2093" t="str">
            <v>51730-079LF</v>
          </cell>
          <cell r="B2093"/>
          <cell r="C2093"/>
          <cell r="D2093"/>
          <cell r="E2093"/>
          <cell r="F2093"/>
          <cell r="G2093">
            <v>2.9000000000000001E-2</v>
          </cell>
          <cell r="H2093"/>
          <cell r="I2093"/>
          <cell r="J2093"/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>
            <v>1.6000000000000001E-3</v>
          </cell>
        </row>
        <row r="2094">
          <cell r="A2094" t="str">
            <v>51730-080LF</v>
          </cell>
          <cell r="B2094"/>
          <cell r="C2094"/>
          <cell r="D2094"/>
          <cell r="E2094"/>
          <cell r="F2094"/>
          <cell r="G2094">
            <v>4.4900000000000002E-2</v>
          </cell>
          <cell r="H2094"/>
          <cell r="I2094"/>
          <cell r="J2094"/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>
            <v>2.0999999999999999E-3</v>
          </cell>
        </row>
        <row r="2095">
          <cell r="A2095" t="str">
            <v>51730-083LF</v>
          </cell>
          <cell r="B2095"/>
          <cell r="C2095"/>
          <cell r="D2095"/>
          <cell r="E2095"/>
          <cell r="F2095"/>
          <cell r="G2095">
            <v>2.6200000000000001E-2</v>
          </cell>
          <cell r="H2095"/>
          <cell r="I2095"/>
          <cell r="J2095"/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>
            <v>1.6000000000000001E-3</v>
          </cell>
        </row>
        <row r="2096">
          <cell r="A2096" t="str">
            <v>51730-085LF</v>
          </cell>
          <cell r="B2096"/>
          <cell r="C2096"/>
          <cell r="D2096"/>
          <cell r="E2096"/>
          <cell r="F2096"/>
          <cell r="G2096">
            <v>3.9300000000000002E-2</v>
          </cell>
          <cell r="H2096"/>
          <cell r="I2096"/>
          <cell r="J2096"/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>
            <v>2.0999999999999999E-3</v>
          </cell>
        </row>
        <row r="2097">
          <cell r="A2097" t="str">
            <v>51730-087LF</v>
          </cell>
          <cell r="B2097"/>
          <cell r="C2097"/>
          <cell r="D2097"/>
          <cell r="E2097"/>
          <cell r="F2097"/>
          <cell r="G2097">
            <v>2.7099999999999999E-2</v>
          </cell>
          <cell r="H2097"/>
          <cell r="I2097"/>
          <cell r="J2097"/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>
            <v>1.6000000000000001E-3</v>
          </cell>
        </row>
        <row r="2098">
          <cell r="A2098" t="str">
            <v>51730-089LF</v>
          </cell>
          <cell r="B2098"/>
          <cell r="C2098"/>
          <cell r="D2098"/>
          <cell r="E2098"/>
          <cell r="F2098"/>
          <cell r="G2098">
            <v>2.2600855999999999E-2</v>
          </cell>
          <cell r="H2098"/>
          <cell r="I2098"/>
          <cell r="J2098"/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>
            <v>2.0999999999999999E-3</v>
          </cell>
        </row>
        <row r="2099">
          <cell r="A2099" t="str">
            <v>51730-090LF</v>
          </cell>
          <cell r="B2099"/>
          <cell r="C2099"/>
          <cell r="D2099"/>
          <cell r="E2099"/>
          <cell r="F2099"/>
          <cell r="G2099">
            <v>3.1800000000000002E-2</v>
          </cell>
          <cell r="H2099"/>
          <cell r="I2099"/>
          <cell r="J2099"/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>
            <v>1.6000000000000001E-3</v>
          </cell>
        </row>
        <row r="2100">
          <cell r="A2100" t="str">
            <v>51730-094LF</v>
          </cell>
          <cell r="B2100"/>
          <cell r="C2100"/>
          <cell r="D2100"/>
          <cell r="E2100"/>
          <cell r="F2100"/>
          <cell r="G2100">
            <v>2.29E-2</v>
          </cell>
          <cell r="H2100"/>
          <cell r="I2100"/>
          <cell r="J2100"/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>
            <v>1.9E-3</v>
          </cell>
        </row>
        <row r="2101">
          <cell r="A2101" t="str">
            <v>51730-095LF</v>
          </cell>
          <cell r="B2101"/>
          <cell r="C2101"/>
          <cell r="D2101"/>
          <cell r="E2101"/>
          <cell r="F2101"/>
          <cell r="G2101">
            <v>2.9000000000000001E-2</v>
          </cell>
          <cell r="H2101"/>
          <cell r="I2101"/>
          <cell r="J2101"/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>
            <v>1.6000000000000001E-3</v>
          </cell>
        </row>
        <row r="2102">
          <cell r="A2102" t="str">
            <v>51730-096LF</v>
          </cell>
          <cell r="B2102"/>
          <cell r="C2102"/>
          <cell r="D2102"/>
          <cell r="E2102"/>
          <cell r="F2102"/>
          <cell r="G2102">
            <v>2.9899999999999999E-2</v>
          </cell>
          <cell r="H2102"/>
          <cell r="I2102"/>
          <cell r="J2102"/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>
            <v>1.6000000000000001E-3</v>
          </cell>
        </row>
        <row r="2103">
          <cell r="A2103" t="str">
            <v>51730-097LF</v>
          </cell>
          <cell r="B2103"/>
          <cell r="C2103"/>
          <cell r="D2103"/>
          <cell r="E2103"/>
          <cell r="F2103"/>
          <cell r="G2103">
            <v>2.1499999999999998E-2</v>
          </cell>
          <cell r="H2103"/>
          <cell r="I2103"/>
          <cell r="J2103"/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>
            <v>6.4999999999999997E-3</v>
          </cell>
        </row>
        <row r="2104">
          <cell r="A2104" t="str">
            <v>51730-099LF</v>
          </cell>
          <cell r="B2104"/>
          <cell r="C2104"/>
          <cell r="D2104"/>
          <cell r="E2104"/>
          <cell r="F2104"/>
          <cell r="G2104">
            <v>3.3099999999999997E-2</v>
          </cell>
          <cell r="H2104"/>
          <cell r="I2104"/>
          <cell r="J2104"/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>
            <v>2.0999999999999999E-3</v>
          </cell>
        </row>
        <row r="2105">
          <cell r="A2105" t="str">
            <v>51730-100LF</v>
          </cell>
          <cell r="B2105"/>
          <cell r="C2105"/>
          <cell r="D2105"/>
          <cell r="E2105"/>
          <cell r="F2105"/>
          <cell r="G2105">
            <v>2.9899999999999999E-2</v>
          </cell>
          <cell r="H2105"/>
          <cell r="I2105"/>
          <cell r="J2105"/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>
            <v>1.6000000000000001E-3</v>
          </cell>
        </row>
        <row r="2106">
          <cell r="A2106" t="str">
            <v>51730-102LF</v>
          </cell>
          <cell r="B2106"/>
          <cell r="C2106"/>
          <cell r="D2106"/>
          <cell r="E2106"/>
          <cell r="F2106"/>
          <cell r="G2106">
            <v>2.1399999999999999E-2</v>
          </cell>
          <cell r="H2106"/>
          <cell r="I2106"/>
          <cell r="J2106"/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>
            <v>1.9E-3</v>
          </cell>
        </row>
        <row r="2107">
          <cell r="A2107" t="str">
            <v>51730-103LF</v>
          </cell>
          <cell r="B2107"/>
          <cell r="C2107"/>
          <cell r="D2107"/>
          <cell r="E2107"/>
          <cell r="F2107"/>
          <cell r="G2107">
            <v>9.1000000000000004E-3</v>
          </cell>
          <cell r="H2107"/>
          <cell r="I2107"/>
          <cell r="J2107"/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>
            <v>1.9E-3</v>
          </cell>
        </row>
        <row r="2108">
          <cell r="A2108" t="str">
            <v>51730-107LF</v>
          </cell>
          <cell r="B2108"/>
          <cell r="C2108"/>
          <cell r="D2108"/>
          <cell r="E2108"/>
          <cell r="F2108"/>
          <cell r="G2108">
            <v>4.8599999999999997E-2</v>
          </cell>
          <cell r="H2108"/>
          <cell r="I2108"/>
          <cell r="J2108"/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>
            <v>1.9E-3</v>
          </cell>
        </row>
        <row r="2109">
          <cell r="A2109" t="str">
            <v>51730-108LF</v>
          </cell>
          <cell r="B2109"/>
          <cell r="C2109"/>
          <cell r="D2109"/>
          <cell r="E2109"/>
          <cell r="F2109"/>
          <cell r="G2109">
            <v>2.9000000000000001E-2</v>
          </cell>
          <cell r="H2109"/>
          <cell r="I2109"/>
          <cell r="J2109"/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>
            <v>1.6000000000000001E-3</v>
          </cell>
        </row>
        <row r="2110">
          <cell r="A2110" t="str">
            <v>51730-109LF</v>
          </cell>
          <cell r="B2110"/>
          <cell r="C2110"/>
          <cell r="D2110"/>
          <cell r="E2110"/>
          <cell r="F2110"/>
          <cell r="G2110">
            <v>3.9300000000000002E-2</v>
          </cell>
          <cell r="H2110"/>
          <cell r="I2110"/>
          <cell r="J2110"/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>
            <v>2.0999999999999999E-3</v>
          </cell>
        </row>
        <row r="2111">
          <cell r="A2111" t="str">
            <v>51730-110LF</v>
          </cell>
          <cell r="B2111"/>
          <cell r="C2111"/>
          <cell r="D2111"/>
          <cell r="E2111"/>
          <cell r="F2111"/>
          <cell r="G2111">
            <v>2.6200000000000001E-2</v>
          </cell>
          <cell r="H2111"/>
          <cell r="I2111"/>
          <cell r="J2111"/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>
            <v>1.6000000000000001E-3</v>
          </cell>
        </row>
        <row r="2112">
          <cell r="A2112" t="str">
            <v>51730-111LF</v>
          </cell>
          <cell r="B2112"/>
          <cell r="C2112"/>
          <cell r="D2112"/>
          <cell r="E2112"/>
          <cell r="F2112"/>
          <cell r="G2112">
            <v>2.9899999999999999E-2</v>
          </cell>
          <cell r="H2112"/>
          <cell r="I2112"/>
          <cell r="J2112"/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>
            <v>1.9E-3</v>
          </cell>
        </row>
        <row r="2113">
          <cell r="A2113" t="str">
            <v>51730-112LF</v>
          </cell>
          <cell r="B2113"/>
          <cell r="C2113"/>
          <cell r="D2113"/>
          <cell r="E2113"/>
          <cell r="F2113"/>
          <cell r="G2113">
            <v>2.9000000000000001E-2</v>
          </cell>
          <cell r="H2113"/>
          <cell r="I2113"/>
          <cell r="J2113"/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>
            <v>1.6000000000000001E-3</v>
          </cell>
        </row>
        <row r="2114">
          <cell r="A2114" t="str">
            <v>51730-114LF</v>
          </cell>
          <cell r="B2114"/>
          <cell r="C2114"/>
          <cell r="D2114"/>
          <cell r="E2114"/>
          <cell r="F2114"/>
          <cell r="G2114">
            <v>1.4317391E-2</v>
          </cell>
          <cell r="H2114"/>
          <cell r="I2114"/>
          <cell r="J2114"/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>
            <v>1.9E-3</v>
          </cell>
        </row>
        <row r="2115">
          <cell r="A2115" t="str">
            <v>51730-116LF</v>
          </cell>
          <cell r="B2115"/>
          <cell r="C2115"/>
          <cell r="D2115"/>
          <cell r="E2115"/>
          <cell r="F2115"/>
          <cell r="G2115">
            <v>2.7099999999999999E-2</v>
          </cell>
          <cell r="H2115"/>
          <cell r="I2115"/>
          <cell r="J2115"/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>
            <v>1.9E-3</v>
          </cell>
        </row>
        <row r="2116">
          <cell r="A2116" t="str">
            <v>51730-117LF</v>
          </cell>
          <cell r="B2116"/>
          <cell r="C2116"/>
          <cell r="D2116"/>
          <cell r="E2116"/>
          <cell r="F2116"/>
          <cell r="G2116">
            <v>1.0999999999999999E-2</v>
          </cell>
          <cell r="H2116"/>
          <cell r="I2116"/>
          <cell r="J2116"/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>
            <v>1.9E-3</v>
          </cell>
        </row>
        <row r="2117">
          <cell r="A2117" t="str">
            <v>51730-119LF</v>
          </cell>
          <cell r="B2117"/>
          <cell r="C2117"/>
          <cell r="D2117"/>
          <cell r="E2117"/>
          <cell r="F2117"/>
          <cell r="G2117">
            <v>2.7099999999999999E-2</v>
          </cell>
          <cell r="H2117"/>
          <cell r="I2117"/>
          <cell r="J2117"/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>
            <v>1.9E-3</v>
          </cell>
        </row>
        <row r="2118">
          <cell r="A2118" t="str">
            <v>51730-120LF</v>
          </cell>
          <cell r="B2118"/>
          <cell r="C2118"/>
          <cell r="D2118"/>
          <cell r="E2118"/>
          <cell r="F2118"/>
          <cell r="G2118">
            <v>8.8999999999999999E-3</v>
          </cell>
          <cell r="H2118"/>
          <cell r="I2118"/>
          <cell r="J2118"/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>
            <v>1.9E-3</v>
          </cell>
        </row>
        <row r="2119">
          <cell r="A2119" t="str">
            <v>51730-121LF</v>
          </cell>
          <cell r="B2119"/>
          <cell r="C2119"/>
          <cell r="D2119"/>
          <cell r="E2119"/>
          <cell r="F2119"/>
          <cell r="G2119">
            <v>3.1800000000000002E-2</v>
          </cell>
          <cell r="H2119"/>
          <cell r="I2119"/>
          <cell r="J2119"/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>
            <v>1.6000000000000001E-3</v>
          </cell>
        </row>
        <row r="2120">
          <cell r="A2120" t="str">
            <v>51730-122LF</v>
          </cell>
          <cell r="B2120"/>
          <cell r="C2120"/>
          <cell r="D2120"/>
          <cell r="E2120"/>
          <cell r="F2120"/>
          <cell r="G2120">
            <v>2.6200000000000001E-2</v>
          </cell>
          <cell r="H2120"/>
          <cell r="I2120"/>
          <cell r="J2120"/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>
            <v>1.6000000000000001E-3</v>
          </cell>
        </row>
        <row r="2121">
          <cell r="A2121" t="str">
            <v>51730-123LF</v>
          </cell>
          <cell r="B2121"/>
          <cell r="C2121"/>
          <cell r="D2121"/>
          <cell r="E2121"/>
          <cell r="F2121"/>
          <cell r="G2121">
            <v>1.8499999999999999E-2</v>
          </cell>
          <cell r="H2121"/>
          <cell r="I2121"/>
          <cell r="J2121"/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>
            <v>1.6000000000000001E-3</v>
          </cell>
        </row>
        <row r="2122">
          <cell r="A2122" t="str">
            <v>51730-123LF-SA</v>
          </cell>
          <cell r="B2122"/>
          <cell r="C2122"/>
          <cell r="D2122"/>
          <cell r="E2122"/>
          <cell r="F2122"/>
          <cell r="G2122">
            <v>1.8499999999999999E-2</v>
          </cell>
          <cell r="H2122"/>
          <cell r="I2122"/>
          <cell r="J2122"/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>
            <v>1.6000000000000001E-3</v>
          </cell>
        </row>
        <row r="2123">
          <cell r="A2123" t="str">
            <v>51730-123PGSALF</v>
          </cell>
          <cell r="B2123"/>
          <cell r="C2123"/>
          <cell r="D2123"/>
          <cell r="E2123"/>
          <cell r="F2123"/>
          <cell r="G2123">
            <v>1.8499999999999999E-2</v>
          </cell>
          <cell r="H2123"/>
          <cell r="I2123"/>
          <cell r="J2123"/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>
            <v>1.6000000000000001E-3</v>
          </cell>
        </row>
        <row r="2124">
          <cell r="A2124" t="str">
            <v>51730-124LF</v>
          </cell>
          <cell r="B2124"/>
          <cell r="C2124"/>
          <cell r="D2124"/>
          <cell r="E2124"/>
          <cell r="F2124"/>
          <cell r="G2124">
            <v>3.6499999999999998E-2</v>
          </cell>
          <cell r="H2124"/>
          <cell r="I2124"/>
          <cell r="J2124"/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>
            <v>2.0999999999999999E-3</v>
          </cell>
        </row>
        <row r="2125">
          <cell r="A2125" t="str">
            <v>51730-126LF</v>
          </cell>
          <cell r="B2125"/>
          <cell r="C2125"/>
          <cell r="D2125"/>
          <cell r="E2125"/>
          <cell r="F2125"/>
          <cell r="G2125">
            <v>3.6499999999999998E-2</v>
          </cell>
          <cell r="H2125"/>
          <cell r="I2125"/>
          <cell r="J2125"/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>
            <v>2.0999999999999999E-3</v>
          </cell>
        </row>
        <row r="2126">
          <cell r="A2126" t="str">
            <v>51730-129LF</v>
          </cell>
          <cell r="B2126"/>
          <cell r="C2126"/>
          <cell r="D2126"/>
          <cell r="E2126"/>
          <cell r="F2126"/>
          <cell r="G2126">
            <v>2.9000000000000001E-2</v>
          </cell>
          <cell r="H2126"/>
          <cell r="I2126"/>
          <cell r="J2126"/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>
            <v>1.6000000000000001E-3</v>
          </cell>
        </row>
        <row r="2127">
          <cell r="A2127" t="str">
            <v>51730-130LF</v>
          </cell>
          <cell r="B2127"/>
          <cell r="C2127"/>
          <cell r="D2127"/>
          <cell r="E2127"/>
          <cell r="F2127"/>
          <cell r="G2127">
            <v>1.3940274000000001E-2</v>
          </cell>
          <cell r="H2127"/>
          <cell r="I2127"/>
          <cell r="J2127"/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>
            <v>1.6000000000000001E-3</v>
          </cell>
        </row>
        <row r="2128">
          <cell r="A2128" t="str">
            <v>51730-132LF</v>
          </cell>
          <cell r="B2128"/>
          <cell r="C2128"/>
          <cell r="D2128"/>
          <cell r="E2128"/>
          <cell r="F2128"/>
          <cell r="G2128">
            <v>2.9899999999999999E-2</v>
          </cell>
          <cell r="H2128"/>
          <cell r="I2128"/>
          <cell r="J2128"/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>
            <v>1.6000000000000001E-3</v>
          </cell>
        </row>
        <row r="2129">
          <cell r="A2129" t="str">
            <v>51730-133LF</v>
          </cell>
          <cell r="B2129"/>
          <cell r="C2129"/>
          <cell r="D2129"/>
          <cell r="E2129"/>
          <cell r="F2129"/>
          <cell r="G2129">
            <v>1.9599999999999999E-2</v>
          </cell>
          <cell r="H2129"/>
          <cell r="I2129"/>
          <cell r="J2129"/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>
            <v>1.6000000000000001E-3</v>
          </cell>
        </row>
        <row r="2130">
          <cell r="A2130" t="str">
            <v>51730-134LF</v>
          </cell>
          <cell r="B2130"/>
          <cell r="C2130"/>
          <cell r="D2130"/>
          <cell r="E2130"/>
          <cell r="F2130"/>
          <cell r="G2130">
            <v>2.9000000000000001E-2</v>
          </cell>
          <cell r="H2130"/>
          <cell r="I2130"/>
          <cell r="J2130"/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>
            <v>1.6000000000000001E-3</v>
          </cell>
        </row>
        <row r="2131">
          <cell r="A2131" t="str">
            <v>51730-135LF</v>
          </cell>
          <cell r="B2131"/>
          <cell r="C2131"/>
          <cell r="D2131"/>
          <cell r="E2131"/>
          <cell r="F2131"/>
          <cell r="G2131">
            <v>3.9300000000000002E-2</v>
          </cell>
          <cell r="H2131"/>
          <cell r="I2131"/>
          <cell r="J2131"/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>
            <v>1.9E-3</v>
          </cell>
        </row>
        <row r="2132">
          <cell r="A2132" t="str">
            <v>51730-137LF</v>
          </cell>
          <cell r="B2132"/>
          <cell r="C2132"/>
          <cell r="D2132"/>
          <cell r="E2132"/>
          <cell r="F2132"/>
          <cell r="G2132">
            <v>2.9000000000000001E-2</v>
          </cell>
          <cell r="H2132"/>
          <cell r="I2132"/>
          <cell r="J2132"/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>
            <v>1.9E-3</v>
          </cell>
        </row>
        <row r="2133">
          <cell r="A2133" t="str">
            <v>51730-138LF</v>
          </cell>
          <cell r="B2133"/>
          <cell r="C2133"/>
          <cell r="D2133"/>
          <cell r="E2133"/>
          <cell r="F2133"/>
          <cell r="G2133">
            <v>2.9000000000000001E-2</v>
          </cell>
          <cell r="H2133"/>
          <cell r="I2133"/>
          <cell r="J2133"/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>
            <v>1.9E-3</v>
          </cell>
        </row>
        <row r="2134">
          <cell r="A2134" t="str">
            <v>51730-139LF</v>
          </cell>
          <cell r="B2134"/>
          <cell r="C2134"/>
          <cell r="D2134"/>
          <cell r="E2134"/>
          <cell r="F2134"/>
          <cell r="G2134">
            <v>4.1099999999999998E-2</v>
          </cell>
          <cell r="H2134"/>
          <cell r="I2134"/>
          <cell r="J2134"/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>
            <v>1.9E-3</v>
          </cell>
        </row>
        <row r="2135">
          <cell r="A2135" t="str">
            <v>51730-141LF</v>
          </cell>
          <cell r="B2135"/>
          <cell r="C2135"/>
          <cell r="D2135"/>
          <cell r="E2135"/>
          <cell r="F2135"/>
          <cell r="G2135">
            <v>1.5100000000000001E-2</v>
          </cell>
          <cell r="H2135"/>
          <cell r="I2135"/>
          <cell r="J2135"/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>
            <v>1.9E-3</v>
          </cell>
        </row>
        <row r="2136">
          <cell r="A2136" t="str">
            <v>51730-142LF</v>
          </cell>
          <cell r="B2136"/>
          <cell r="C2136"/>
          <cell r="D2136"/>
          <cell r="E2136"/>
          <cell r="F2136"/>
          <cell r="G2136">
            <v>4.4900000000000002E-2</v>
          </cell>
          <cell r="H2136"/>
          <cell r="I2136"/>
          <cell r="J2136"/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>
            <v>1.9E-3</v>
          </cell>
        </row>
        <row r="2137">
          <cell r="A2137" t="str">
            <v>51730-143LF</v>
          </cell>
          <cell r="B2137"/>
          <cell r="C2137"/>
          <cell r="D2137"/>
          <cell r="E2137"/>
          <cell r="F2137"/>
          <cell r="G2137">
            <v>4.9000000000000002E-2</v>
          </cell>
          <cell r="H2137"/>
          <cell r="I2137"/>
          <cell r="J2137"/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>
            <v>1.9E-3</v>
          </cell>
        </row>
        <row r="2138">
          <cell r="A2138" t="str">
            <v>51730-145LF</v>
          </cell>
          <cell r="B2138"/>
          <cell r="C2138"/>
          <cell r="D2138"/>
          <cell r="E2138"/>
          <cell r="F2138"/>
          <cell r="G2138">
            <v>2.0617046E-2</v>
          </cell>
          <cell r="H2138"/>
          <cell r="I2138"/>
          <cell r="J2138"/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>
            <v>1.9E-3</v>
          </cell>
        </row>
        <row r="2139">
          <cell r="A2139" t="str">
            <v>51730-146LF</v>
          </cell>
          <cell r="B2139"/>
          <cell r="C2139"/>
          <cell r="D2139"/>
          <cell r="E2139"/>
          <cell r="F2139"/>
          <cell r="G2139">
            <v>1.37E-2</v>
          </cell>
          <cell r="H2139"/>
          <cell r="I2139"/>
          <cell r="J2139"/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>
            <v>1.9E-3</v>
          </cell>
        </row>
        <row r="2140">
          <cell r="A2140" t="str">
            <v>51730-147LF</v>
          </cell>
          <cell r="B2140"/>
          <cell r="C2140"/>
          <cell r="D2140"/>
          <cell r="E2140"/>
          <cell r="F2140"/>
          <cell r="G2140">
            <v>1.83E-2</v>
          </cell>
          <cell r="H2140"/>
          <cell r="I2140"/>
          <cell r="J2140"/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>
            <v>1.9E-3</v>
          </cell>
        </row>
        <row r="2141">
          <cell r="A2141" t="str">
            <v>51730-148LF</v>
          </cell>
          <cell r="B2141"/>
          <cell r="C2141"/>
          <cell r="D2141"/>
          <cell r="E2141"/>
          <cell r="F2141"/>
          <cell r="G2141">
            <v>2.2599999999999999E-2</v>
          </cell>
          <cell r="H2141"/>
          <cell r="I2141"/>
          <cell r="J2141"/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>
            <v>1.9E-3</v>
          </cell>
        </row>
        <row r="2142">
          <cell r="A2142" t="str">
            <v>51730-149LF</v>
          </cell>
          <cell r="B2142"/>
          <cell r="C2142"/>
          <cell r="D2142"/>
          <cell r="E2142"/>
          <cell r="F2142"/>
          <cell r="G2142">
            <v>1.1900000000000001E-2</v>
          </cell>
          <cell r="H2142"/>
          <cell r="I2142"/>
          <cell r="J2142"/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>
            <v>1.9E-3</v>
          </cell>
        </row>
        <row r="2143">
          <cell r="A2143" t="str">
            <v>51730-150LF</v>
          </cell>
          <cell r="B2143"/>
          <cell r="C2143"/>
          <cell r="D2143"/>
          <cell r="E2143"/>
          <cell r="F2143"/>
          <cell r="G2143">
            <v>3.4599999999999999E-2</v>
          </cell>
          <cell r="H2143"/>
          <cell r="I2143"/>
          <cell r="J2143"/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>
            <v>1.9E-3</v>
          </cell>
        </row>
        <row r="2144">
          <cell r="A2144" t="str">
            <v>51730-151LF</v>
          </cell>
          <cell r="B2144"/>
          <cell r="C2144"/>
          <cell r="D2144"/>
          <cell r="E2144"/>
          <cell r="F2144"/>
          <cell r="G2144">
            <v>2.4400000000000002E-2</v>
          </cell>
          <cell r="H2144"/>
          <cell r="I2144"/>
          <cell r="J2144"/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>
            <v>1.9E-3</v>
          </cell>
        </row>
        <row r="2145">
          <cell r="A2145" t="str">
            <v>51730-153LF</v>
          </cell>
          <cell r="B2145"/>
          <cell r="C2145"/>
          <cell r="D2145"/>
          <cell r="E2145"/>
          <cell r="F2145"/>
          <cell r="G2145">
            <v>2.3195907000000002E-2</v>
          </cell>
          <cell r="H2145"/>
          <cell r="I2145"/>
          <cell r="J2145"/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>
            <v>1.9E-3</v>
          </cell>
        </row>
        <row r="2146">
          <cell r="A2146" t="str">
            <v>51730-154LF</v>
          </cell>
          <cell r="B2146"/>
          <cell r="C2146"/>
          <cell r="D2146"/>
          <cell r="E2146"/>
          <cell r="F2146"/>
          <cell r="G2146">
            <v>4.2000000000000003E-2</v>
          </cell>
          <cell r="H2146"/>
          <cell r="I2146"/>
          <cell r="J2146"/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>
            <v>1.9E-3</v>
          </cell>
        </row>
        <row r="2147">
          <cell r="A2147" t="str">
            <v>51730-155LF</v>
          </cell>
          <cell r="B2147"/>
          <cell r="C2147"/>
          <cell r="D2147"/>
          <cell r="E2147"/>
          <cell r="F2147"/>
          <cell r="G2147">
            <v>2.4997999999999999E-3</v>
          </cell>
          <cell r="H2147"/>
          <cell r="I2147"/>
          <cell r="J2147"/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>
            <v>1.6378E-3</v>
          </cell>
        </row>
        <row r="2148">
          <cell r="A2148" t="str">
            <v>51730-156LF</v>
          </cell>
          <cell r="B2148"/>
          <cell r="C2148"/>
          <cell r="D2148"/>
          <cell r="E2148"/>
          <cell r="F2148"/>
          <cell r="G2148">
            <v>2.9000000000000001E-2</v>
          </cell>
          <cell r="H2148"/>
          <cell r="I2148"/>
          <cell r="J2148"/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>
            <v>1.9E-3</v>
          </cell>
        </row>
        <row r="2149">
          <cell r="A2149" t="str">
            <v>51730-157LF</v>
          </cell>
          <cell r="B2149"/>
          <cell r="C2149"/>
          <cell r="D2149"/>
          <cell r="E2149"/>
          <cell r="F2149"/>
          <cell r="G2149">
            <v>2.4299999999999999E-2</v>
          </cell>
          <cell r="H2149"/>
          <cell r="I2149"/>
          <cell r="J2149"/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>
            <v>1.9E-3</v>
          </cell>
        </row>
        <row r="2150">
          <cell r="A2150" t="str">
            <v>51730-158LF</v>
          </cell>
          <cell r="B2150"/>
          <cell r="C2150"/>
          <cell r="D2150"/>
          <cell r="E2150"/>
          <cell r="F2150"/>
          <cell r="G2150">
            <v>2.9899999999999999E-2</v>
          </cell>
          <cell r="H2150"/>
          <cell r="I2150"/>
          <cell r="J2150"/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>
            <v>1.9E-3</v>
          </cell>
        </row>
        <row r="2151">
          <cell r="A2151" t="str">
            <v>51730-159LF</v>
          </cell>
          <cell r="B2151"/>
          <cell r="C2151"/>
          <cell r="D2151"/>
          <cell r="E2151"/>
          <cell r="F2151"/>
          <cell r="G2151">
            <v>2.9000000000000001E-2</v>
          </cell>
          <cell r="H2151"/>
          <cell r="I2151"/>
          <cell r="J2151"/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>
            <v>2E-3</v>
          </cell>
        </row>
        <row r="2152">
          <cell r="A2152" t="str">
            <v>51730-161LF</v>
          </cell>
          <cell r="B2152"/>
          <cell r="C2152"/>
          <cell r="D2152"/>
          <cell r="E2152"/>
          <cell r="F2152"/>
          <cell r="G2152">
            <v>1.4238567000000001E-2</v>
          </cell>
          <cell r="H2152"/>
          <cell r="I2152"/>
          <cell r="J2152"/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>
            <v>2E-3</v>
          </cell>
        </row>
        <row r="2153">
          <cell r="A2153" t="str">
            <v>51730-162LF</v>
          </cell>
          <cell r="B2153"/>
          <cell r="C2153"/>
          <cell r="D2153"/>
          <cell r="E2153"/>
          <cell r="F2153"/>
          <cell r="G2153">
            <v>1.29E-2</v>
          </cell>
          <cell r="H2153"/>
          <cell r="I2153"/>
          <cell r="J2153"/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>
            <v>2E-3</v>
          </cell>
        </row>
        <row r="2154">
          <cell r="A2154" t="str">
            <v>51730-165LF</v>
          </cell>
          <cell r="B2154"/>
          <cell r="C2154"/>
          <cell r="D2154"/>
          <cell r="E2154"/>
          <cell r="F2154"/>
          <cell r="G2154">
            <v>2.3199999999999998E-2</v>
          </cell>
          <cell r="H2154"/>
          <cell r="I2154"/>
          <cell r="J2154"/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>
            <v>2E-3</v>
          </cell>
        </row>
        <row r="2155">
          <cell r="A2155" t="str">
            <v>51730-166LF</v>
          </cell>
          <cell r="B2155"/>
          <cell r="C2155"/>
          <cell r="D2155"/>
          <cell r="E2155"/>
          <cell r="F2155"/>
          <cell r="G2155">
            <v>2.9000000000000001E-2</v>
          </cell>
          <cell r="H2155"/>
          <cell r="I2155"/>
          <cell r="J2155"/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>
            <v>2E-3</v>
          </cell>
        </row>
        <row r="2156">
          <cell r="A2156" t="str">
            <v>51730-167LF</v>
          </cell>
          <cell r="B2156"/>
          <cell r="C2156"/>
          <cell r="D2156"/>
          <cell r="E2156"/>
          <cell r="F2156"/>
          <cell r="G2156">
            <v>3.1E-2</v>
          </cell>
          <cell r="H2156"/>
          <cell r="I2156"/>
          <cell r="J2156"/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>
            <v>2E-3</v>
          </cell>
        </row>
        <row r="2157">
          <cell r="A2157" t="str">
            <v>51730-168LF</v>
          </cell>
          <cell r="B2157"/>
          <cell r="C2157"/>
          <cell r="D2157"/>
          <cell r="E2157"/>
          <cell r="F2157"/>
          <cell r="G2157">
            <v>2.8000000000000001E-2</v>
          </cell>
          <cell r="H2157"/>
          <cell r="I2157"/>
          <cell r="J2157"/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>
            <v>2E-3</v>
          </cell>
        </row>
        <row r="2158">
          <cell r="A2158" t="str">
            <v>51730-169LF</v>
          </cell>
          <cell r="B2158"/>
          <cell r="C2158"/>
          <cell r="D2158"/>
          <cell r="E2158"/>
          <cell r="F2158"/>
          <cell r="G2158">
            <v>2.3E-2</v>
          </cell>
          <cell r="H2158"/>
          <cell r="I2158"/>
          <cell r="J2158"/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>
            <v>2E-3</v>
          </cell>
        </row>
        <row r="2159">
          <cell r="A2159" t="str">
            <v>51730-172LF</v>
          </cell>
          <cell r="B2159"/>
          <cell r="C2159"/>
          <cell r="D2159"/>
          <cell r="E2159"/>
          <cell r="F2159"/>
          <cell r="G2159">
            <v>2.8000000000000001E-2</v>
          </cell>
          <cell r="H2159"/>
          <cell r="I2159"/>
          <cell r="J2159"/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>
            <v>2E-3</v>
          </cell>
        </row>
        <row r="2160">
          <cell r="A2160" t="str">
            <v>51730-174LF</v>
          </cell>
          <cell r="B2160"/>
          <cell r="C2160"/>
          <cell r="D2160"/>
          <cell r="E2160"/>
          <cell r="F2160"/>
          <cell r="G2160">
            <v>2.5999999999999999E-2</v>
          </cell>
          <cell r="H2160"/>
          <cell r="I2160"/>
          <cell r="J2160"/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>
            <v>2E-3</v>
          </cell>
        </row>
        <row r="2161">
          <cell r="A2161" t="str">
            <v>51730-175LF</v>
          </cell>
          <cell r="B2161"/>
          <cell r="C2161"/>
          <cell r="D2161"/>
          <cell r="E2161"/>
          <cell r="F2161"/>
          <cell r="G2161">
            <v>3.4000000000000002E-2</v>
          </cell>
          <cell r="H2161"/>
          <cell r="I2161"/>
          <cell r="J2161"/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>
            <v>2E-3</v>
          </cell>
        </row>
        <row r="2162">
          <cell r="A2162" t="str">
            <v>51730-176LF</v>
          </cell>
          <cell r="B2162"/>
          <cell r="C2162"/>
          <cell r="D2162"/>
          <cell r="E2162"/>
          <cell r="F2162"/>
          <cell r="G2162">
            <v>1.9900000000000001E-2</v>
          </cell>
          <cell r="H2162"/>
          <cell r="I2162"/>
          <cell r="J2162"/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>
            <v>2E-3</v>
          </cell>
        </row>
        <row r="2163">
          <cell r="A2163" t="str">
            <v>51730-178LF</v>
          </cell>
          <cell r="B2163"/>
          <cell r="C2163"/>
          <cell r="D2163"/>
          <cell r="E2163"/>
          <cell r="F2163"/>
          <cell r="G2163">
            <v>2.9000000000000001E-2</v>
          </cell>
          <cell r="H2163"/>
          <cell r="I2163"/>
          <cell r="J2163"/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>
            <v>2E-3</v>
          </cell>
        </row>
        <row r="2164">
          <cell r="A2164" t="str">
            <v>51730-179LF</v>
          </cell>
          <cell r="B2164"/>
          <cell r="C2164"/>
          <cell r="D2164"/>
          <cell r="E2164"/>
          <cell r="F2164"/>
          <cell r="G2164">
            <v>3.2399999999999998E-2</v>
          </cell>
          <cell r="H2164"/>
          <cell r="I2164"/>
          <cell r="J2164"/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>
            <v>2E-3</v>
          </cell>
        </row>
        <row r="2165">
          <cell r="A2165" t="str">
            <v>51730-180LF</v>
          </cell>
          <cell r="B2165"/>
          <cell r="C2165"/>
          <cell r="D2165"/>
          <cell r="E2165"/>
          <cell r="F2165"/>
          <cell r="G2165">
            <v>3.2000000000000001E-2</v>
          </cell>
          <cell r="H2165"/>
          <cell r="I2165"/>
          <cell r="J2165"/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>
            <v>2E-3</v>
          </cell>
        </row>
        <row r="2166">
          <cell r="A2166" t="str">
            <v>51730-181LF</v>
          </cell>
          <cell r="B2166"/>
          <cell r="C2166"/>
          <cell r="D2166"/>
          <cell r="E2166"/>
          <cell r="F2166"/>
          <cell r="G2166">
            <v>2.47E-2</v>
          </cell>
          <cell r="H2166"/>
          <cell r="I2166"/>
          <cell r="J2166"/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>
            <v>2E-3</v>
          </cell>
        </row>
        <row r="2167">
          <cell r="A2167" t="str">
            <v>51730-183LF</v>
          </cell>
          <cell r="B2167"/>
          <cell r="C2167"/>
          <cell r="D2167"/>
          <cell r="E2167"/>
          <cell r="F2167"/>
          <cell r="G2167">
            <v>3.1E-2</v>
          </cell>
          <cell r="H2167"/>
          <cell r="I2167"/>
          <cell r="J2167"/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>
            <v>2E-3</v>
          </cell>
        </row>
        <row r="2168">
          <cell r="A2168" t="str">
            <v>51730-184LF</v>
          </cell>
          <cell r="B2168"/>
          <cell r="C2168"/>
          <cell r="D2168"/>
          <cell r="E2168"/>
          <cell r="F2168"/>
          <cell r="G2168">
            <v>3.1E-2</v>
          </cell>
          <cell r="H2168"/>
          <cell r="I2168"/>
          <cell r="J2168"/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>
            <v>2E-3</v>
          </cell>
        </row>
        <row r="2169">
          <cell r="A2169" t="str">
            <v>51730-185LF</v>
          </cell>
          <cell r="B2169"/>
          <cell r="C2169"/>
          <cell r="D2169"/>
          <cell r="E2169"/>
          <cell r="F2169"/>
          <cell r="G2169">
            <v>2.8000000000000001E-2</v>
          </cell>
          <cell r="H2169"/>
          <cell r="I2169"/>
          <cell r="J2169"/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>
            <v>2E-3</v>
          </cell>
        </row>
        <row r="2170">
          <cell r="A2170" t="str">
            <v>51730-186LF</v>
          </cell>
          <cell r="B2170"/>
          <cell r="C2170"/>
          <cell r="D2170"/>
          <cell r="E2170"/>
          <cell r="F2170"/>
          <cell r="G2170">
            <v>2.7E-2</v>
          </cell>
          <cell r="H2170"/>
          <cell r="I2170"/>
          <cell r="J2170"/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>
            <v>2E-3</v>
          </cell>
        </row>
        <row r="2171">
          <cell r="A2171" t="str">
            <v>51730-187LF</v>
          </cell>
          <cell r="B2171"/>
          <cell r="C2171"/>
          <cell r="D2171"/>
          <cell r="E2171"/>
          <cell r="F2171"/>
          <cell r="G2171">
            <v>2.7E-2</v>
          </cell>
          <cell r="H2171"/>
          <cell r="I2171"/>
          <cell r="J2171"/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>
            <v>2E-3</v>
          </cell>
        </row>
        <row r="2172">
          <cell r="A2172" t="str">
            <v>51730-188LF</v>
          </cell>
          <cell r="B2172"/>
          <cell r="C2172"/>
          <cell r="D2172"/>
          <cell r="E2172"/>
          <cell r="F2172"/>
          <cell r="G2172">
            <v>0.04</v>
          </cell>
          <cell r="H2172"/>
          <cell r="I2172"/>
          <cell r="J2172"/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>
            <v>2E-3</v>
          </cell>
        </row>
        <row r="2173">
          <cell r="A2173" t="str">
            <v>51730-189LF</v>
          </cell>
          <cell r="B2173"/>
          <cell r="C2173"/>
          <cell r="D2173"/>
          <cell r="E2173"/>
          <cell r="F2173"/>
          <cell r="G2173">
            <v>3.5099999999999999E-2</v>
          </cell>
          <cell r="H2173"/>
          <cell r="I2173"/>
          <cell r="J2173"/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>
            <v>2E-3</v>
          </cell>
        </row>
        <row r="2174">
          <cell r="A2174" t="str">
            <v>51730-194LF</v>
          </cell>
          <cell r="B2174"/>
          <cell r="C2174"/>
          <cell r="D2174"/>
          <cell r="E2174"/>
          <cell r="F2174"/>
          <cell r="G2174">
            <v>2.7E-2</v>
          </cell>
          <cell r="H2174"/>
          <cell r="I2174"/>
          <cell r="J2174"/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>
            <v>2E-3</v>
          </cell>
        </row>
        <row r="2175">
          <cell r="A2175" t="str">
            <v>51730-195LF</v>
          </cell>
          <cell r="B2175"/>
          <cell r="C2175"/>
          <cell r="D2175"/>
          <cell r="E2175"/>
          <cell r="F2175"/>
          <cell r="G2175">
            <v>1.5800000000000002E-2</v>
          </cell>
          <cell r="H2175"/>
          <cell r="I2175"/>
          <cell r="J2175"/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>
            <v>2E-3</v>
          </cell>
        </row>
        <row r="2176">
          <cell r="A2176" t="str">
            <v>51730-196LF</v>
          </cell>
          <cell r="B2176"/>
          <cell r="C2176"/>
          <cell r="D2176"/>
          <cell r="E2176"/>
          <cell r="F2176"/>
          <cell r="G2176">
            <v>3.2000000000000001E-2</v>
          </cell>
          <cell r="H2176"/>
          <cell r="I2176"/>
          <cell r="J2176"/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>
            <v>2E-3</v>
          </cell>
        </row>
        <row r="2177">
          <cell r="A2177" t="str">
            <v>51730-197LF</v>
          </cell>
          <cell r="B2177"/>
          <cell r="C2177"/>
          <cell r="D2177"/>
          <cell r="E2177"/>
          <cell r="F2177"/>
          <cell r="G2177">
            <v>3.1E-2</v>
          </cell>
          <cell r="H2177"/>
          <cell r="I2177"/>
          <cell r="J2177"/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>
            <v>2E-3</v>
          </cell>
        </row>
        <row r="2178">
          <cell r="A2178" t="str">
            <v>51730-198LF</v>
          </cell>
          <cell r="B2178"/>
          <cell r="C2178"/>
          <cell r="D2178"/>
          <cell r="E2178"/>
          <cell r="F2178"/>
          <cell r="G2178">
            <v>1.54E-2</v>
          </cell>
          <cell r="H2178"/>
          <cell r="I2178"/>
          <cell r="J2178"/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>
            <v>2E-3</v>
          </cell>
        </row>
        <row r="2179">
          <cell r="A2179" t="str">
            <v>51730-199LF</v>
          </cell>
          <cell r="B2179"/>
          <cell r="C2179"/>
          <cell r="D2179"/>
          <cell r="E2179"/>
          <cell r="F2179"/>
          <cell r="G2179">
            <v>2.5000000000000001E-2</v>
          </cell>
          <cell r="H2179"/>
          <cell r="I2179"/>
          <cell r="J2179"/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>
            <v>2E-3</v>
          </cell>
        </row>
        <row r="2180">
          <cell r="A2180" t="str">
            <v>51730-202LF</v>
          </cell>
          <cell r="B2180"/>
          <cell r="C2180"/>
          <cell r="D2180"/>
          <cell r="E2180"/>
          <cell r="F2180"/>
          <cell r="G2180">
            <v>2.5999999999999999E-2</v>
          </cell>
          <cell r="H2180"/>
          <cell r="I2180"/>
          <cell r="J2180"/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>
            <v>2E-3</v>
          </cell>
        </row>
        <row r="2181">
          <cell r="A2181" t="str">
            <v>51730-203LF</v>
          </cell>
          <cell r="B2181"/>
          <cell r="C2181"/>
          <cell r="D2181"/>
          <cell r="E2181"/>
          <cell r="F2181"/>
          <cell r="G2181">
            <v>2.0799999999999999E-2</v>
          </cell>
          <cell r="H2181"/>
          <cell r="I2181"/>
          <cell r="J2181"/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>
            <v>2E-3</v>
          </cell>
        </row>
        <row r="2182">
          <cell r="A2182" t="str">
            <v>51730-205LF</v>
          </cell>
          <cell r="B2182"/>
          <cell r="C2182"/>
          <cell r="D2182"/>
          <cell r="E2182"/>
          <cell r="F2182"/>
          <cell r="G2182">
            <v>3.1E-2</v>
          </cell>
          <cell r="H2182"/>
          <cell r="I2182"/>
          <cell r="J2182"/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>
            <v>2E-3</v>
          </cell>
        </row>
        <row r="2183">
          <cell r="A2183" t="str">
            <v>51730-206LF</v>
          </cell>
          <cell r="B2183"/>
          <cell r="C2183"/>
          <cell r="D2183"/>
          <cell r="E2183"/>
          <cell r="F2183"/>
          <cell r="G2183">
            <v>2.8000000000000001E-2</v>
          </cell>
          <cell r="H2183"/>
          <cell r="I2183"/>
          <cell r="J2183"/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>
            <v>2E-3</v>
          </cell>
        </row>
        <row r="2184">
          <cell r="A2184" t="str">
            <v>51730-207LF</v>
          </cell>
          <cell r="B2184"/>
          <cell r="C2184"/>
          <cell r="D2184"/>
          <cell r="E2184"/>
          <cell r="F2184"/>
          <cell r="G2184">
            <v>2.8000000000000001E-2</v>
          </cell>
          <cell r="H2184"/>
          <cell r="I2184"/>
          <cell r="J2184"/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>
            <v>2E-3</v>
          </cell>
        </row>
        <row r="2185">
          <cell r="A2185" t="str">
            <v>51730-208LF</v>
          </cell>
          <cell r="B2185"/>
          <cell r="C2185"/>
          <cell r="D2185"/>
          <cell r="E2185"/>
          <cell r="F2185"/>
          <cell r="G2185">
            <v>2.7E-2</v>
          </cell>
          <cell r="H2185"/>
          <cell r="I2185"/>
          <cell r="J2185"/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>
            <v>2E-3</v>
          </cell>
        </row>
        <row r="2186">
          <cell r="A2186" t="str">
            <v>51730-212LF</v>
          </cell>
          <cell r="B2186"/>
          <cell r="C2186"/>
          <cell r="D2186"/>
          <cell r="E2186"/>
          <cell r="F2186"/>
          <cell r="G2186">
            <v>2.8000000000000001E-2</v>
          </cell>
          <cell r="H2186"/>
          <cell r="I2186"/>
          <cell r="J2186"/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>
            <v>3.3E-3</v>
          </cell>
        </row>
        <row r="2187">
          <cell r="A2187" t="str">
            <v>51730-213LF</v>
          </cell>
          <cell r="B2187"/>
          <cell r="C2187"/>
          <cell r="D2187"/>
          <cell r="E2187"/>
          <cell r="F2187"/>
          <cell r="G2187">
            <v>2.9000000000000001E-2</v>
          </cell>
          <cell r="H2187"/>
          <cell r="I2187"/>
          <cell r="J2187"/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>
            <v>2E-3</v>
          </cell>
        </row>
        <row r="2188">
          <cell r="A2188" t="str">
            <v>51730-215LF</v>
          </cell>
          <cell r="B2188"/>
          <cell r="C2188"/>
          <cell r="D2188"/>
          <cell r="E2188"/>
          <cell r="F2188"/>
          <cell r="G2188">
            <v>3.1E-2</v>
          </cell>
          <cell r="H2188"/>
          <cell r="I2188"/>
          <cell r="J2188"/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>
            <v>2E-3</v>
          </cell>
        </row>
        <row r="2189">
          <cell r="A2189" t="str">
            <v>51730-215STLF</v>
          </cell>
          <cell r="B2189"/>
          <cell r="C2189"/>
          <cell r="D2189"/>
          <cell r="E2189"/>
          <cell r="F2189"/>
          <cell r="G2189">
            <v>2.9000000000000001E-2</v>
          </cell>
          <cell r="H2189"/>
          <cell r="I2189"/>
          <cell r="J2189"/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>
            <v>2E-3</v>
          </cell>
        </row>
        <row r="2190">
          <cell r="A2190" t="str">
            <v>51730-216LF</v>
          </cell>
          <cell r="B2190"/>
          <cell r="C2190"/>
          <cell r="D2190"/>
          <cell r="E2190"/>
          <cell r="F2190"/>
          <cell r="G2190">
            <v>3.1E-2</v>
          </cell>
          <cell r="H2190"/>
          <cell r="I2190"/>
          <cell r="J2190"/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>
            <v>2E-3</v>
          </cell>
        </row>
        <row r="2191">
          <cell r="A2191" t="str">
            <v>51730-217LF</v>
          </cell>
          <cell r="B2191"/>
          <cell r="C2191"/>
          <cell r="D2191"/>
          <cell r="E2191"/>
          <cell r="F2191"/>
          <cell r="G2191">
            <v>2.47E-2</v>
          </cell>
          <cell r="H2191"/>
          <cell r="I2191"/>
          <cell r="J2191"/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>
            <v>2E-3</v>
          </cell>
        </row>
        <row r="2192">
          <cell r="A2192" t="str">
            <v>51730-218LF</v>
          </cell>
          <cell r="B2192"/>
          <cell r="C2192"/>
          <cell r="D2192"/>
          <cell r="E2192"/>
          <cell r="F2192"/>
          <cell r="G2192">
            <v>3.1E-2</v>
          </cell>
          <cell r="H2192"/>
          <cell r="I2192"/>
          <cell r="J2192"/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>
            <v>2E-3</v>
          </cell>
        </row>
        <row r="2193">
          <cell r="A2193" t="str">
            <v>51730-219LF</v>
          </cell>
          <cell r="B2193"/>
          <cell r="C2193"/>
          <cell r="D2193"/>
          <cell r="E2193"/>
          <cell r="F2193"/>
          <cell r="G2193">
            <v>1.8181817999999999E-2</v>
          </cell>
          <cell r="H2193"/>
          <cell r="I2193"/>
          <cell r="J2193"/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>
            <v>2E-3</v>
          </cell>
        </row>
        <row r="2194">
          <cell r="A2194" t="str">
            <v>51730-220LF</v>
          </cell>
          <cell r="B2194"/>
          <cell r="C2194"/>
          <cell r="D2194"/>
          <cell r="E2194"/>
          <cell r="F2194"/>
          <cell r="G2194">
            <v>3.1E-2</v>
          </cell>
          <cell r="H2194"/>
          <cell r="I2194"/>
          <cell r="J2194"/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>
            <v>2E-3</v>
          </cell>
        </row>
        <row r="2195">
          <cell r="A2195" t="str">
            <v>51730-221LF</v>
          </cell>
          <cell r="B2195"/>
          <cell r="C2195"/>
          <cell r="D2195"/>
          <cell r="E2195"/>
          <cell r="F2195"/>
          <cell r="G2195">
            <v>2.7E-2</v>
          </cell>
          <cell r="H2195"/>
          <cell r="I2195"/>
          <cell r="J2195"/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>
            <v>2E-3</v>
          </cell>
        </row>
        <row r="2196">
          <cell r="A2196" t="str">
            <v>51730-223LF</v>
          </cell>
          <cell r="B2196"/>
          <cell r="C2196"/>
          <cell r="D2196"/>
          <cell r="E2196"/>
          <cell r="F2196"/>
          <cell r="G2196">
            <v>2.1000000000000001E-2</v>
          </cell>
          <cell r="H2196"/>
          <cell r="I2196"/>
          <cell r="J2196"/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>
            <v>2E-3</v>
          </cell>
        </row>
        <row r="2197">
          <cell r="A2197" t="str">
            <v>51730-229LF</v>
          </cell>
          <cell r="B2197"/>
          <cell r="C2197"/>
          <cell r="D2197"/>
          <cell r="E2197"/>
          <cell r="F2197"/>
          <cell r="G2197">
            <v>3.2000000000000001E-2</v>
          </cell>
          <cell r="H2197"/>
          <cell r="I2197"/>
          <cell r="J2197"/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>
            <v>2E-3</v>
          </cell>
        </row>
        <row r="2198">
          <cell r="A2198" t="str">
            <v>51730-230LF</v>
          </cell>
          <cell r="B2198"/>
          <cell r="C2198"/>
          <cell r="D2198"/>
          <cell r="E2198"/>
          <cell r="F2198"/>
          <cell r="G2198">
            <v>3.2000000000000001E-2</v>
          </cell>
          <cell r="H2198"/>
          <cell r="I2198"/>
          <cell r="J2198"/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>
            <v>2E-3</v>
          </cell>
        </row>
        <row r="2199">
          <cell r="A2199" t="str">
            <v>51730-231LF</v>
          </cell>
          <cell r="B2199"/>
          <cell r="C2199"/>
          <cell r="D2199"/>
          <cell r="E2199"/>
          <cell r="F2199"/>
          <cell r="G2199">
            <v>3.1E-2</v>
          </cell>
          <cell r="H2199"/>
          <cell r="I2199"/>
          <cell r="J2199"/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>
            <v>2E-3</v>
          </cell>
        </row>
        <row r="2200">
          <cell r="A2200" t="str">
            <v>51730-232LF</v>
          </cell>
          <cell r="B2200"/>
          <cell r="C2200"/>
          <cell r="D2200"/>
          <cell r="E2200"/>
          <cell r="F2200"/>
          <cell r="G2200">
            <v>3.1E-2</v>
          </cell>
          <cell r="H2200"/>
          <cell r="I2200"/>
          <cell r="J2200"/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>
            <v>2E-3</v>
          </cell>
        </row>
        <row r="2201">
          <cell r="A2201" t="str">
            <v>51730-233LF</v>
          </cell>
          <cell r="B2201"/>
          <cell r="C2201"/>
          <cell r="D2201"/>
          <cell r="E2201"/>
          <cell r="F2201"/>
          <cell r="G2201">
            <v>3.2000000000000001E-2</v>
          </cell>
          <cell r="H2201"/>
          <cell r="I2201"/>
          <cell r="J2201"/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>
            <v>3.0000000000000001E-3</v>
          </cell>
        </row>
        <row r="2202">
          <cell r="A2202" t="str">
            <v>51730-234STLF</v>
          </cell>
          <cell r="B2202"/>
          <cell r="C2202"/>
          <cell r="D2202"/>
          <cell r="E2202"/>
          <cell r="F2202"/>
          <cell r="G2202">
            <v>3.2000000000000001E-2</v>
          </cell>
          <cell r="H2202"/>
          <cell r="I2202"/>
          <cell r="J2202"/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>
            <v>2E-3</v>
          </cell>
        </row>
        <row r="2203">
          <cell r="A2203" t="str">
            <v>51730-236LF</v>
          </cell>
          <cell r="B2203"/>
          <cell r="C2203"/>
          <cell r="D2203"/>
          <cell r="E2203"/>
          <cell r="F2203"/>
          <cell r="G2203">
            <v>6.8000000000000005E-2</v>
          </cell>
          <cell r="H2203"/>
          <cell r="I2203"/>
          <cell r="J2203"/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>
            <v>4.0000000000000001E-3</v>
          </cell>
        </row>
        <row r="2204">
          <cell r="A2204" t="str">
            <v>51730-237LF</v>
          </cell>
          <cell r="B2204"/>
          <cell r="C2204"/>
          <cell r="D2204"/>
          <cell r="E2204"/>
          <cell r="F2204"/>
          <cell r="G2204">
            <v>2.9000000000000001E-2</v>
          </cell>
          <cell r="H2204"/>
          <cell r="I2204"/>
          <cell r="J2204"/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>
            <v>2E-3</v>
          </cell>
        </row>
        <row r="2205">
          <cell r="A2205" t="str">
            <v>51730-238LF</v>
          </cell>
          <cell r="B2205"/>
          <cell r="C2205"/>
          <cell r="D2205"/>
          <cell r="E2205"/>
          <cell r="F2205"/>
          <cell r="G2205">
            <v>6.5000000000000002E-2</v>
          </cell>
          <cell r="H2205"/>
          <cell r="I2205"/>
          <cell r="J2205"/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>
            <v>4.0000000000000001E-3</v>
          </cell>
        </row>
        <row r="2206">
          <cell r="A2206" t="str">
            <v>51730-239LF</v>
          </cell>
          <cell r="B2206"/>
          <cell r="C2206"/>
          <cell r="D2206"/>
          <cell r="E2206"/>
          <cell r="F2206"/>
          <cell r="G2206">
            <v>2.8000000000000001E-2</v>
          </cell>
          <cell r="H2206"/>
          <cell r="I2206"/>
          <cell r="J2206"/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>
            <v>2E-3</v>
          </cell>
        </row>
        <row r="2207">
          <cell r="A2207" t="str">
            <v>51730-240LF</v>
          </cell>
          <cell r="B2207"/>
          <cell r="C2207"/>
          <cell r="D2207"/>
          <cell r="E2207"/>
          <cell r="F2207"/>
          <cell r="G2207">
            <v>2.8000000000000001E-2</v>
          </cell>
          <cell r="H2207"/>
          <cell r="I2207"/>
          <cell r="J2207"/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>
            <v>2E-3</v>
          </cell>
        </row>
        <row r="2208">
          <cell r="A2208" t="str">
            <v>51730-242LF</v>
          </cell>
          <cell r="B2208"/>
          <cell r="C2208"/>
          <cell r="D2208"/>
          <cell r="E2208"/>
          <cell r="F2208"/>
          <cell r="G2208">
            <v>3.2000000000000001E-2</v>
          </cell>
          <cell r="H2208"/>
          <cell r="I2208"/>
          <cell r="J2208"/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>
            <v>2E-3</v>
          </cell>
        </row>
        <row r="2209">
          <cell r="A2209" t="str">
            <v>51730-243LF</v>
          </cell>
          <cell r="B2209"/>
          <cell r="C2209"/>
          <cell r="D2209"/>
          <cell r="E2209"/>
          <cell r="F2209"/>
          <cell r="G2209">
            <v>3.5000000000000003E-2</v>
          </cell>
          <cell r="H2209"/>
          <cell r="I2209"/>
          <cell r="J2209"/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>
            <v>2E-3</v>
          </cell>
        </row>
        <row r="2210">
          <cell r="A2210" t="str">
            <v>51730-248LF</v>
          </cell>
          <cell r="B2210"/>
          <cell r="C2210"/>
          <cell r="D2210"/>
          <cell r="E2210"/>
          <cell r="F2210"/>
          <cell r="G2210">
            <v>3.5999999999999997E-2</v>
          </cell>
          <cell r="H2210"/>
          <cell r="I2210"/>
          <cell r="J2210"/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>
            <v>3.3E-3</v>
          </cell>
        </row>
        <row r="2211">
          <cell r="A2211" t="str">
            <v>51730-255LF</v>
          </cell>
          <cell r="B2211"/>
          <cell r="C2211"/>
          <cell r="D2211"/>
          <cell r="E2211"/>
          <cell r="F2211"/>
          <cell r="G2211">
            <v>3.2000000000000001E-2</v>
          </cell>
          <cell r="H2211"/>
          <cell r="I2211"/>
          <cell r="J2211"/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>
            <v>3.3E-3</v>
          </cell>
        </row>
        <row r="2212">
          <cell r="A2212" t="str">
            <v>51731-001LF</v>
          </cell>
          <cell r="B2212"/>
          <cell r="C2212"/>
          <cell r="D2212"/>
          <cell r="E2212"/>
          <cell r="F2212"/>
          <cell r="G2212">
            <v>3.9300000000000002E-2</v>
          </cell>
          <cell r="H2212"/>
          <cell r="I2212"/>
          <cell r="J2212"/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>
            <v>2.0999999999999999E-3</v>
          </cell>
        </row>
        <row r="2213">
          <cell r="A2213" t="str">
            <v>51731-002LF</v>
          </cell>
          <cell r="B2213"/>
          <cell r="C2213"/>
          <cell r="D2213"/>
          <cell r="E2213"/>
          <cell r="F2213"/>
          <cell r="G2213">
            <v>4.6800000000000001E-2</v>
          </cell>
          <cell r="H2213"/>
          <cell r="I2213"/>
          <cell r="J2213"/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>
            <v>2.0999999999999999E-3</v>
          </cell>
        </row>
        <row r="2214">
          <cell r="A2214" t="str">
            <v>51731-006LF</v>
          </cell>
          <cell r="B2214"/>
          <cell r="C2214"/>
          <cell r="D2214"/>
          <cell r="E2214"/>
          <cell r="F2214"/>
          <cell r="G2214">
            <v>2.9899999999999999E-2</v>
          </cell>
          <cell r="H2214"/>
          <cell r="I2214"/>
          <cell r="J2214"/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>
            <v>1.6000000000000001E-3</v>
          </cell>
        </row>
        <row r="2215">
          <cell r="A2215" t="str">
            <v>51731-008LF</v>
          </cell>
          <cell r="B2215"/>
          <cell r="C2215"/>
          <cell r="D2215"/>
          <cell r="E2215"/>
          <cell r="F2215"/>
          <cell r="G2215">
            <v>2.5399999999999999E-2</v>
          </cell>
          <cell r="H2215"/>
          <cell r="I2215"/>
          <cell r="J2215"/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>
            <v>1.6000000000000001E-3</v>
          </cell>
        </row>
        <row r="2216">
          <cell r="A2216" t="str">
            <v>51731-010LF</v>
          </cell>
          <cell r="B2216"/>
          <cell r="C2216"/>
          <cell r="D2216"/>
          <cell r="E2216"/>
          <cell r="F2216"/>
          <cell r="G2216">
            <v>4.4900000000000002E-2</v>
          </cell>
          <cell r="H2216"/>
          <cell r="I2216"/>
          <cell r="J2216"/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>
            <v>2.0999999999999999E-3</v>
          </cell>
        </row>
        <row r="2217">
          <cell r="A2217" t="str">
            <v>51731-011LF</v>
          </cell>
          <cell r="B2217"/>
          <cell r="C2217"/>
          <cell r="D2217"/>
          <cell r="E2217"/>
          <cell r="F2217"/>
          <cell r="G2217">
            <v>3.4000000000000002E-2</v>
          </cell>
          <cell r="H2217"/>
          <cell r="I2217"/>
          <cell r="J2217"/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>
            <v>2E-3</v>
          </cell>
        </row>
        <row r="2218">
          <cell r="A2218" t="str">
            <v>51731-013LF</v>
          </cell>
          <cell r="B2218"/>
          <cell r="C2218"/>
          <cell r="D2218"/>
          <cell r="E2218"/>
          <cell r="F2218"/>
          <cell r="G2218">
            <v>2.07E-2</v>
          </cell>
          <cell r="H2218"/>
          <cell r="I2218"/>
          <cell r="J2218"/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>
            <v>1.9E-3</v>
          </cell>
        </row>
        <row r="2219">
          <cell r="A2219" t="str">
            <v>51731-015LF</v>
          </cell>
          <cell r="B2219"/>
          <cell r="C2219"/>
          <cell r="D2219"/>
          <cell r="E2219"/>
          <cell r="F2219"/>
          <cell r="G2219">
            <v>4.1099999999999998E-2</v>
          </cell>
          <cell r="H2219"/>
          <cell r="I2219"/>
          <cell r="J2219"/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>
            <v>2.0999999999999999E-3</v>
          </cell>
        </row>
        <row r="2220">
          <cell r="A2220" t="str">
            <v>51731-018LF</v>
          </cell>
          <cell r="B2220"/>
          <cell r="C2220"/>
          <cell r="D2220"/>
          <cell r="E2220"/>
          <cell r="F2220"/>
          <cell r="G2220">
            <v>2.9000000000000001E-2</v>
          </cell>
          <cell r="H2220"/>
          <cell r="I2220"/>
          <cell r="J2220"/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>
            <v>1.6000000000000001E-3</v>
          </cell>
        </row>
        <row r="2221">
          <cell r="A2221" t="str">
            <v>51731-022LF</v>
          </cell>
          <cell r="B2221"/>
          <cell r="C2221"/>
          <cell r="D2221"/>
          <cell r="E2221"/>
          <cell r="F2221"/>
          <cell r="G2221">
            <v>0.03</v>
          </cell>
          <cell r="H2221"/>
          <cell r="I2221"/>
          <cell r="J2221"/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>
            <v>3.3E-3</v>
          </cell>
        </row>
        <row r="2222">
          <cell r="A2222" t="str">
            <v>51731-023LF</v>
          </cell>
          <cell r="B2222"/>
          <cell r="C2222"/>
          <cell r="D2222"/>
          <cell r="E2222"/>
          <cell r="F2222"/>
          <cell r="G2222">
            <v>2.4456236999999999E-2</v>
          </cell>
          <cell r="H2222"/>
          <cell r="I2222"/>
          <cell r="J2222"/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>
            <v>1.9E-3</v>
          </cell>
        </row>
        <row r="2223">
          <cell r="A2223" t="str">
            <v>51731-025LF</v>
          </cell>
          <cell r="B2223"/>
          <cell r="C2223"/>
          <cell r="D2223"/>
          <cell r="E2223"/>
          <cell r="F2223"/>
          <cell r="G2223">
            <v>2.7099999999999999E-2</v>
          </cell>
          <cell r="H2223"/>
          <cell r="I2223"/>
          <cell r="J2223"/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>
            <v>1.6000000000000001E-3</v>
          </cell>
        </row>
        <row r="2224">
          <cell r="A2224" t="str">
            <v>51731-029LF</v>
          </cell>
          <cell r="B2224"/>
          <cell r="C2224"/>
          <cell r="D2224"/>
          <cell r="E2224"/>
          <cell r="F2224"/>
          <cell r="G2224">
            <v>2.2700000000000001E-2</v>
          </cell>
          <cell r="H2224"/>
          <cell r="I2224"/>
          <cell r="J2224"/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>
            <v>1.9E-3</v>
          </cell>
        </row>
        <row r="2225">
          <cell r="A2225" t="str">
            <v>51731-030LF</v>
          </cell>
          <cell r="B2225"/>
          <cell r="C2225"/>
          <cell r="D2225"/>
          <cell r="E2225"/>
          <cell r="F2225"/>
          <cell r="G2225">
            <v>2.7099999999999999E-2</v>
          </cell>
          <cell r="H2225"/>
          <cell r="I2225"/>
          <cell r="J2225"/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>
            <v>1.9E-3</v>
          </cell>
        </row>
        <row r="2226">
          <cell r="A2226" t="str">
            <v>51731-032LF</v>
          </cell>
          <cell r="B2226"/>
          <cell r="C2226"/>
          <cell r="D2226"/>
          <cell r="E2226"/>
          <cell r="F2226"/>
          <cell r="G2226">
            <v>4.1099999999999998E-2</v>
          </cell>
          <cell r="H2226"/>
          <cell r="I2226"/>
          <cell r="J2226"/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>
            <v>2.0999999999999999E-3</v>
          </cell>
        </row>
        <row r="2227">
          <cell r="A2227" t="str">
            <v>51731-034LF</v>
          </cell>
          <cell r="B2227"/>
          <cell r="C2227"/>
          <cell r="D2227"/>
          <cell r="E2227"/>
          <cell r="F2227"/>
          <cell r="G2227">
            <v>1.5655668000000001E-2</v>
          </cell>
          <cell r="H2227"/>
          <cell r="I2227"/>
          <cell r="J2227"/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>
            <v>1.9E-3</v>
          </cell>
        </row>
        <row r="2228">
          <cell r="A2228" t="str">
            <v>51731-035LF</v>
          </cell>
          <cell r="B2228"/>
          <cell r="C2228"/>
          <cell r="D2228"/>
          <cell r="E2228"/>
          <cell r="F2228"/>
          <cell r="G2228">
            <v>2.7199999999999998E-2</v>
          </cell>
          <cell r="H2228"/>
          <cell r="I2228"/>
          <cell r="J2228"/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>
            <v>1.6000000000000001E-3</v>
          </cell>
        </row>
        <row r="2229">
          <cell r="A2229" t="str">
            <v>51731-036LF</v>
          </cell>
          <cell r="B2229"/>
          <cell r="C2229"/>
          <cell r="D2229"/>
          <cell r="E2229"/>
          <cell r="F2229"/>
          <cell r="G2229">
            <v>3.6499999999999998E-2</v>
          </cell>
          <cell r="H2229"/>
          <cell r="I2229"/>
          <cell r="J2229"/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>
            <v>2.0999999999999999E-3</v>
          </cell>
        </row>
        <row r="2230">
          <cell r="A2230" t="str">
            <v>51731-039LF</v>
          </cell>
          <cell r="B2230"/>
          <cell r="C2230"/>
          <cell r="D2230"/>
          <cell r="E2230"/>
          <cell r="F2230"/>
          <cell r="G2230">
            <v>3.1800000000000002E-2</v>
          </cell>
          <cell r="H2230"/>
          <cell r="I2230"/>
          <cell r="J2230"/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>
            <v>1.6000000000000001E-3</v>
          </cell>
        </row>
        <row r="2231">
          <cell r="A2231" t="str">
            <v>51731-041LF</v>
          </cell>
          <cell r="B2231"/>
          <cell r="C2231"/>
          <cell r="D2231"/>
          <cell r="E2231"/>
          <cell r="F2231"/>
          <cell r="G2231">
            <v>2.7799999999999998E-2</v>
          </cell>
          <cell r="H2231"/>
          <cell r="I2231"/>
          <cell r="J2231"/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>
            <v>2.0999999999999999E-3</v>
          </cell>
        </row>
        <row r="2232">
          <cell r="A2232" t="str">
            <v>51731-042LF</v>
          </cell>
          <cell r="B2232"/>
          <cell r="C2232"/>
          <cell r="D2232"/>
          <cell r="E2232"/>
          <cell r="F2232"/>
          <cell r="G2232">
            <v>5.2089190000000002E-3</v>
          </cell>
          <cell r="H2232"/>
          <cell r="I2232"/>
          <cell r="J2232"/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>
            <v>1.9E-3</v>
          </cell>
        </row>
        <row r="2233">
          <cell r="A2233" t="str">
            <v>51731-043LF</v>
          </cell>
          <cell r="B2233"/>
          <cell r="C2233"/>
          <cell r="D2233"/>
          <cell r="E2233"/>
          <cell r="F2233"/>
          <cell r="G2233">
            <v>6.6972660000000003E-3</v>
          </cell>
          <cell r="H2233"/>
          <cell r="I2233"/>
          <cell r="J2233"/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>
            <v>1.3164159999999999E-3</v>
          </cell>
        </row>
        <row r="2234">
          <cell r="A2234" t="str">
            <v>51731-045LF</v>
          </cell>
          <cell r="B2234"/>
          <cell r="C2234"/>
          <cell r="D2234"/>
          <cell r="E2234"/>
          <cell r="F2234"/>
          <cell r="G2234">
            <v>2.9899999999999999E-2</v>
          </cell>
          <cell r="H2234"/>
          <cell r="I2234"/>
          <cell r="J2234"/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>
            <v>1.9E-3</v>
          </cell>
        </row>
        <row r="2235">
          <cell r="A2235" t="str">
            <v>51731-046LF</v>
          </cell>
          <cell r="B2235"/>
          <cell r="C2235"/>
          <cell r="D2235"/>
          <cell r="E2235"/>
          <cell r="F2235"/>
          <cell r="G2235">
            <v>2.1250000000000002E-2</v>
          </cell>
          <cell r="H2235"/>
          <cell r="I2235"/>
          <cell r="J2235"/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>
            <v>1.9E-3</v>
          </cell>
        </row>
        <row r="2236">
          <cell r="A2236" t="str">
            <v>51731-047LF</v>
          </cell>
          <cell r="B2236"/>
          <cell r="C2236"/>
          <cell r="D2236"/>
          <cell r="E2236"/>
          <cell r="F2236"/>
          <cell r="G2236">
            <v>2.7099999999999999E-2</v>
          </cell>
          <cell r="H2236"/>
          <cell r="I2236"/>
          <cell r="J2236"/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>
            <v>1.9E-3</v>
          </cell>
        </row>
        <row r="2237">
          <cell r="A2237" t="str">
            <v>51731-048LF</v>
          </cell>
          <cell r="B2237"/>
          <cell r="C2237"/>
          <cell r="D2237"/>
          <cell r="E2237"/>
          <cell r="F2237"/>
          <cell r="G2237">
            <v>1.6400000000000001E-2</v>
          </cell>
          <cell r="H2237"/>
          <cell r="I2237"/>
          <cell r="J2237"/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>
            <v>1.9E-3</v>
          </cell>
        </row>
        <row r="2238">
          <cell r="A2238" t="str">
            <v>51731-049LF</v>
          </cell>
          <cell r="B2238"/>
          <cell r="C2238"/>
          <cell r="D2238"/>
          <cell r="E2238"/>
          <cell r="F2238"/>
          <cell r="G2238">
            <v>1.1377511999999999E-2</v>
          </cell>
          <cell r="H2238"/>
          <cell r="I2238"/>
          <cell r="J2238"/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>
            <v>1.9E-3</v>
          </cell>
        </row>
        <row r="2239">
          <cell r="A2239" t="str">
            <v>51731-050LF</v>
          </cell>
          <cell r="B2239"/>
          <cell r="C2239"/>
          <cell r="D2239"/>
          <cell r="E2239"/>
          <cell r="F2239"/>
          <cell r="G2239">
            <v>3.1800000000000002E-2</v>
          </cell>
          <cell r="H2239"/>
          <cell r="I2239"/>
          <cell r="J2239"/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>
            <v>1.9E-3</v>
          </cell>
        </row>
        <row r="2240">
          <cell r="A2240" t="str">
            <v>51731-052LF</v>
          </cell>
          <cell r="B2240"/>
          <cell r="C2240"/>
          <cell r="D2240"/>
          <cell r="E2240"/>
          <cell r="F2240"/>
          <cell r="G2240">
            <v>2.9000000000000001E-2</v>
          </cell>
          <cell r="H2240"/>
          <cell r="I2240"/>
          <cell r="J2240"/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>
            <v>1.9E-3</v>
          </cell>
        </row>
        <row r="2241">
          <cell r="A2241" t="str">
            <v>51731-055LF</v>
          </cell>
          <cell r="B2241"/>
          <cell r="C2241"/>
          <cell r="D2241"/>
          <cell r="E2241"/>
          <cell r="F2241"/>
          <cell r="G2241">
            <v>2.9000000000000001E-2</v>
          </cell>
          <cell r="H2241"/>
          <cell r="I2241"/>
          <cell r="J2241"/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>
            <v>2E-3</v>
          </cell>
        </row>
        <row r="2242">
          <cell r="A2242" t="str">
            <v>51731-057LF</v>
          </cell>
          <cell r="B2242"/>
          <cell r="C2242"/>
          <cell r="D2242"/>
          <cell r="E2242"/>
          <cell r="F2242"/>
          <cell r="G2242">
            <v>1.7999999999999999E-2</v>
          </cell>
          <cell r="H2242"/>
          <cell r="I2242"/>
          <cell r="J2242"/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>
            <v>2E-3</v>
          </cell>
        </row>
        <row r="2243">
          <cell r="A2243" t="str">
            <v>51731-059LF</v>
          </cell>
          <cell r="B2243"/>
          <cell r="C2243"/>
          <cell r="D2243"/>
          <cell r="E2243"/>
          <cell r="F2243"/>
          <cell r="G2243">
            <v>5.5E-2</v>
          </cell>
          <cell r="H2243"/>
          <cell r="I2243"/>
          <cell r="J2243"/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>
            <v>2E-3</v>
          </cell>
        </row>
        <row r="2244">
          <cell r="A2244" t="str">
            <v>51731-060LF</v>
          </cell>
          <cell r="B2244"/>
          <cell r="C2244"/>
          <cell r="D2244"/>
          <cell r="E2244"/>
          <cell r="F2244"/>
          <cell r="G2244">
            <v>2.29E-2</v>
          </cell>
          <cell r="H2244"/>
          <cell r="I2244"/>
          <cell r="J2244"/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>
            <v>2E-3</v>
          </cell>
        </row>
        <row r="2245">
          <cell r="A2245" t="str">
            <v>51731-061LF</v>
          </cell>
          <cell r="B2245"/>
          <cell r="C2245"/>
          <cell r="D2245"/>
          <cell r="E2245"/>
          <cell r="F2245"/>
          <cell r="G2245">
            <v>4.1000000000000002E-2</v>
          </cell>
          <cell r="H2245"/>
          <cell r="I2245"/>
          <cell r="J2245"/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>
            <v>2E-3</v>
          </cell>
        </row>
        <row r="2246">
          <cell r="A2246" t="str">
            <v>51731-062LF</v>
          </cell>
          <cell r="B2246"/>
          <cell r="C2246"/>
          <cell r="D2246"/>
          <cell r="E2246"/>
          <cell r="F2246"/>
          <cell r="G2246">
            <v>2.7E-2</v>
          </cell>
          <cell r="H2246"/>
          <cell r="I2246"/>
          <cell r="J2246"/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>
            <v>2E-3</v>
          </cell>
        </row>
        <row r="2247">
          <cell r="A2247" t="str">
            <v>51731-063LF</v>
          </cell>
          <cell r="B2247"/>
          <cell r="C2247"/>
          <cell r="D2247"/>
          <cell r="E2247"/>
          <cell r="F2247"/>
          <cell r="G2247">
            <v>4.1000000000000002E-2</v>
          </cell>
          <cell r="H2247"/>
          <cell r="I2247"/>
          <cell r="J2247"/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>
            <v>2E-3</v>
          </cell>
        </row>
        <row r="2248">
          <cell r="A2248" t="str">
            <v>51731-064LF</v>
          </cell>
          <cell r="B2248"/>
          <cell r="C2248"/>
          <cell r="D2248"/>
          <cell r="E2248"/>
          <cell r="F2248"/>
          <cell r="G2248">
            <v>3.1E-2</v>
          </cell>
          <cell r="H2248"/>
          <cell r="I2248"/>
          <cell r="J2248"/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>
            <v>2E-3</v>
          </cell>
        </row>
        <row r="2249">
          <cell r="A2249" t="str">
            <v>51731-066LF</v>
          </cell>
          <cell r="B2249"/>
          <cell r="C2249"/>
          <cell r="D2249"/>
          <cell r="E2249"/>
          <cell r="F2249"/>
          <cell r="G2249">
            <v>3.6999999999999998E-2</v>
          </cell>
          <cell r="H2249"/>
          <cell r="I2249"/>
          <cell r="J2249"/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>
            <v>2E-3</v>
          </cell>
        </row>
        <row r="2250">
          <cell r="A2250" t="str">
            <v>51731-068LF</v>
          </cell>
          <cell r="B2250"/>
          <cell r="C2250"/>
          <cell r="D2250"/>
          <cell r="E2250"/>
          <cell r="F2250"/>
          <cell r="G2250">
            <v>3.6999999999999998E-2</v>
          </cell>
          <cell r="H2250"/>
          <cell r="I2250"/>
          <cell r="J2250"/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>
            <v>2E-3</v>
          </cell>
        </row>
        <row r="2251">
          <cell r="A2251" t="str">
            <v>51731-069LF</v>
          </cell>
          <cell r="B2251"/>
          <cell r="C2251"/>
          <cell r="D2251"/>
          <cell r="E2251"/>
          <cell r="F2251"/>
          <cell r="G2251">
            <v>2.9000000000000001E-2</v>
          </cell>
          <cell r="H2251"/>
          <cell r="I2251"/>
          <cell r="J2251"/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>
            <v>1.9E-3</v>
          </cell>
        </row>
        <row r="2252">
          <cell r="A2252" t="str">
            <v>51731-071LF</v>
          </cell>
          <cell r="B2252"/>
          <cell r="C2252"/>
          <cell r="D2252"/>
          <cell r="E2252"/>
          <cell r="F2252"/>
          <cell r="G2252">
            <v>3.5000000000000003E-2</v>
          </cell>
          <cell r="H2252"/>
          <cell r="I2252"/>
          <cell r="J2252"/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>
            <v>2E-3</v>
          </cell>
        </row>
        <row r="2253">
          <cell r="A2253" t="str">
            <v>51731-072LF</v>
          </cell>
          <cell r="B2253"/>
          <cell r="C2253"/>
          <cell r="D2253"/>
          <cell r="E2253"/>
          <cell r="F2253"/>
          <cell r="G2253">
            <v>3.4000000000000002E-2</v>
          </cell>
          <cell r="H2253"/>
          <cell r="I2253"/>
          <cell r="J2253"/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>
            <v>2E-3</v>
          </cell>
        </row>
        <row r="2254">
          <cell r="A2254" t="str">
            <v>51731-073LF</v>
          </cell>
          <cell r="B2254"/>
          <cell r="C2254"/>
          <cell r="D2254"/>
          <cell r="E2254"/>
          <cell r="F2254"/>
          <cell r="G2254">
            <v>2.5600000000000001E-2</v>
          </cell>
          <cell r="H2254"/>
          <cell r="I2254"/>
          <cell r="J2254"/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>
            <v>2E-3</v>
          </cell>
        </row>
        <row r="2255">
          <cell r="A2255" t="str">
            <v>51731-074LF</v>
          </cell>
          <cell r="B2255"/>
          <cell r="C2255"/>
          <cell r="D2255"/>
          <cell r="E2255"/>
          <cell r="F2255"/>
          <cell r="G2255">
            <v>3.9E-2</v>
          </cell>
          <cell r="H2255"/>
          <cell r="I2255"/>
          <cell r="J2255"/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>
            <v>2E-3</v>
          </cell>
        </row>
        <row r="2256">
          <cell r="A2256" t="str">
            <v>51731-076LF</v>
          </cell>
          <cell r="B2256"/>
          <cell r="C2256"/>
          <cell r="D2256"/>
          <cell r="E2256"/>
          <cell r="F2256"/>
          <cell r="G2256">
            <v>2.3400000000000001E-2</v>
          </cell>
          <cell r="H2256"/>
          <cell r="I2256"/>
          <cell r="J2256"/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>
            <v>2E-3</v>
          </cell>
        </row>
        <row r="2257">
          <cell r="A2257" t="str">
            <v>51731-077LF</v>
          </cell>
          <cell r="B2257"/>
          <cell r="C2257"/>
          <cell r="D2257"/>
          <cell r="E2257"/>
          <cell r="F2257"/>
          <cell r="G2257">
            <v>3.1E-2</v>
          </cell>
          <cell r="H2257"/>
          <cell r="I2257"/>
          <cell r="J2257"/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>
            <v>2E-3</v>
          </cell>
        </row>
        <row r="2258">
          <cell r="A2258" t="str">
            <v>51731-078LF</v>
          </cell>
          <cell r="B2258"/>
          <cell r="C2258"/>
          <cell r="D2258"/>
          <cell r="E2258"/>
          <cell r="F2258"/>
          <cell r="G2258">
            <v>2.9000000000000001E-2</v>
          </cell>
          <cell r="H2258"/>
          <cell r="I2258"/>
          <cell r="J2258"/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>
            <v>2E-3</v>
          </cell>
        </row>
        <row r="2259">
          <cell r="A2259" t="str">
            <v>51731-079LF</v>
          </cell>
          <cell r="B2259"/>
          <cell r="C2259"/>
          <cell r="D2259"/>
          <cell r="E2259"/>
          <cell r="F2259"/>
          <cell r="G2259">
            <v>3.4000000000000002E-2</v>
          </cell>
          <cell r="H2259"/>
          <cell r="I2259"/>
          <cell r="J2259"/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>
            <v>2E-3</v>
          </cell>
        </row>
        <row r="2260">
          <cell r="A2260" t="str">
            <v>51731-080LF</v>
          </cell>
          <cell r="B2260"/>
          <cell r="C2260"/>
          <cell r="D2260"/>
          <cell r="E2260"/>
          <cell r="F2260"/>
          <cell r="G2260">
            <v>3.4000000000000002E-2</v>
          </cell>
          <cell r="H2260"/>
          <cell r="I2260"/>
          <cell r="J2260"/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>
            <v>2E-3</v>
          </cell>
        </row>
        <row r="2261">
          <cell r="A2261" t="str">
            <v>51731-081LF</v>
          </cell>
          <cell r="B2261"/>
          <cell r="C2261"/>
          <cell r="D2261"/>
          <cell r="E2261"/>
          <cell r="F2261"/>
          <cell r="G2261">
            <v>2.7E-2</v>
          </cell>
          <cell r="H2261"/>
          <cell r="I2261"/>
          <cell r="J2261"/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>
            <v>2E-3</v>
          </cell>
        </row>
        <row r="2262">
          <cell r="A2262" t="str">
            <v>51731-082LF</v>
          </cell>
          <cell r="B2262"/>
          <cell r="C2262"/>
          <cell r="D2262"/>
          <cell r="E2262"/>
          <cell r="F2262"/>
          <cell r="G2262">
            <v>3.9E-2</v>
          </cell>
          <cell r="H2262"/>
          <cell r="I2262"/>
          <cell r="J2262"/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>
            <v>2E-3</v>
          </cell>
        </row>
        <row r="2263">
          <cell r="A2263" t="str">
            <v>51731-083LF</v>
          </cell>
          <cell r="B2263"/>
          <cell r="C2263"/>
          <cell r="D2263"/>
          <cell r="E2263"/>
          <cell r="F2263"/>
          <cell r="G2263">
            <v>2.9000000000000001E-2</v>
          </cell>
          <cell r="H2263"/>
          <cell r="I2263"/>
          <cell r="J2263"/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>
            <v>2E-3</v>
          </cell>
        </row>
        <row r="2264">
          <cell r="A2264" t="str">
            <v>51731-086LF</v>
          </cell>
          <cell r="B2264"/>
          <cell r="C2264"/>
          <cell r="D2264"/>
          <cell r="E2264"/>
          <cell r="F2264"/>
          <cell r="G2264">
            <v>3.2000000000000001E-2</v>
          </cell>
          <cell r="H2264"/>
          <cell r="I2264"/>
          <cell r="J2264"/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>
            <v>2E-3</v>
          </cell>
        </row>
        <row r="2265">
          <cell r="A2265" t="str">
            <v>51731-087LF</v>
          </cell>
          <cell r="B2265"/>
          <cell r="C2265"/>
          <cell r="D2265"/>
          <cell r="E2265"/>
          <cell r="F2265"/>
          <cell r="G2265">
            <v>6.8000000000000005E-2</v>
          </cell>
          <cell r="H2265"/>
          <cell r="I2265"/>
          <cell r="J2265"/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>
            <v>4.0000000000000001E-3</v>
          </cell>
        </row>
        <row r="2266">
          <cell r="A2266" t="str">
            <v>51731-088LF</v>
          </cell>
          <cell r="B2266"/>
          <cell r="C2266"/>
          <cell r="D2266"/>
          <cell r="E2266"/>
          <cell r="F2266"/>
          <cell r="G2266">
            <v>2.9000000000000001E-2</v>
          </cell>
          <cell r="H2266"/>
          <cell r="I2266"/>
          <cell r="J2266"/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>
            <v>2E-3</v>
          </cell>
        </row>
        <row r="2267">
          <cell r="A2267" t="str">
            <v>51731-089STLF</v>
          </cell>
          <cell r="B2267"/>
          <cell r="C2267"/>
          <cell r="D2267"/>
          <cell r="E2267"/>
          <cell r="F2267"/>
          <cell r="G2267">
            <v>2.9000000000000001E-2</v>
          </cell>
          <cell r="H2267"/>
          <cell r="I2267"/>
          <cell r="J2267"/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>
            <v>2E-3</v>
          </cell>
        </row>
        <row r="2268">
          <cell r="A2268" t="str">
            <v>51731-090STLF</v>
          </cell>
          <cell r="B2268"/>
          <cell r="C2268"/>
          <cell r="D2268"/>
          <cell r="E2268"/>
          <cell r="F2268"/>
          <cell r="G2268">
            <v>2.9000000000000001E-2</v>
          </cell>
          <cell r="H2268"/>
          <cell r="I2268"/>
          <cell r="J2268"/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>
            <v>2E-3</v>
          </cell>
        </row>
        <row r="2269">
          <cell r="A2269" t="str">
            <v>51731-091LF</v>
          </cell>
          <cell r="B2269"/>
          <cell r="C2269"/>
          <cell r="D2269"/>
          <cell r="E2269"/>
          <cell r="F2269"/>
          <cell r="G2269">
            <v>3.4000000000000002E-2</v>
          </cell>
          <cell r="H2269"/>
          <cell r="I2269"/>
          <cell r="J2269"/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>
            <v>2E-3</v>
          </cell>
        </row>
        <row r="2270">
          <cell r="A2270" t="str">
            <v>51731-092LF</v>
          </cell>
          <cell r="B2270"/>
          <cell r="C2270"/>
          <cell r="D2270"/>
          <cell r="E2270"/>
          <cell r="F2270"/>
          <cell r="G2270">
            <v>2.9000000000000001E-2</v>
          </cell>
          <cell r="H2270"/>
          <cell r="I2270"/>
          <cell r="J2270"/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>
            <v>2E-3</v>
          </cell>
        </row>
        <row r="2271">
          <cell r="A2271" t="str">
            <v>51731-094LF</v>
          </cell>
          <cell r="B2271"/>
          <cell r="C2271"/>
          <cell r="D2271"/>
          <cell r="E2271"/>
          <cell r="F2271"/>
          <cell r="G2271">
            <v>3.2000000000000001E-2</v>
          </cell>
          <cell r="H2271"/>
          <cell r="I2271"/>
          <cell r="J2271"/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>
            <v>3.3E-3</v>
          </cell>
        </row>
        <row r="2272">
          <cell r="A2272" t="str">
            <v>51731-095LF</v>
          </cell>
          <cell r="B2272"/>
          <cell r="C2272"/>
          <cell r="D2272"/>
          <cell r="E2272"/>
          <cell r="F2272"/>
          <cell r="G2272">
            <v>3.3000000000000002E-2</v>
          </cell>
          <cell r="H2272"/>
          <cell r="I2272"/>
          <cell r="J2272"/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>
            <v>3.3E-3</v>
          </cell>
        </row>
        <row r="2273">
          <cell r="A2273" t="str">
            <v>51731-096LF</v>
          </cell>
          <cell r="B2273"/>
          <cell r="C2273"/>
          <cell r="D2273"/>
          <cell r="E2273"/>
          <cell r="F2273"/>
          <cell r="G2273">
            <v>3.2000000000000001E-2</v>
          </cell>
          <cell r="H2273"/>
          <cell r="I2273"/>
          <cell r="J2273"/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>
            <v>3.3E-3</v>
          </cell>
        </row>
        <row r="2274">
          <cell r="A2274" t="str">
            <v>51731-098LF</v>
          </cell>
          <cell r="B2274"/>
          <cell r="C2274"/>
          <cell r="D2274"/>
          <cell r="E2274"/>
          <cell r="F2274"/>
          <cell r="G2274">
            <v>3.1E-2</v>
          </cell>
          <cell r="H2274"/>
          <cell r="I2274"/>
          <cell r="J2274"/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>
            <v>3.3E-3</v>
          </cell>
        </row>
        <row r="2275">
          <cell r="A2275" t="str">
            <v>51731-099LF</v>
          </cell>
          <cell r="B2275"/>
          <cell r="C2275"/>
          <cell r="D2275"/>
          <cell r="E2275"/>
          <cell r="F2275"/>
          <cell r="G2275">
            <v>3.1E-2</v>
          </cell>
          <cell r="H2275"/>
          <cell r="I2275"/>
          <cell r="J2275"/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>
            <v>3.3E-3</v>
          </cell>
        </row>
        <row r="2276">
          <cell r="A2276" t="str">
            <v>51731-102LF</v>
          </cell>
          <cell r="B2276"/>
          <cell r="C2276"/>
          <cell r="D2276"/>
          <cell r="E2276"/>
          <cell r="F2276"/>
          <cell r="G2276">
            <v>2.7E-2</v>
          </cell>
          <cell r="H2276"/>
          <cell r="I2276"/>
          <cell r="J2276"/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>
            <v>3.0000000000000001E-3</v>
          </cell>
        </row>
        <row r="2277">
          <cell r="A2277" t="str">
            <v>51731-105LF</v>
          </cell>
          <cell r="B2277"/>
          <cell r="C2277"/>
          <cell r="D2277"/>
          <cell r="E2277"/>
          <cell r="F2277"/>
          <cell r="G2277">
            <v>6.7000000000000002E-3</v>
          </cell>
          <cell r="H2277"/>
          <cell r="I2277"/>
          <cell r="J2277"/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>
            <v>1.4E-3</v>
          </cell>
        </row>
        <row r="2278">
          <cell r="A2278" t="str">
            <v>51732-003LF</v>
          </cell>
          <cell r="B2278"/>
          <cell r="C2278"/>
          <cell r="D2278"/>
          <cell r="E2278"/>
          <cell r="F2278"/>
          <cell r="G2278">
            <v>2.9899999999999999E-2</v>
          </cell>
          <cell r="H2278"/>
          <cell r="I2278"/>
          <cell r="J2278"/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>
            <v>1.9E-3</v>
          </cell>
        </row>
        <row r="2279">
          <cell r="A2279" t="str">
            <v>51732-007LF</v>
          </cell>
          <cell r="B2279"/>
          <cell r="C2279"/>
          <cell r="D2279"/>
          <cell r="E2279"/>
          <cell r="F2279"/>
          <cell r="G2279">
            <v>1.0041558000000001E-2</v>
          </cell>
          <cell r="H2279"/>
          <cell r="I2279"/>
          <cell r="J2279"/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>
            <v>1.9E-3</v>
          </cell>
        </row>
        <row r="2280">
          <cell r="A2280" t="str">
            <v>51732-008LF</v>
          </cell>
          <cell r="B2280"/>
          <cell r="C2280"/>
          <cell r="D2280"/>
          <cell r="E2280"/>
          <cell r="F2280"/>
          <cell r="G2280">
            <v>4.2099999999999999E-2</v>
          </cell>
          <cell r="H2280"/>
          <cell r="I2280"/>
          <cell r="J2280"/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>
            <v>1.9E-3</v>
          </cell>
        </row>
        <row r="2281">
          <cell r="A2281" t="str">
            <v>51732-011AuLF</v>
          </cell>
          <cell r="B2281"/>
          <cell r="C2281"/>
          <cell r="D2281"/>
          <cell r="E2281"/>
          <cell r="F2281"/>
          <cell r="G2281">
            <v>2.5899999999999999E-2</v>
          </cell>
          <cell r="H2281"/>
          <cell r="I2281"/>
          <cell r="J2281"/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>
            <v>1.9E-3</v>
          </cell>
        </row>
        <row r="2282">
          <cell r="A2282" t="str">
            <v>51732-011LF</v>
          </cell>
          <cell r="B2282"/>
          <cell r="C2282"/>
          <cell r="D2282"/>
          <cell r="E2282"/>
          <cell r="F2282"/>
          <cell r="G2282">
            <v>2.18E-2</v>
          </cell>
          <cell r="H2282"/>
          <cell r="I2282"/>
          <cell r="J2282"/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>
            <v>1.9E-3</v>
          </cell>
        </row>
        <row r="2283">
          <cell r="A2283" t="str">
            <v>51732-013LF</v>
          </cell>
          <cell r="B2283"/>
          <cell r="C2283"/>
          <cell r="D2283"/>
          <cell r="E2283"/>
          <cell r="F2283"/>
          <cell r="G2283">
            <v>4.2099999999999999E-2</v>
          </cell>
          <cell r="H2283"/>
          <cell r="I2283"/>
          <cell r="J2283"/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>
            <v>2.0999999999999999E-3</v>
          </cell>
        </row>
        <row r="2284">
          <cell r="A2284" t="str">
            <v>51732-015LF</v>
          </cell>
          <cell r="B2284"/>
          <cell r="C2284"/>
          <cell r="D2284"/>
          <cell r="E2284"/>
          <cell r="F2284"/>
          <cell r="G2284">
            <v>1.6500000000000001E-2</v>
          </cell>
          <cell r="H2284"/>
          <cell r="I2284"/>
          <cell r="J2284"/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>
            <v>6.1000000000000004E-3</v>
          </cell>
        </row>
        <row r="2285">
          <cell r="A2285" t="str">
            <v>51732-016LF</v>
          </cell>
          <cell r="B2285"/>
          <cell r="C2285"/>
          <cell r="D2285"/>
          <cell r="E2285"/>
          <cell r="F2285"/>
          <cell r="G2285">
            <v>2.7099999999999999E-2</v>
          </cell>
          <cell r="H2285"/>
          <cell r="I2285"/>
          <cell r="J2285"/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>
            <v>1.6000000000000001E-3</v>
          </cell>
        </row>
        <row r="2286">
          <cell r="A2286" t="str">
            <v>51732-020LF</v>
          </cell>
          <cell r="B2286"/>
          <cell r="C2286"/>
          <cell r="D2286"/>
          <cell r="E2286"/>
          <cell r="F2286"/>
          <cell r="G2286">
            <v>2.18E-2</v>
          </cell>
          <cell r="H2286"/>
          <cell r="I2286"/>
          <cell r="J2286"/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>
            <v>1.9E-3</v>
          </cell>
        </row>
        <row r="2287">
          <cell r="A2287" t="str">
            <v>51732-021LF</v>
          </cell>
          <cell r="B2287"/>
          <cell r="C2287"/>
          <cell r="D2287"/>
          <cell r="E2287"/>
          <cell r="F2287"/>
          <cell r="G2287">
            <v>1.1736364000000001E-2</v>
          </cell>
          <cell r="H2287"/>
          <cell r="I2287"/>
          <cell r="J2287"/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>
            <v>1.9E-3</v>
          </cell>
        </row>
        <row r="2288">
          <cell r="A2288" t="str">
            <v>51732-022LF</v>
          </cell>
          <cell r="B2288"/>
          <cell r="C2288"/>
          <cell r="D2288"/>
          <cell r="E2288"/>
          <cell r="F2288"/>
          <cell r="G2288">
            <v>2.64E-2</v>
          </cell>
          <cell r="H2288"/>
          <cell r="I2288"/>
          <cell r="J2288"/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>
            <v>1.9E-3</v>
          </cell>
        </row>
        <row r="2289">
          <cell r="A2289" t="str">
            <v>51732-023LF</v>
          </cell>
          <cell r="B2289"/>
          <cell r="C2289"/>
          <cell r="D2289"/>
          <cell r="E2289"/>
          <cell r="F2289"/>
          <cell r="G2289">
            <v>8.2400000000000001E-2</v>
          </cell>
          <cell r="H2289"/>
          <cell r="I2289"/>
          <cell r="J2289"/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>
            <v>1.9E-3</v>
          </cell>
        </row>
        <row r="2290">
          <cell r="A2290" t="str">
            <v>51732-025LF</v>
          </cell>
          <cell r="B2290"/>
          <cell r="C2290"/>
          <cell r="D2290"/>
          <cell r="E2290"/>
          <cell r="F2290"/>
          <cell r="G2290">
            <v>2.9000000000000001E-2</v>
          </cell>
          <cell r="H2290"/>
          <cell r="I2290"/>
          <cell r="J2290"/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>
            <v>1.6000000000000001E-3</v>
          </cell>
        </row>
        <row r="2291">
          <cell r="A2291" t="str">
            <v>51732-026LF</v>
          </cell>
          <cell r="B2291"/>
          <cell r="C2291"/>
          <cell r="D2291"/>
          <cell r="E2291"/>
          <cell r="F2291"/>
          <cell r="G2291">
            <v>1.4536364E-2</v>
          </cell>
          <cell r="H2291"/>
          <cell r="I2291"/>
          <cell r="J2291"/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>
            <v>2.0999999999999999E-3</v>
          </cell>
        </row>
        <row r="2292">
          <cell r="A2292" t="str">
            <v>51732-027LF</v>
          </cell>
          <cell r="B2292"/>
          <cell r="C2292"/>
          <cell r="D2292"/>
          <cell r="E2292"/>
          <cell r="F2292"/>
          <cell r="G2292">
            <v>3.9399999999999998E-2</v>
          </cell>
          <cell r="H2292"/>
          <cell r="I2292"/>
          <cell r="J2292"/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>
            <v>2.0999999999999999E-3</v>
          </cell>
        </row>
        <row r="2293">
          <cell r="A2293" t="str">
            <v>51732-028LF</v>
          </cell>
          <cell r="B2293"/>
          <cell r="C2293"/>
          <cell r="D2293"/>
          <cell r="E2293"/>
          <cell r="F2293"/>
          <cell r="G2293">
            <v>2.7099999999999999E-2</v>
          </cell>
          <cell r="H2293"/>
          <cell r="I2293"/>
          <cell r="J2293"/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>
            <v>1.6000000000000001E-3</v>
          </cell>
        </row>
        <row r="2294">
          <cell r="A2294" t="str">
            <v>51732-029AuLF</v>
          </cell>
          <cell r="B2294"/>
          <cell r="C2294"/>
          <cell r="D2294"/>
          <cell r="E2294"/>
          <cell r="F2294"/>
          <cell r="G2294">
            <v>3.4000000000000002E-2</v>
          </cell>
          <cell r="H2294"/>
          <cell r="I2294"/>
          <cell r="J2294"/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>
            <v>1.9E-3</v>
          </cell>
        </row>
        <row r="2295">
          <cell r="A2295" t="str">
            <v>51732-029LF</v>
          </cell>
          <cell r="B2295"/>
          <cell r="C2295"/>
          <cell r="D2295"/>
          <cell r="E2295"/>
          <cell r="F2295"/>
          <cell r="G2295">
            <v>4.1099999999999998E-2</v>
          </cell>
          <cell r="H2295"/>
          <cell r="I2295"/>
          <cell r="J2295"/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>
            <v>1.9E-3</v>
          </cell>
        </row>
        <row r="2296">
          <cell r="A2296" t="str">
            <v>51732-029PGSALF</v>
          </cell>
          <cell r="B2296"/>
          <cell r="C2296"/>
          <cell r="D2296"/>
          <cell r="E2296"/>
          <cell r="F2296"/>
          <cell r="G2296">
            <v>4.1099999999999998E-2</v>
          </cell>
          <cell r="H2296"/>
          <cell r="I2296"/>
          <cell r="J2296"/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>
            <v>1.9E-3</v>
          </cell>
        </row>
        <row r="2297">
          <cell r="A2297" t="str">
            <v>51732-030LF</v>
          </cell>
          <cell r="B2297"/>
          <cell r="C2297"/>
          <cell r="D2297"/>
          <cell r="E2297"/>
          <cell r="F2297"/>
          <cell r="G2297">
            <v>2.9000000000000001E-2</v>
          </cell>
          <cell r="H2297"/>
          <cell r="I2297"/>
          <cell r="J2297"/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>
            <v>1.6000000000000001E-3</v>
          </cell>
        </row>
        <row r="2298">
          <cell r="A2298" t="str">
            <v>51732-032LF</v>
          </cell>
          <cell r="B2298"/>
          <cell r="C2298"/>
          <cell r="D2298"/>
          <cell r="E2298"/>
          <cell r="F2298"/>
          <cell r="G2298">
            <v>1.55E-2</v>
          </cell>
          <cell r="H2298"/>
          <cell r="I2298"/>
          <cell r="J2298"/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>
            <v>1.6000000000000001E-3</v>
          </cell>
        </row>
        <row r="2299">
          <cell r="A2299" t="str">
            <v>51732-033LF</v>
          </cell>
          <cell r="B2299"/>
          <cell r="C2299"/>
          <cell r="D2299"/>
          <cell r="E2299"/>
          <cell r="F2299"/>
          <cell r="G2299">
            <v>2.7099999999999999E-2</v>
          </cell>
          <cell r="H2299"/>
          <cell r="I2299"/>
          <cell r="J2299"/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>
            <v>1.6000000000000001E-3</v>
          </cell>
        </row>
        <row r="2300">
          <cell r="A2300" t="str">
            <v>51732-035LF</v>
          </cell>
          <cell r="B2300"/>
          <cell r="C2300"/>
          <cell r="D2300"/>
          <cell r="E2300"/>
          <cell r="F2300"/>
          <cell r="G2300">
            <v>2.9899999999999999E-2</v>
          </cell>
          <cell r="H2300"/>
          <cell r="I2300"/>
          <cell r="J2300"/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>
            <v>1.6000000000000001E-3</v>
          </cell>
        </row>
        <row r="2301">
          <cell r="A2301" t="str">
            <v>51732-036LF</v>
          </cell>
          <cell r="B2301"/>
          <cell r="C2301"/>
          <cell r="D2301"/>
          <cell r="E2301"/>
          <cell r="F2301"/>
          <cell r="G2301">
            <v>4.1099999999999998E-2</v>
          </cell>
          <cell r="H2301"/>
          <cell r="I2301"/>
          <cell r="J2301"/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>
            <v>2.0999999999999999E-3</v>
          </cell>
        </row>
        <row r="2302">
          <cell r="A2302" t="str">
            <v>51732-037LF</v>
          </cell>
          <cell r="B2302"/>
          <cell r="C2302"/>
          <cell r="D2302"/>
          <cell r="E2302"/>
          <cell r="F2302"/>
          <cell r="G2302">
            <v>2.0145E-2</v>
          </cell>
          <cell r="H2302"/>
          <cell r="I2302"/>
          <cell r="J2302"/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>
            <v>1.6000000000000001E-3</v>
          </cell>
        </row>
        <row r="2303">
          <cell r="A2303" t="str">
            <v>51732-038LF</v>
          </cell>
          <cell r="B2303"/>
          <cell r="C2303"/>
          <cell r="D2303"/>
          <cell r="E2303"/>
          <cell r="F2303"/>
          <cell r="G2303">
            <v>2.9000000000000001E-2</v>
          </cell>
          <cell r="H2303"/>
          <cell r="I2303"/>
          <cell r="J2303"/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>
            <v>1.6000000000000001E-3</v>
          </cell>
        </row>
        <row r="2304">
          <cell r="A2304" t="str">
            <v>51732-039LF</v>
          </cell>
          <cell r="B2304"/>
          <cell r="C2304"/>
          <cell r="D2304"/>
          <cell r="E2304"/>
          <cell r="F2304"/>
          <cell r="G2304">
            <v>4.1099999999999998E-2</v>
          </cell>
          <cell r="H2304"/>
          <cell r="I2304"/>
          <cell r="J2304"/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>
            <v>1.9E-3</v>
          </cell>
        </row>
        <row r="2305">
          <cell r="A2305" t="str">
            <v>51732-042LF</v>
          </cell>
          <cell r="B2305"/>
          <cell r="C2305"/>
          <cell r="D2305"/>
          <cell r="E2305"/>
          <cell r="F2305"/>
          <cell r="G2305">
            <v>3.9E-2</v>
          </cell>
          <cell r="H2305"/>
          <cell r="I2305"/>
          <cell r="J2305"/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>
            <v>2E-3</v>
          </cell>
        </row>
        <row r="2306">
          <cell r="A2306" t="str">
            <v>51732-043LF</v>
          </cell>
          <cell r="B2306"/>
          <cell r="C2306"/>
          <cell r="D2306"/>
          <cell r="E2306"/>
          <cell r="F2306"/>
          <cell r="G2306">
            <v>2.9899999999999999E-2</v>
          </cell>
          <cell r="H2306"/>
          <cell r="I2306"/>
          <cell r="J2306"/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>
            <v>1.6000000000000001E-3</v>
          </cell>
        </row>
        <row r="2307">
          <cell r="A2307" t="str">
            <v>51732-044LF</v>
          </cell>
          <cell r="B2307"/>
          <cell r="C2307"/>
          <cell r="D2307"/>
          <cell r="E2307"/>
          <cell r="F2307"/>
          <cell r="G2307">
            <v>3.1800000000000002E-2</v>
          </cell>
          <cell r="H2307"/>
          <cell r="I2307"/>
          <cell r="J2307"/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>
            <v>1.9E-3</v>
          </cell>
        </row>
        <row r="2308">
          <cell r="A2308" t="str">
            <v>51732-045LF</v>
          </cell>
          <cell r="B2308"/>
          <cell r="C2308"/>
          <cell r="D2308"/>
          <cell r="E2308"/>
          <cell r="F2308"/>
          <cell r="G2308">
            <v>2.9899999999999999E-2</v>
          </cell>
          <cell r="H2308"/>
          <cell r="I2308"/>
          <cell r="J2308"/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>
            <v>1.9E-3</v>
          </cell>
        </row>
        <row r="2309">
          <cell r="A2309" t="str">
            <v>51732-048LF</v>
          </cell>
          <cell r="B2309"/>
          <cell r="C2309"/>
          <cell r="D2309"/>
          <cell r="E2309"/>
          <cell r="F2309"/>
          <cell r="G2309">
            <v>3.5843023000000002E-2</v>
          </cell>
          <cell r="H2309"/>
          <cell r="I2309"/>
          <cell r="J2309"/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>
            <v>1.9E-3</v>
          </cell>
        </row>
        <row r="2310">
          <cell r="A2310" t="str">
            <v>51732-049LF</v>
          </cell>
          <cell r="B2310"/>
          <cell r="C2310"/>
          <cell r="D2310"/>
          <cell r="E2310"/>
          <cell r="F2310"/>
          <cell r="G2310">
            <v>3.6999999999999998E-2</v>
          </cell>
          <cell r="H2310"/>
          <cell r="I2310"/>
          <cell r="J2310"/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>
            <v>2E-3</v>
          </cell>
        </row>
        <row r="2311">
          <cell r="A2311" t="str">
            <v>51732-050LF</v>
          </cell>
          <cell r="B2311"/>
          <cell r="C2311"/>
          <cell r="D2311"/>
          <cell r="E2311"/>
          <cell r="F2311"/>
          <cell r="G2311">
            <v>3.9E-2</v>
          </cell>
          <cell r="H2311"/>
          <cell r="I2311"/>
          <cell r="J2311"/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>
            <v>2E-3</v>
          </cell>
        </row>
        <row r="2312">
          <cell r="A2312" t="str">
            <v>51732-052LF</v>
          </cell>
          <cell r="B2312"/>
          <cell r="C2312"/>
          <cell r="D2312"/>
          <cell r="E2312"/>
          <cell r="F2312"/>
          <cell r="G2312">
            <v>2.8000000000000001E-2</v>
          </cell>
          <cell r="H2312"/>
          <cell r="I2312"/>
          <cell r="J2312"/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>
            <v>2E-3</v>
          </cell>
        </row>
        <row r="2313">
          <cell r="A2313" t="str">
            <v>51732-053LF</v>
          </cell>
          <cell r="B2313"/>
          <cell r="C2313"/>
          <cell r="D2313"/>
          <cell r="E2313"/>
          <cell r="F2313"/>
          <cell r="G2313">
            <v>2.9000000000000001E-2</v>
          </cell>
          <cell r="H2313"/>
          <cell r="I2313"/>
          <cell r="J2313"/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>
            <v>2E-3</v>
          </cell>
        </row>
        <row r="2314">
          <cell r="A2314" t="str">
            <v>51732-054LF</v>
          </cell>
          <cell r="B2314"/>
          <cell r="C2314"/>
          <cell r="D2314"/>
          <cell r="E2314"/>
          <cell r="F2314"/>
          <cell r="G2314">
            <v>2.8000000000000001E-2</v>
          </cell>
          <cell r="H2314"/>
          <cell r="I2314"/>
          <cell r="J2314"/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>
            <v>2E-3</v>
          </cell>
        </row>
        <row r="2315">
          <cell r="A2315" t="str">
            <v>51732-056LF</v>
          </cell>
          <cell r="B2315"/>
          <cell r="C2315"/>
          <cell r="D2315"/>
          <cell r="E2315"/>
          <cell r="F2315"/>
          <cell r="G2315">
            <v>2.41E-2</v>
          </cell>
          <cell r="H2315"/>
          <cell r="I2315"/>
          <cell r="J2315"/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>
            <v>2E-3</v>
          </cell>
        </row>
        <row r="2316">
          <cell r="A2316" t="str">
            <v>51732-056PGSALF</v>
          </cell>
          <cell r="B2316"/>
          <cell r="C2316"/>
          <cell r="D2316"/>
          <cell r="E2316"/>
          <cell r="F2316"/>
          <cell r="G2316">
            <v>2.6700000000000002E-2</v>
          </cell>
          <cell r="H2316"/>
          <cell r="I2316"/>
          <cell r="J2316"/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>
            <v>2E-3</v>
          </cell>
        </row>
        <row r="2317">
          <cell r="A2317" t="str">
            <v>51732-057LF</v>
          </cell>
          <cell r="B2317"/>
          <cell r="C2317"/>
          <cell r="D2317"/>
          <cell r="E2317"/>
          <cell r="F2317"/>
          <cell r="G2317">
            <v>3.4000000000000002E-2</v>
          </cell>
          <cell r="H2317"/>
          <cell r="I2317"/>
          <cell r="J2317"/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>
            <v>2E-3</v>
          </cell>
        </row>
        <row r="2318">
          <cell r="A2318" t="str">
            <v>51732-058LF</v>
          </cell>
          <cell r="B2318"/>
          <cell r="C2318"/>
          <cell r="D2318"/>
          <cell r="E2318"/>
          <cell r="F2318"/>
          <cell r="G2318">
            <v>4.3999999999999997E-2</v>
          </cell>
          <cell r="H2318"/>
          <cell r="I2318"/>
          <cell r="J2318"/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>
            <v>2E-3</v>
          </cell>
        </row>
        <row r="2319">
          <cell r="A2319" t="str">
            <v>51732-061LF</v>
          </cell>
          <cell r="B2319"/>
          <cell r="C2319"/>
          <cell r="D2319"/>
          <cell r="E2319"/>
          <cell r="F2319"/>
          <cell r="G2319">
            <v>3.4799999999999998E-2</v>
          </cell>
          <cell r="H2319"/>
          <cell r="I2319"/>
          <cell r="J2319"/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>
            <v>2E-3</v>
          </cell>
        </row>
        <row r="2320">
          <cell r="A2320" t="str">
            <v>51732-062LF</v>
          </cell>
          <cell r="B2320"/>
          <cell r="C2320"/>
          <cell r="D2320"/>
          <cell r="E2320"/>
          <cell r="F2320"/>
          <cell r="G2320">
            <v>2.8000000000000001E-2</v>
          </cell>
          <cell r="H2320"/>
          <cell r="I2320"/>
          <cell r="J2320"/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>
            <v>2E-3</v>
          </cell>
        </row>
        <row r="2321">
          <cell r="A2321" t="str">
            <v>51732-063LF</v>
          </cell>
          <cell r="B2321"/>
          <cell r="C2321"/>
          <cell r="D2321"/>
          <cell r="E2321"/>
          <cell r="F2321"/>
          <cell r="G2321">
            <v>3.3000000000000002E-2</v>
          </cell>
          <cell r="H2321"/>
          <cell r="I2321"/>
          <cell r="J2321"/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>
            <v>2E-3</v>
          </cell>
        </row>
        <row r="2322">
          <cell r="A2322" t="str">
            <v>51732-064LF</v>
          </cell>
          <cell r="B2322"/>
          <cell r="C2322"/>
          <cell r="D2322"/>
          <cell r="E2322"/>
          <cell r="F2322"/>
          <cell r="G2322">
            <v>2.7E-2</v>
          </cell>
          <cell r="H2322"/>
          <cell r="I2322"/>
          <cell r="J2322"/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>
            <v>2E-3</v>
          </cell>
        </row>
        <row r="2323">
          <cell r="A2323" t="str">
            <v>51732-065LF</v>
          </cell>
          <cell r="B2323"/>
          <cell r="C2323"/>
          <cell r="D2323"/>
          <cell r="E2323"/>
          <cell r="F2323"/>
          <cell r="G2323">
            <v>2.9000000000000001E-2</v>
          </cell>
          <cell r="H2323"/>
          <cell r="I2323"/>
          <cell r="J2323"/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>
            <v>2E-3</v>
          </cell>
        </row>
        <row r="2324">
          <cell r="A2324" t="str">
            <v>51732-068LF</v>
          </cell>
          <cell r="B2324"/>
          <cell r="C2324"/>
          <cell r="D2324"/>
          <cell r="E2324"/>
          <cell r="F2324"/>
          <cell r="G2324">
            <v>1.1599999999999999E-2</v>
          </cell>
          <cell r="H2324"/>
          <cell r="I2324"/>
          <cell r="J2324"/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>
            <v>2E-3</v>
          </cell>
        </row>
        <row r="2325">
          <cell r="A2325" t="str">
            <v>51732-070LF</v>
          </cell>
          <cell r="B2325"/>
          <cell r="C2325"/>
          <cell r="D2325"/>
          <cell r="E2325"/>
          <cell r="F2325"/>
          <cell r="G2325">
            <v>2.8000000000000001E-2</v>
          </cell>
          <cell r="H2325"/>
          <cell r="I2325"/>
          <cell r="J2325"/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>
            <v>2E-3</v>
          </cell>
        </row>
        <row r="2326">
          <cell r="A2326" t="str">
            <v>51732-071LF</v>
          </cell>
          <cell r="B2326"/>
          <cell r="C2326"/>
          <cell r="D2326"/>
          <cell r="E2326"/>
          <cell r="F2326"/>
          <cell r="G2326">
            <v>2.9000000000000001E-2</v>
          </cell>
          <cell r="H2326"/>
          <cell r="I2326"/>
          <cell r="J2326"/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>
            <v>2E-3</v>
          </cell>
        </row>
        <row r="2327">
          <cell r="A2327" t="str">
            <v>51732-074LF</v>
          </cell>
          <cell r="B2327"/>
          <cell r="C2327"/>
          <cell r="D2327"/>
          <cell r="E2327"/>
          <cell r="F2327"/>
          <cell r="G2327">
            <v>3.1E-2</v>
          </cell>
          <cell r="H2327"/>
          <cell r="I2327"/>
          <cell r="J2327"/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>
            <v>2E-3</v>
          </cell>
        </row>
        <row r="2328">
          <cell r="A2328" t="str">
            <v>51732-075LF</v>
          </cell>
          <cell r="B2328"/>
          <cell r="C2328"/>
          <cell r="D2328"/>
          <cell r="E2328"/>
          <cell r="F2328"/>
          <cell r="G2328">
            <v>1.83E-2</v>
          </cell>
          <cell r="H2328"/>
          <cell r="I2328"/>
          <cell r="J2328"/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>
            <v>2E-3</v>
          </cell>
        </row>
        <row r="2329">
          <cell r="A2329" t="str">
            <v>51732-076LF</v>
          </cell>
          <cell r="B2329"/>
          <cell r="C2329"/>
          <cell r="D2329"/>
          <cell r="E2329"/>
          <cell r="F2329"/>
          <cell r="G2329">
            <v>3.9E-2</v>
          </cell>
          <cell r="H2329"/>
          <cell r="I2329"/>
          <cell r="J2329"/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>
            <v>2E-3</v>
          </cell>
        </row>
        <row r="2330">
          <cell r="A2330" t="str">
            <v>51732-077LF</v>
          </cell>
          <cell r="B2330"/>
          <cell r="C2330"/>
          <cell r="D2330"/>
          <cell r="E2330"/>
          <cell r="F2330"/>
          <cell r="G2330">
            <v>2.3E-2</v>
          </cell>
          <cell r="H2330"/>
          <cell r="I2330"/>
          <cell r="J2330"/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>
            <v>2E-3</v>
          </cell>
        </row>
        <row r="2331">
          <cell r="A2331" t="str">
            <v>51732-079LF</v>
          </cell>
          <cell r="B2331"/>
          <cell r="C2331"/>
          <cell r="D2331"/>
          <cell r="E2331"/>
          <cell r="F2331"/>
          <cell r="G2331">
            <v>3.1E-2</v>
          </cell>
          <cell r="H2331"/>
          <cell r="I2331"/>
          <cell r="J2331"/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>
            <v>2E-3</v>
          </cell>
        </row>
        <row r="2332">
          <cell r="A2332" t="str">
            <v>51732-082LF</v>
          </cell>
          <cell r="B2332"/>
          <cell r="C2332"/>
          <cell r="D2332"/>
          <cell r="E2332"/>
          <cell r="F2332"/>
          <cell r="G2332">
            <v>3.5000000000000003E-2</v>
          </cell>
          <cell r="H2332"/>
          <cell r="I2332"/>
          <cell r="J2332"/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>
            <v>2E-3</v>
          </cell>
        </row>
        <row r="2333">
          <cell r="A2333" t="str">
            <v>51732-083LF</v>
          </cell>
          <cell r="B2333"/>
          <cell r="C2333"/>
          <cell r="D2333"/>
          <cell r="E2333"/>
          <cell r="F2333"/>
          <cell r="G2333">
            <v>2.5000000000000001E-2</v>
          </cell>
          <cell r="H2333"/>
          <cell r="I2333"/>
          <cell r="J2333"/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>
            <v>2E-3</v>
          </cell>
        </row>
        <row r="2334">
          <cell r="A2334" t="str">
            <v>51732-085LF</v>
          </cell>
          <cell r="B2334"/>
          <cell r="C2334"/>
          <cell r="D2334"/>
          <cell r="E2334"/>
          <cell r="F2334"/>
          <cell r="G2334">
            <v>3.5999999999999997E-2</v>
          </cell>
          <cell r="H2334"/>
          <cell r="I2334"/>
          <cell r="J2334"/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>
            <v>2E-3</v>
          </cell>
        </row>
        <row r="2335">
          <cell r="A2335" t="str">
            <v>51732-086LF</v>
          </cell>
          <cell r="B2335"/>
          <cell r="C2335"/>
          <cell r="D2335"/>
          <cell r="E2335"/>
          <cell r="F2335"/>
          <cell r="G2335">
            <v>3.1E-2</v>
          </cell>
          <cell r="H2335"/>
          <cell r="I2335"/>
          <cell r="J2335"/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>
            <v>2E-3</v>
          </cell>
        </row>
        <row r="2336">
          <cell r="A2336" t="str">
            <v>51732-087LF</v>
          </cell>
          <cell r="B2336"/>
          <cell r="C2336"/>
          <cell r="D2336"/>
          <cell r="E2336"/>
          <cell r="F2336"/>
          <cell r="G2336">
            <v>2.8000000000000001E-2</v>
          </cell>
          <cell r="H2336"/>
          <cell r="I2336"/>
          <cell r="J2336"/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>
            <v>2E-3</v>
          </cell>
        </row>
        <row r="2337">
          <cell r="A2337" t="str">
            <v>51732-088LF</v>
          </cell>
          <cell r="B2337"/>
          <cell r="C2337"/>
          <cell r="D2337"/>
          <cell r="E2337"/>
          <cell r="F2337"/>
          <cell r="G2337">
            <v>2.8899999999999999E-2</v>
          </cell>
          <cell r="H2337"/>
          <cell r="I2337"/>
          <cell r="J2337"/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>
            <v>2E-3</v>
          </cell>
        </row>
        <row r="2338">
          <cell r="A2338" t="str">
            <v>51732-089LF</v>
          </cell>
          <cell r="B2338"/>
          <cell r="C2338"/>
          <cell r="D2338"/>
          <cell r="E2338"/>
          <cell r="F2338"/>
          <cell r="G2338">
            <v>3.2000000000000001E-2</v>
          </cell>
          <cell r="H2338"/>
          <cell r="I2338"/>
          <cell r="J2338"/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>
            <v>2E-3</v>
          </cell>
        </row>
        <row r="2339">
          <cell r="A2339" t="str">
            <v>51732-091LF</v>
          </cell>
          <cell r="B2339"/>
          <cell r="C2339"/>
          <cell r="D2339"/>
          <cell r="E2339"/>
          <cell r="F2339"/>
          <cell r="G2339">
            <v>1.7659999999999999E-2</v>
          </cell>
          <cell r="H2339"/>
          <cell r="I2339"/>
          <cell r="J2339"/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>
            <v>2E-3</v>
          </cell>
        </row>
        <row r="2340">
          <cell r="A2340" t="str">
            <v>51732-092LF</v>
          </cell>
          <cell r="B2340"/>
          <cell r="C2340"/>
          <cell r="D2340"/>
          <cell r="E2340"/>
          <cell r="F2340"/>
          <cell r="G2340">
            <v>2.9000000000000001E-2</v>
          </cell>
          <cell r="H2340"/>
          <cell r="I2340"/>
          <cell r="J2340"/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>
            <v>2E-3</v>
          </cell>
        </row>
        <row r="2341">
          <cell r="A2341" t="str">
            <v>51732-094LF</v>
          </cell>
          <cell r="B2341"/>
          <cell r="C2341"/>
          <cell r="D2341"/>
          <cell r="E2341"/>
          <cell r="F2341"/>
          <cell r="G2341">
            <v>3.5000000000000003E-2</v>
          </cell>
          <cell r="H2341"/>
          <cell r="I2341"/>
          <cell r="J2341"/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>
            <v>3.3E-3</v>
          </cell>
        </row>
        <row r="2342">
          <cell r="A2342" t="str">
            <v>51733-004LF</v>
          </cell>
          <cell r="B2342"/>
          <cell r="C2342"/>
          <cell r="D2342"/>
          <cell r="E2342"/>
          <cell r="F2342"/>
          <cell r="G2342">
            <v>2.1499999999999998E-2</v>
          </cell>
          <cell r="H2342"/>
          <cell r="I2342"/>
          <cell r="J2342"/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>
            <v>6.1000000000000004E-3</v>
          </cell>
        </row>
        <row r="2343">
          <cell r="A2343" t="str">
            <v>51733-005LF</v>
          </cell>
          <cell r="B2343"/>
          <cell r="C2343"/>
          <cell r="D2343"/>
          <cell r="E2343"/>
          <cell r="F2343"/>
          <cell r="G2343">
            <v>2.24E-2</v>
          </cell>
          <cell r="H2343"/>
          <cell r="I2343"/>
          <cell r="J2343"/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>
            <v>6.1000000000000004E-3</v>
          </cell>
        </row>
        <row r="2344">
          <cell r="A2344" t="str">
            <v>51733-010LF</v>
          </cell>
          <cell r="B2344"/>
          <cell r="C2344"/>
          <cell r="D2344"/>
          <cell r="E2344"/>
          <cell r="F2344"/>
          <cell r="G2344">
            <v>1.7999999999999999E-2</v>
          </cell>
          <cell r="H2344"/>
          <cell r="I2344"/>
          <cell r="J2344"/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>
            <v>6.1000000000000004E-3</v>
          </cell>
        </row>
        <row r="2345">
          <cell r="A2345" t="str">
            <v>51733-011LF</v>
          </cell>
          <cell r="B2345"/>
          <cell r="C2345"/>
          <cell r="D2345"/>
          <cell r="E2345"/>
          <cell r="F2345"/>
          <cell r="G2345">
            <v>1.52E-2</v>
          </cell>
          <cell r="H2345"/>
          <cell r="I2345"/>
          <cell r="J2345"/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>
            <v>6.1000000000000004E-3</v>
          </cell>
        </row>
        <row r="2346">
          <cell r="A2346" t="str">
            <v>51733-013LF</v>
          </cell>
          <cell r="B2346"/>
          <cell r="C2346"/>
          <cell r="D2346"/>
          <cell r="E2346"/>
          <cell r="F2346"/>
          <cell r="G2346">
            <v>2.5000000000000001E-2</v>
          </cell>
          <cell r="H2346"/>
          <cell r="I2346"/>
          <cell r="J2346"/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>
            <v>6.1000000000000004E-3</v>
          </cell>
        </row>
        <row r="2347">
          <cell r="A2347" t="str">
            <v>51733-014LF</v>
          </cell>
          <cell r="B2347"/>
          <cell r="C2347"/>
          <cell r="D2347"/>
          <cell r="E2347"/>
          <cell r="F2347"/>
          <cell r="G2347">
            <v>1.7000000000000001E-2</v>
          </cell>
          <cell r="H2347"/>
          <cell r="I2347"/>
          <cell r="J2347"/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>
            <v>6.1000000000000004E-3</v>
          </cell>
        </row>
        <row r="2348">
          <cell r="A2348" t="str">
            <v>51733-015LF</v>
          </cell>
          <cell r="B2348"/>
          <cell r="C2348"/>
          <cell r="D2348"/>
          <cell r="E2348"/>
          <cell r="F2348"/>
          <cell r="G2348">
            <v>0.02</v>
          </cell>
          <cell r="H2348"/>
          <cell r="I2348"/>
          <cell r="J2348"/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>
            <v>6.1000000000000004E-3</v>
          </cell>
        </row>
        <row r="2349">
          <cell r="A2349" t="str">
            <v>51733-018LF</v>
          </cell>
          <cell r="B2349"/>
          <cell r="C2349"/>
          <cell r="D2349"/>
          <cell r="E2349"/>
          <cell r="F2349"/>
          <cell r="G2349">
            <v>0.02</v>
          </cell>
          <cell r="H2349"/>
          <cell r="I2349"/>
          <cell r="J2349"/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>
            <v>6.1000000000000004E-3</v>
          </cell>
        </row>
        <row r="2350">
          <cell r="A2350" t="str">
            <v>51733-019LF</v>
          </cell>
          <cell r="B2350"/>
          <cell r="C2350"/>
          <cell r="D2350"/>
          <cell r="E2350"/>
          <cell r="F2350"/>
          <cell r="G2350">
            <v>2.3E-2</v>
          </cell>
          <cell r="H2350"/>
          <cell r="I2350"/>
          <cell r="J2350"/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>
            <v>3.0000000000000001E-3</v>
          </cell>
        </row>
        <row r="2351">
          <cell r="A2351" t="str">
            <v>51734-001LF</v>
          </cell>
          <cell r="B2351"/>
          <cell r="C2351"/>
          <cell r="D2351"/>
          <cell r="E2351"/>
          <cell r="F2351"/>
          <cell r="G2351">
            <v>3.27E-2</v>
          </cell>
          <cell r="H2351"/>
          <cell r="I2351"/>
          <cell r="J2351"/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>
            <v>1.9E-3</v>
          </cell>
        </row>
        <row r="2352">
          <cell r="A2352" t="str">
            <v>51734-006LF</v>
          </cell>
          <cell r="B2352"/>
          <cell r="C2352"/>
          <cell r="D2352"/>
          <cell r="E2352"/>
          <cell r="F2352"/>
          <cell r="G2352">
            <v>4.4999999999999998E-2</v>
          </cell>
          <cell r="H2352"/>
          <cell r="I2352"/>
          <cell r="J2352"/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>
            <v>2E-3</v>
          </cell>
        </row>
        <row r="2353">
          <cell r="A2353" t="str">
            <v>51734-007LF</v>
          </cell>
          <cell r="B2353"/>
          <cell r="C2353"/>
          <cell r="D2353"/>
          <cell r="E2353"/>
          <cell r="F2353"/>
          <cell r="G2353">
            <v>3.9E-2</v>
          </cell>
          <cell r="H2353"/>
          <cell r="I2353"/>
          <cell r="J2353"/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>
            <v>2E-3</v>
          </cell>
        </row>
        <row r="2354">
          <cell r="A2354" t="str">
            <v>51736-001LF</v>
          </cell>
          <cell r="B2354"/>
          <cell r="C2354"/>
          <cell r="D2354"/>
          <cell r="E2354"/>
          <cell r="F2354"/>
          <cell r="G2354">
            <v>3.6499999999999998E-2</v>
          </cell>
          <cell r="H2354"/>
          <cell r="I2354"/>
          <cell r="J2354"/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>
            <v>1.9E-3</v>
          </cell>
        </row>
        <row r="2355">
          <cell r="A2355" t="str">
            <v>51736-004LF</v>
          </cell>
          <cell r="B2355"/>
          <cell r="C2355"/>
          <cell r="D2355"/>
          <cell r="E2355"/>
          <cell r="F2355"/>
          <cell r="G2355">
            <v>1.9699999999999999E-2</v>
          </cell>
          <cell r="H2355"/>
          <cell r="I2355"/>
          <cell r="J2355"/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>
            <v>1.6000000000000001E-3</v>
          </cell>
        </row>
        <row r="2356">
          <cell r="A2356" t="str">
            <v>51736-005LF</v>
          </cell>
          <cell r="B2356"/>
          <cell r="C2356"/>
          <cell r="D2356"/>
          <cell r="E2356"/>
          <cell r="F2356"/>
          <cell r="G2356">
            <v>2.8000000000000001E-2</v>
          </cell>
          <cell r="H2356"/>
          <cell r="I2356"/>
          <cell r="J2356"/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>
            <v>2E-3</v>
          </cell>
        </row>
        <row r="2357">
          <cell r="A2357" t="str">
            <v>51736-006LF</v>
          </cell>
          <cell r="B2357"/>
          <cell r="C2357"/>
          <cell r="D2357"/>
          <cell r="E2357"/>
          <cell r="F2357"/>
          <cell r="G2357">
            <v>3.5099999999999999E-2</v>
          </cell>
          <cell r="H2357"/>
          <cell r="I2357"/>
          <cell r="J2357"/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>
            <v>2E-3</v>
          </cell>
        </row>
        <row r="2358">
          <cell r="A2358" t="str">
            <v>51736-007LF</v>
          </cell>
          <cell r="B2358"/>
          <cell r="C2358"/>
          <cell r="D2358"/>
          <cell r="E2358"/>
          <cell r="F2358"/>
          <cell r="G2358">
            <v>2.7E-2</v>
          </cell>
          <cell r="H2358"/>
          <cell r="I2358"/>
          <cell r="J2358"/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>
            <v>2E-3</v>
          </cell>
        </row>
        <row r="2359">
          <cell r="A2359" t="str">
            <v>51740-10001204AALF</v>
          </cell>
          <cell r="B2359"/>
          <cell r="C2359"/>
          <cell r="D2359"/>
          <cell r="E2359"/>
          <cell r="F2359"/>
          <cell r="G2359">
            <v>2.5999999999999999E-2</v>
          </cell>
          <cell r="H2359"/>
          <cell r="I2359"/>
          <cell r="J2359"/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>
            <v>2E-3</v>
          </cell>
        </row>
        <row r="2360">
          <cell r="A2360" t="str">
            <v>51740-10003200CALF</v>
          </cell>
          <cell r="B2360"/>
          <cell r="C2360"/>
          <cell r="D2360"/>
          <cell r="E2360"/>
          <cell r="F2360"/>
          <cell r="G2360">
            <v>3.8999999999999998E-3</v>
          </cell>
          <cell r="H2360"/>
          <cell r="I2360"/>
          <cell r="J2360"/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>
            <v>1.4E-2</v>
          </cell>
        </row>
        <row r="2361">
          <cell r="A2361" t="str">
            <v>51740-10003606AALF</v>
          </cell>
          <cell r="B2361"/>
          <cell r="C2361"/>
          <cell r="D2361"/>
          <cell r="E2361"/>
          <cell r="F2361"/>
          <cell r="G2361">
            <v>1.6199999999999999E-2</v>
          </cell>
          <cell r="H2361"/>
          <cell r="I2361"/>
          <cell r="J2361"/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>
            <v>4.3E-3</v>
          </cell>
        </row>
        <row r="2362">
          <cell r="A2362" t="str">
            <v>51740-10014800AALF</v>
          </cell>
          <cell r="B2362"/>
          <cell r="C2362"/>
          <cell r="D2362"/>
          <cell r="E2362"/>
          <cell r="F2362"/>
          <cell r="G2362">
            <v>2.5999999999999999E-2</v>
          </cell>
          <cell r="H2362"/>
          <cell r="I2362"/>
          <cell r="J2362"/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>
            <v>1.3599999999999999E-2</v>
          </cell>
        </row>
        <row r="2363">
          <cell r="A2363" t="str">
            <v>51740-10100401AALF</v>
          </cell>
          <cell r="B2363"/>
          <cell r="C2363"/>
          <cell r="D2363"/>
          <cell r="E2363"/>
          <cell r="F2363"/>
          <cell r="G2363">
            <v>2.4E-2</v>
          </cell>
          <cell r="H2363"/>
          <cell r="I2363"/>
          <cell r="J2363"/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>
            <v>1.6000000000000001E-3</v>
          </cell>
        </row>
        <row r="2364">
          <cell r="A2364" t="str">
            <v>51740-10100401CCLF</v>
          </cell>
          <cell r="B2364"/>
          <cell r="C2364"/>
          <cell r="D2364"/>
          <cell r="E2364"/>
          <cell r="F2364"/>
          <cell r="G2364">
            <v>2.1999999999999999E-2</v>
          </cell>
          <cell r="H2364"/>
          <cell r="I2364"/>
          <cell r="J2364"/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>
            <v>2E-3</v>
          </cell>
        </row>
        <row r="2365">
          <cell r="A2365" t="str">
            <v>51740-10100404CCLF</v>
          </cell>
          <cell r="B2365"/>
          <cell r="C2365"/>
          <cell r="D2365"/>
          <cell r="E2365"/>
          <cell r="F2365"/>
          <cell r="G2365">
            <v>3.2000000000000001E-2</v>
          </cell>
          <cell r="H2365"/>
          <cell r="I2365"/>
          <cell r="J2365"/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>
            <v>2E-3</v>
          </cell>
        </row>
        <row r="2366">
          <cell r="A2366" t="str">
            <v>51740-10100801AALF</v>
          </cell>
          <cell r="B2366"/>
          <cell r="C2366"/>
          <cell r="D2366"/>
          <cell r="E2366"/>
          <cell r="F2366"/>
          <cell r="G2366">
            <v>2.3E-2</v>
          </cell>
          <cell r="H2366"/>
          <cell r="I2366"/>
          <cell r="J2366"/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>
            <v>1.9166669999999999E-3</v>
          </cell>
        </row>
        <row r="2367">
          <cell r="A2367" t="str">
            <v>51740-10100801ACLF</v>
          </cell>
          <cell r="B2367"/>
          <cell r="C2367"/>
          <cell r="D2367"/>
          <cell r="E2367"/>
          <cell r="F2367"/>
          <cell r="G2367">
            <v>2.1000000000000001E-2</v>
          </cell>
          <cell r="H2367"/>
          <cell r="I2367"/>
          <cell r="J2367"/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>
            <v>2E-3</v>
          </cell>
        </row>
        <row r="2368">
          <cell r="A2368" t="str">
            <v>51740-10100801CCLF</v>
          </cell>
          <cell r="B2368"/>
          <cell r="C2368"/>
          <cell r="D2368"/>
          <cell r="E2368"/>
          <cell r="F2368"/>
          <cell r="G2368">
            <v>2.5000000000000001E-2</v>
          </cell>
          <cell r="H2368"/>
          <cell r="I2368"/>
          <cell r="J2368"/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>
            <v>2E-3</v>
          </cell>
        </row>
        <row r="2369">
          <cell r="A2369" t="str">
            <v>51740-10101201AALF</v>
          </cell>
          <cell r="B2369"/>
          <cell r="C2369"/>
          <cell r="D2369"/>
          <cell r="E2369"/>
          <cell r="F2369"/>
          <cell r="G2369">
            <v>3.2000000000000001E-2</v>
          </cell>
          <cell r="H2369"/>
          <cell r="I2369"/>
          <cell r="J2369"/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>
            <v>2E-3</v>
          </cell>
        </row>
        <row r="2370">
          <cell r="A2370" t="str">
            <v>51740-10101201CALF</v>
          </cell>
          <cell r="B2370"/>
          <cell r="C2370"/>
          <cell r="D2370"/>
          <cell r="E2370"/>
          <cell r="F2370"/>
          <cell r="G2370">
            <v>1.1299999999999999E-2</v>
          </cell>
          <cell r="H2370"/>
          <cell r="I2370"/>
          <cell r="J2370"/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>
            <v>2.3E-3</v>
          </cell>
        </row>
        <row r="2371">
          <cell r="A2371" t="str">
            <v>51740-10101201CCLF</v>
          </cell>
          <cell r="B2371"/>
          <cell r="C2371"/>
          <cell r="D2371"/>
          <cell r="E2371"/>
          <cell r="F2371"/>
          <cell r="G2371">
            <v>2.1000000000000001E-2</v>
          </cell>
          <cell r="H2371"/>
          <cell r="I2371"/>
          <cell r="J2371"/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>
            <v>2E-3</v>
          </cell>
        </row>
        <row r="2372">
          <cell r="A2372" t="str">
            <v>51740-10101601AALF</v>
          </cell>
          <cell r="B2372"/>
          <cell r="C2372"/>
          <cell r="D2372"/>
          <cell r="E2372"/>
          <cell r="F2372"/>
          <cell r="G2372">
            <v>1.2083E-2</v>
          </cell>
          <cell r="H2372"/>
          <cell r="I2372"/>
          <cell r="J2372"/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>
            <v>2.5833330000000002E-3</v>
          </cell>
        </row>
        <row r="2373">
          <cell r="A2373" t="str">
            <v>51740-10101601CALF</v>
          </cell>
          <cell r="B2373"/>
          <cell r="C2373"/>
          <cell r="D2373"/>
          <cell r="E2373"/>
          <cell r="F2373"/>
          <cell r="G2373">
            <v>2.3E-2</v>
          </cell>
          <cell r="H2373"/>
          <cell r="I2373"/>
          <cell r="J2373"/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>
            <v>3.0000000000000001E-3</v>
          </cell>
        </row>
        <row r="2374">
          <cell r="A2374" t="str">
            <v>51740-10101601CCLF</v>
          </cell>
          <cell r="B2374"/>
          <cell r="C2374"/>
          <cell r="D2374"/>
          <cell r="E2374"/>
          <cell r="F2374"/>
          <cell r="G2374">
            <v>1.1077999999999999E-2</v>
          </cell>
          <cell r="H2374"/>
          <cell r="I2374"/>
          <cell r="J2374"/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>
            <v>3.0000000000000001E-3</v>
          </cell>
        </row>
        <row r="2375">
          <cell r="A2375" t="str">
            <v>51740-10101602AALF</v>
          </cell>
          <cell r="B2375"/>
          <cell r="C2375"/>
          <cell r="D2375"/>
          <cell r="E2375"/>
          <cell r="F2375"/>
          <cell r="G2375">
            <v>2.3E-2</v>
          </cell>
          <cell r="H2375"/>
          <cell r="I2375"/>
          <cell r="J2375"/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>
            <v>3.0000000000000001E-3</v>
          </cell>
        </row>
        <row r="2376">
          <cell r="A2376" t="str">
            <v>51740-10101608AALF</v>
          </cell>
          <cell r="B2376"/>
          <cell r="C2376"/>
          <cell r="D2376"/>
          <cell r="E2376"/>
          <cell r="F2376"/>
          <cell r="G2376">
            <v>3.4000000000000002E-2</v>
          </cell>
          <cell r="H2376"/>
          <cell r="I2376"/>
          <cell r="J2376"/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>
            <v>2.5999999999999999E-3</v>
          </cell>
        </row>
        <row r="2377">
          <cell r="A2377" t="str">
            <v>51740-10102001AALF</v>
          </cell>
          <cell r="B2377"/>
          <cell r="C2377"/>
          <cell r="D2377"/>
          <cell r="E2377"/>
          <cell r="F2377"/>
          <cell r="G2377">
            <v>2.1999999999999999E-2</v>
          </cell>
          <cell r="H2377"/>
          <cell r="I2377"/>
          <cell r="J2377"/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>
            <v>3.0000000000000001E-3</v>
          </cell>
        </row>
        <row r="2378">
          <cell r="A2378" t="str">
            <v>51740-10102001CCLF</v>
          </cell>
          <cell r="B2378"/>
          <cell r="C2378"/>
          <cell r="D2378"/>
          <cell r="E2378"/>
          <cell r="F2378"/>
          <cell r="G2378">
            <v>1.2500000000000001E-2</v>
          </cell>
          <cell r="H2378"/>
          <cell r="I2378"/>
          <cell r="J2378"/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>
            <v>3.0000000000000001E-3</v>
          </cell>
        </row>
        <row r="2379">
          <cell r="A2379" t="str">
            <v>51740-10102401AALF</v>
          </cell>
          <cell r="B2379"/>
          <cell r="C2379"/>
          <cell r="D2379"/>
          <cell r="E2379"/>
          <cell r="F2379"/>
          <cell r="G2379">
            <v>9.1000000000000004E-3</v>
          </cell>
          <cell r="H2379"/>
          <cell r="I2379"/>
          <cell r="J2379"/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>
            <v>3.3E-3</v>
          </cell>
        </row>
        <row r="2380">
          <cell r="A2380" t="str">
            <v>51740-10102401CALF</v>
          </cell>
          <cell r="B2380"/>
          <cell r="C2380"/>
          <cell r="D2380"/>
          <cell r="E2380"/>
          <cell r="F2380"/>
          <cell r="G2380">
            <v>9.8443260000000005E-3</v>
          </cell>
          <cell r="H2380"/>
          <cell r="I2380"/>
          <cell r="J2380"/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>
            <v>3.2499999999999999E-3</v>
          </cell>
        </row>
        <row r="2381">
          <cell r="A2381" t="str">
            <v>51740-10102401CCLF</v>
          </cell>
          <cell r="B2381"/>
          <cell r="C2381"/>
          <cell r="D2381"/>
          <cell r="E2381"/>
          <cell r="F2381"/>
          <cell r="G2381">
            <v>0.02</v>
          </cell>
          <cell r="H2381"/>
          <cell r="I2381"/>
          <cell r="J2381"/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>
            <v>3.3E-3</v>
          </cell>
        </row>
        <row r="2382">
          <cell r="A2382" t="str">
            <v>51740-10102801CCLF</v>
          </cell>
          <cell r="B2382"/>
          <cell r="C2382"/>
          <cell r="D2382"/>
          <cell r="E2382"/>
          <cell r="F2382"/>
          <cell r="G2382">
            <v>0.02</v>
          </cell>
          <cell r="H2382"/>
          <cell r="I2382"/>
          <cell r="J2382"/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>
            <v>4.0000000000000001E-3</v>
          </cell>
        </row>
        <row r="2383">
          <cell r="A2383" t="str">
            <v>51740-10103201AALF</v>
          </cell>
          <cell r="B2383"/>
          <cell r="C2383"/>
          <cell r="D2383"/>
          <cell r="E2383"/>
          <cell r="F2383"/>
          <cell r="G2383">
            <v>2.1000000000000001E-2</v>
          </cell>
          <cell r="H2383"/>
          <cell r="I2383"/>
          <cell r="J2383"/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>
            <v>4.0000000000000001E-3</v>
          </cell>
        </row>
        <row r="2384">
          <cell r="A2384" t="str">
            <v>51740-10103601AALF</v>
          </cell>
          <cell r="B2384"/>
          <cell r="C2384"/>
          <cell r="D2384"/>
          <cell r="E2384"/>
          <cell r="F2384"/>
          <cell r="G2384">
            <v>2.5999999999999999E-2</v>
          </cell>
          <cell r="H2384"/>
          <cell r="I2384"/>
          <cell r="J2384"/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>
            <v>3.0000000000000001E-3</v>
          </cell>
        </row>
        <row r="2385">
          <cell r="A2385" t="str">
            <v>51740-10104002AALF</v>
          </cell>
          <cell r="B2385"/>
          <cell r="C2385"/>
          <cell r="D2385"/>
          <cell r="E2385"/>
          <cell r="F2385"/>
          <cell r="G2385">
            <v>2.1000000000000001E-2</v>
          </cell>
          <cell r="H2385"/>
          <cell r="I2385"/>
          <cell r="J2385"/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>
            <v>5.0000000000000001E-3</v>
          </cell>
        </row>
        <row r="2386">
          <cell r="A2386" t="str">
            <v>51740-10104801AALF</v>
          </cell>
          <cell r="B2386"/>
          <cell r="C2386"/>
          <cell r="D2386"/>
          <cell r="E2386"/>
          <cell r="F2386"/>
          <cell r="G2386">
            <v>2.4E-2</v>
          </cell>
          <cell r="H2386"/>
          <cell r="I2386"/>
          <cell r="J2386"/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>
            <v>5.0000000000000001E-3</v>
          </cell>
        </row>
        <row r="2387">
          <cell r="A2387" t="str">
            <v>51740-10104801ACLF</v>
          </cell>
          <cell r="B2387"/>
          <cell r="C2387"/>
          <cell r="D2387"/>
          <cell r="E2387"/>
          <cell r="F2387"/>
          <cell r="G2387">
            <v>2.4E-2</v>
          </cell>
          <cell r="H2387"/>
          <cell r="I2387"/>
          <cell r="J2387"/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>
            <v>5.0000000000000001E-3</v>
          </cell>
        </row>
        <row r="2388">
          <cell r="A2388" t="str">
            <v>51740-10106001AALF</v>
          </cell>
          <cell r="B2388"/>
          <cell r="C2388"/>
          <cell r="D2388"/>
          <cell r="E2388"/>
          <cell r="F2388"/>
          <cell r="G2388">
            <v>2.9000000000000001E-2</v>
          </cell>
          <cell r="H2388"/>
          <cell r="I2388"/>
          <cell r="J2388"/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>
            <v>6.0000000000000001E-3</v>
          </cell>
        </row>
        <row r="2389">
          <cell r="A2389" t="str">
            <v>51740-10107201AALF</v>
          </cell>
          <cell r="B2389"/>
          <cell r="C2389"/>
          <cell r="D2389"/>
          <cell r="E2389"/>
          <cell r="F2389"/>
          <cell r="G2389">
            <v>0.02</v>
          </cell>
          <cell r="H2389"/>
          <cell r="I2389"/>
          <cell r="J2389"/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>
            <v>7.0000000000000001E-3</v>
          </cell>
        </row>
        <row r="2390">
          <cell r="A2390" t="str">
            <v>51740-10107201ACLF</v>
          </cell>
          <cell r="B2390"/>
          <cell r="C2390"/>
          <cell r="D2390"/>
          <cell r="E2390"/>
          <cell r="F2390"/>
          <cell r="G2390">
            <v>3.1E-2</v>
          </cell>
          <cell r="H2390"/>
          <cell r="I2390"/>
          <cell r="J2390"/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>
            <v>7.0000000000000001E-3</v>
          </cell>
        </row>
        <row r="2391">
          <cell r="A2391" t="str">
            <v>51740-10108001AALF</v>
          </cell>
          <cell r="B2391"/>
          <cell r="C2391"/>
          <cell r="D2391"/>
          <cell r="E2391"/>
          <cell r="F2391"/>
          <cell r="G2391">
            <v>0.03</v>
          </cell>
          <cell r="H2391"/>
          <cell r="I2391"/>
          <cell r="J2391"/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>
            <v>7.9000000000000008E-3</v>
          </cell>
        </row>
        <row r="2392">
          <cell r="A2392" t="str">
            <v>51740-10112801AALF</v>
          </cell>
          <cell r="B2392"/>
          <cell r="C2392"/>
          <cell r="D2392"/>
          <cell r="E2392"/>
          <cell r="F2392"/>
          <cell r="G2392">
            <v>5.5E-2</v>
          </cell>
          <cell r="H2392"/>
          <cell r="I2392"/>
          <cell r="J2392"/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>
            <v>1.2E-2</v>
          </cell>
        </row>
        <row r="2393">
          <cell r="A2393" t="str">
            <v>51740-10200402AALF</v>
          </cell>
          <cell r="B2393"/>
          <cell r="C2393"/>
          <cell r="D2393"/>
          <cell r="E2393"/>
          <cell r="F2393"/>
          <cell r="G2393">
            <v>2.7E-2</v>
          </cell>
          <cell r="H2393"/>
          <cell r="I2393"/>
          <cell r="J2393"/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>
            <v>2E-3</v>
          </cell>
        </row>
        <row r="2394">
          <cell r="A2394" t="str">
            <v>51740-10200801AALF</v>
          </cell>
          <cell r="B2394"/>
          <cell r="C2394"/>
          <cell r="D2394"/>
          <cell r="E2394"/>
          <cell r="F2394"/>
          <cell r="G2394">
            <v>2.5000000000000001E-2</v>
          </cell>
          <cell r="H2394"/>
          <cell r="I2394"/>
          <cell r="J2394"/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>
            <v>2E-3</v>
          </cell>
        </row>
        <row r="2395">
          <cell r="A2395" t="str">
            <v>51740-10200802AALF</v>
          </cell>
          <cell r="B2395"/>
          <cell r="C2395"/>
          <cell r="D2395"/>
          <cell r="E2395"/>
          <cell r="F2395"/>
          <cell r="G2395">
            <v>2.5000000000000001E-2</v>
          </cell>
          <cell r="H2395"/>
          <cell r="I2395"/>
          <cell r="J2395"/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>
            <v>2E-3</v>
          </cell>
        </row>
        <row r="2396">
          <cell r="A2396" t="str">
            <v>51740-10200802CALF</v>
          </cell>
          <cell r="B2396"/>
          <cell r="C2396"/>
          <cell r="D2396"/>
          <cell r="E2396"/>
          <cell r="F2396"/>
          <cell r="G2396">
            <v>2.7E-2</v>
          </cell>
          <cell r="H2396"/>
          <cell r="I2396"/>
          <cell r="J2396"/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>
            <v>1.9E-3</v>
          </cell>
        </row>
        <row r="2397">
          <cell r="A2397" t="str">
            <v>51740-10200802CCLF</v>
          </cell>
          <cell r="B2397"/>
          <cell r="C2397"/>
          <cell r="D2397"/>
          <cell r="E2397"/>
          <cell r="F2397"/>
          <cell r="G2397">
            <v>1.8E-3</v>
          </cell>
          <cell r="H2397"/>
          <cell r="I2397"/>
          <cell r="J2397"/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>
            <v>2.5999999999999999E-2</v>
          </cell>
        </row>
        <row r="2398">
          <cell r="A2398" t="str">
            <v>51740-10200804CCLF</v>
          </cell>
          <cell r="B2398"/>
          <cell r="C2398"/>
          <cell r="D2398"/>
          <cell r="E2398"/>
          <cell r="F2398"/>
          <cell r="G2398">
            <v>2.7E-2</v>
          </cell>
          <cell r="H2398"/>
          <cell r="I2398"/>
          <cell r="J2398"/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>
            <v>2E-3</v>
          </cell>
        </row>
        <row r="2399">
          <cell r="A2399" t="str">
            <v>51740-10201200AALF</v>
          </cell>
          <cell r="B2399"/>
          <cell r="C2399"/>
          <cell r="D2399"/>
          <cell r="E2399"/>
          <cell r="F2399"/>
          <cell r="G2399">
            <v>2.3E-2</v>
          </cell>
          <cell r="H2399"/>
          <cell r="I2399"/>
          <cell r="J2399"/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>
            <v>2.3E-3</v>
          </cell>
        </row>
        <row r="2400">
          <cell r="A2400" t="str">
            <v>51740-10201202AALF</v>
          </cell>
          <cell r="B2400"/>
          <cell r="C2400"/>
          <cell r="D2400"/>
          <cell r="E2400"/>
          <cell r="F2400"/>
          <cell r="G2400">
            <v>1.3602E-2</v>
          </cell>
          <cell r="H2400"/>
          <cell r="I2400"/>
          <cell r="J2400"/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>
            <v>2.2499999999999998E-3</v>
          </cell>
        </row>
        <row r="2401">
          <cell r="A2401" t="str">
            <v>51740-10201202CALF</v>
          </cell>
          <cell r="B2401"/>
          <cell r="C2401"/>
          <cell r="D2401"/>
          <cell r="E2401"/>
          <cell r="F2401"/>
          <cell r="G2401">
            <v>9.6703629999999995E-3</v>
          </cell>
          <cell r="H2401"/>
          <cell r="I2401"/>
          <cell r="J2401"/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>
            <v>2.2499999999999998E-3</v>
          </cell>
        </row>
        <row r="2402">
          <cell r="A2402" t="str">
            <v>51740-10201202CCLF</v>
          </cell>
          <cell r="B2402"/>
          <cell r="C2402"/>
          <cell r="D2402"/>
          <cell r="E2402"/>
          <cell r="F2402"/>
          <cell r="G2402">
            <v>2.5999999999999999E-2</v>
          </cell>
          <cell r="H2402"/>
          <cell r="I2402"/>
          <cell r="J2402"/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>
            <v>2E-3</v>
          </cell>
        </row>
        <row r="2403">
          <cell r="A2403" t="str">
            <v>51740-10201602AALF</v>
          </cell>
          <cell r="B2403"/>
          <cell r="C2403"/>
          <cell r="D2403"/>
          <cell r="E2403"/>
          <cell r="F2403"/>
          <cell r="G2403">
            <v>8.7192999999999993E-3</v>
          </cell>
          <cell r="H2403"/>
          <cell r="I2403"/>
          <cell r="J2403"/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>
            <v>2.5833330000000002E-3</v>
          </cell>
        </row>
        <row r="2404">
          <cell r="A2404" t="str">
            <v>51740-10201602CALF</v>
          </cell>
          <cell r="B2404"/>
          <cell r="C2404"/>
          <cell r="D2404"/>
          <cell r="E2404"/>
          <cell r="F2404"/>
          <cell r="G2404">
            <v>1.4078E-2</v>
          </cell>
          <cell r="H2404"/>
          <cell r="I2404"/>
          <cell r="J2404"/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>
            <v>2.5833330000000002E-3</v>
          </cell>
        </row>
        <row r="2405">
          <cell r="A2405" t="str">
            <v>51740-10201602CCLF</v>
          </cell>
          <cell r="B2405"/>
          <cell r="C2405"/>
          <cell r="D2405"/>
          <cell r="E2405"/>
          <cell r="F2405"/>
          <cell r="G2405">
            <v>1.2800000000000001E-2</v>
          </cell>
          <cell r="H2405"/>
          <cell r="I2405"/>
          <cell r="J2405"/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>
            <v>2.5999999999999999E-3</v>
          </cell>
        </row>
        <row r="2406">
          <cell r="A2406" t="str">
            <v>51740-10201604AALF</v>
          </cell>
          <cell r="B2406"/>
          <cell r="C2406"/>
          <cell r="D2406"/>
          <cell r="E2406"/>
          <cell r="F2406"/>
          <cell r="G2406">
            <v>2.8000000000000001E-2</v>
          </cell>
          <cell r="H2406"/>
          <cell r="I2406"/>
          <cell r="J2406"/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>
            <v>3.0000000000000001E-3</v>
          </cell>
        </row>
        <row r="2407">
          <cell r="A2407" t="str">
            <v>51740-10201604CCLF</v>
          </cell>
          <cell r="B2407"/>
          <cell r="C2407"/>
          <cell r="D2407"/>
          <cell r="E2407"/>
          <cell r="F2407"/>
          <cell r="G2407">
            <v>2.5999999999999999E-2</v>
          </cell>
          <cell r="H2407"/>
          <cell r="I2407"/>
          <cell r="J2407"/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>
            <v>3.0000000000000001E-3</v>
          </cell>
        </row>
        <row r="2408">
          <cell r="A2408" t="str">
            <v>51740-10202002CALF</v>
          </cell>
          <cell r="B2408"/>
          <cell r="C2408"/>
          <cell r="D2408"/>
          <cell r="E2408"/>
          <cell r="F2408"/>
          <cell r="G2408">
            <v>2.4E-2</v>
          </cell>
          <cell r="H2408"/>
          <cell r="I2408"/>
          <cell r="J2408"/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>
            <v>3.0000000000000001E-3</v>
          </cell>
        </row>
        <row r="2409">
          <cell r="A2409" t="str">
            <v>51740-10202402AALF</v>
          </cell>
          <cell r="B2409"/>
          <cell r="C2409"/>
          <cell r="D2409"/>
          <cell r="E2409"/>
          <cell r="F2409"/>
          <cell r="G2409">
            <v>8.9346100000000008E-3</v>
          </cell>
          <cell r="H2409"/>
          <cell r="I2409"/>
          <cell r="J2409"/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>
            <v>3.0000000000000001E-3</v>
          </cell>
        </row>
        <row r="2410">
          <cell r="A2410" t="str">
            <v>51740-10202402ACLF</v>
          </cell>
          <cell r="B2410"/>
          <cell r="C2410"/>
          <cell r="D2410"/>
          <cell r="E2410"/>
          <cell r="F2410"/>
          <cell r="G2410">
            <v>2.3E-2</v>
          </cell>
          <cell r="H2410"/>
          <cell r="I2410"/>
          <cell r="J2410"/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>
            <v>3.0000000000000001E-3</v>
          </cell>
        </row>
        <row r="2411">
          <cell r="A2411" t="str">
            <v>51740-10202402CALF</v>
          </cell>
          <cell r="B2411"/>
          <cell r="C2411"/>
          <cell r="D2411"/>
          <cell r="E2411"/>
          <cell r="F2411"/>
          <cell r="G2411">
            <v>4.5100000000000001E-3</v>
          </cell>
          <cell r="H2411"/>
          <cell r="I2411"/>
          <cell r="J2411"/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>
            <v>3.0000000000000001E-3</v>
          </cell>
        </row>
        <row r="2412">
          <cell r="A2412" t="str">
            <v>51740-10202402CCLF</v>
          </cell>
          <cell r="B2412"/>
          <cell r="C2412"/>
          <cell r="D2412"/>
          <cell r="E2412"/>
          <cell r="F2412"/>
          <cell r="G2412">
            <v>1.5394168E-2</v>
          </cell>
          <cell r="H2412"/>
          <cell r="I2412"/>
          <cell r="J2412"/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>
            <v>3.0000000000000001E-3</v>
          </cell>
        </row>
        <row r="2413">
          <cell r="A2413" t="str">
            <v>51740-10202403AALF</v>
          </cell>
          <cell r="B2413"/>
          <cell r="C2413"/>
          <cell r="D2413"/>
          <cell r="E2413"/>
          <cell r="F2413"/>
          <cell r="G2413">
            <v>2.7799999999999998E-2</v>
          </cell>
          <cell r="H2413"/>
          <cell r="I2413"/>
          <cell r="J2413"/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>
            <v>4.0000000000000001E-3</v>
          </cell>
        </row>
        <row r="2414">
          <cell r="A2414" t="str">
            <v>51740-10202404AALF</v>
          </cell>
          <cell r="B2414"/>
          <cell r="C2414"/>
          <cell r="D2414"/>
          <cell r="E2414"/>
          <cell r="F2414"/>
          <cell r="G2414">
            <v>2.7E-2</v>
          </cell>
          <cell r="H2414"/>
          <cell r="I2414"/>
          <cell r="J2414"/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>
            <v>3.3E-3</v>
          </cell>
        </row>
        <row r="2415">
          <cell r="A2415" t="str">
            <v>51740-10202404CALF</v>
          </cell>
          <cell r="B2415"/>
          <cell r="C2415"/>
          <cell r="D2415"/>
          <cell r="E2415"/>
          <cell r="F2415"/>
          <cell r="G2415">
            <v>0.02</v>
          </cell>
          <cell r="H2415"/>
          <cell r="I2415"/>
          <cell r="J2415"/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>
            <v>3.3E-3</v>
          </cell>
        </row>
        <row r="2416">
          <cell r="A2416" t="str">
            <v>51740-10202404CCLF</v>
          </cell>
          <cell r="B2416"/>
          <cell r="C2416"/>
          <cell r="D2416"/>
          <cell r="E2416"/>
          <cell r="F2416"/>
          <cell r="G2416">
            <v>2.5000000000000001E-2</v>
          </cell>
          <cell r="H2416"/>
          <cell r="I2416"/>
          <cell r="J2416"/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>
            <v>3.3E-3</v>
          </cell>
        </row>
        <row r="2417">
          <cell r="A2417" t="str">
            <v>51740-10202406CCLF</v>
          </cell>
          <cell r="B2417"/>
          <cell r="C2417"/>
          <cell r="D2417"/>
          <cell r="E2417"/>
          <cell r="F2417"/>
          <cell r="G2417">
            <v>2.7E-2</v>
          </cell>
          <cell r="H2417"/>
          <cell r="I2417"/>
          <cell r="J2417"/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>
            <v>3.3E-3</v>
          </cell>
        </row>
        <row r="2418">
          <cell r="A2418" t="str">
            <v>51740-10202408AALF</v>
          </cell>
          <cell r="B2418"/>
          <cell r="C2418"/>
          <cell r="D2418"/>
          <cell r="E2418"/>
          <cell r="F2418"/>
          <cell r="G2418">
            <v>3.1E-2</v>
          </cell>
          <cell r="H2418"/>
          <cell r="I2418"/>
          <cell r="J2418"/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>
            <v>3.3E-3</v>
          </cell>
        </row>
        <row r="2419">
          <cell r="A2419" t="str">
            <v>51740-10202408CCLF</v>
          </cell>
          <cell r="B2419"/>
          <cell r="C2419"/>
          <cell r="D2419"/>
          <cell r="E2419"/>
          <cell r="F2419"/>
          <cell r="G2419">
            <v>3.1E-2</v>
          </cell>
          <cell r="H2419"/>
          <cell r="I2419"/>
          <cell r="J2419"/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>
            <v>3.0000000000000001E-3</v>
          </cell>
        </row>
        <row r="2420">
          <cell r="A2420" t="str">
            <v>51740-10202802CALF</v>
          </cell>
          <cell r="B2420"/>
          <cell r="C2420"/>
          <cell r="D2420"/>
          <cell r="E2420"/>
          <cell r="F2420"/>
          <cell r="G2420">
            <v>2.7E-2</v>
          </cell>
          <cell r="H2420"/>
          <cell r="I2420"/>
          <cell r="J2420"/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>
            <v>1E-3</v>
          </cell>
        </row>
        <row r="2421">
          <cell r="A2421" t="str">
            <v>51740-10203202AALF</v>
          </cell>
          <cell r="B2421"/>
          <cell r="C2421"/>
          <cell r="D2421"/>
          <cell r="E2421"/>
          <cell r="F2421"/>
          <cell r="G2421">
            <v>2.4E-2</v>
          </cell>
          <cell r="H2421"/>
          <cell r="I2421"/>
          <cell r="J2421"/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>
            <v>4.0000000000000001E-3</v>
          </cell>
        </row>
        <row r="2422">
          <cell r="A2422" t="str">
            <v>51740-10203202CALF</v>
          </cell>
          <cell r="B2422"/>
          <cell r="C2422"/>
          <cell r="D2422"/>
          <cell r="E2422"/>
          <cell r="F2422"/>
          <cell r="G2422">
            <v>2.7E-2</v>
          </cell>
          <cell r="H2422"/>
          <cell r="I2422"/>
          <cell r="J2422"/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>
            <v>1E-3</v>
          </cell>
        </row>
        <row r="2423">
          <cell r="A2423" t="str">
            <v>51740-10204002AALF</v>
          </cell>
          <cell r="B2423"/>
          <cell r="C2423"/>
          <cell r="D2423"/>
          <cell r="E2423"/>
          <cell r="F2423"/>
          <cell r="G2423">
            <v>2.1999999999999999E-2</v>
          </cell>
          <cell r="H2423"/>
          <cell r="I2423"/>
          <cell r="J2423"/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>
            <v>5.0000000000000001E-3</v>
          </cell>
        </row>
        <row r="2424">
          <cell r="A2424" t="str">
            <v>51740-10204402CALF</v>
          </cell>
          <cell r="B2424"/>
          <cell r="C2424"/>
          <cell r="D2424"/>
          <cell r="E2424"/>
          <cell r="F2424"/>
          <cell r="G2424">
            <v>2.3E-2</v>
          </cell>
          <cell r="H2424"/>
          <cell r="I2424"/>
          <cell r="J2424"/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>
            <v>5.0000000000000001E-3</v>
          </cell>
        </row>
        <row r="2425">
          <cell r="A2425" t="str">
            <v>51740-10204802AALF</v>
          </cell>
          <cell r="B2425"/>
          <cell r="C2425"/>
          <cell r="D2425"/>
          <cell r="E2425"/>
          <cell r="F2425"/>
          <cell r="G2425">
            <v>2.4E-2</v>
          </cell>
          <cell r="H2425"/>
          <cell r="I2425"/>
          <cell r="J2425"/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>
            <v>5.3E-3</v>
          </cell>
        </row>
        <row r="2426">
          <cell r="A2426" t="str">
            <v>51740-10204802CALF</v>
          </cell>
          <cell r="B2426"/>
          <cell r="C2426"/>
          <cell r="D2426"/>
          <cell r="E2426"/>
          <cell r="F2426"/>
          <cell r="G2426">
            <v>2.4E-2</v>
          </cell>
          <cell r="H2426"/>
          <cell r="I2426"/>
          <cell r="J2426"/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>
            <v>5.0000000000000001E-3</v>
          </cell>
        </row>
        <row r="2427">
          <cell r="A2427" t="str">
            <v>51740-10204802CCLF</v>
          </cell>
          <cell r="B2427"/>
          <cell r="C2427"/>
          <cell r="D2427"/>
          <cell r="E2427"/>
          <cell r="F2427"/>
          <cell r="G2427">
            <v>2.1999999999999999E-2</v>
          </cell>
          <cell r="H2427"/>
          <cell r="I2427"/>
          <cell r="J2427"/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>
            <v>5.3E-3</v>
          </cell>
        </row>
        <row r="2428">
          <cell r="A2428" t="str">
            <v>51740-10206002AALF</v>
          </cell>
          <cell r="B2428"/>
          <cell r="C2428"/>
          <cell r="D2428"/>
          <cell r="E2428"/>
          <cell r="F2428"/>
          <cell r="G2428">
            <v>2.9000000000000001E-2</v>
          </cell>
          <cell r="H2428"/>
          <cell r="I2428"/>
          <cell r="J2428"/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>
            <v>6.0000000000000001E-3</v>
          </cell>
        </row>
        <row r="2429">
          <cell r="A2429" t="str">
            <v>51740-10206002CCLF</v>
          </cell>
          <cell r="B2429"/>
          <cell r="C2429"/>
          <cell r="D2429"/>
          <cell r="E2429"/>
          <cell r="F2429"/>
          <cell r="G2429">
            <v>0.03</v>
          </cell>
          <cell r="H2429"/>
          <cell r="I2429"/>
          <cell r="J2429"/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>
            <v>6.0000000000000001E-3</v>
          </cell>
        </row>
        <row r="2430">
          <cell r="A2430" t="str">
            <v>51740-10206404AALF</v>
          </cell>
          <cell r="B2430"/>
          <cell r="C2430"/>
          <cell r="D2430"/>
          <cell r="E2430"/>
          <cell r="F2430"/>
          <cell r="G2430">
            <v>2.9000000000000001E-2</v>
          </cell>
          <cell r="H2430"/>
          <cell r="I2430"/>
          <cell r="J2430"/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>
            <v>1.6E-2</v>
          </cell>
        </row>
        <row r="2431">
          <cell r="A2431" t="str">
            <v>51740-10206404CALF</v>
          </cell>
          <cell r="B2431"/>
          <cell r="C2431"/>
          <cell r="D2431"/>
          <cell r="E2431"/>
          <cell r="F2431"/>
          <cell r="G2431">
            <v>3.3000000000000002E-2</v>
          </cell>
          <cell r="H2431"/>
          <cell r="I2431"/>
          <cell r="J2431"/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>
            <v>7.0000000000000001E-3</v>
          </cell>
        </row>
        <row r="2432">
          <cell r="A2432" t="str">
            <v>51740-10206802AALF</v>
          </cell>
          <cell r="B2432"/>
          <cell r="C2432"/>
          <cell r="D2432"/>
          <cell r="E2432"/>
          <cell r="F2432"/>
          <cell r="G2432">
            <v>3.2000000000000001E-2</v>
          </cell>
          <cell r="H2432"/>
          <cell r="I2432"/>
          <cell r="J2432"/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>
            <v>6.8999999999999999E-3</v>
          </cell>
        </row>
        <row r="2433">
          <cell r="A2433" t="str">
            <v>51740-10207202AALF</v>
          </cell>
          <cell r="B2433"/>
          <cell r="C2433"/>
          <cell r="D2433"/>
          <cell r="E2433"/>
          <cell r="F2433"/>
          <cell r="G2433">
            <v>3.2000000000000001E-2</v>
          </cell>
          <cell r="H2433"/>
          <cell r="I2433"/>
          <cell r="J2433"/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>
            <v>8.0000000000000002E-3</v>
          </cell>
        </row>
        <row r="2434">
          <cell r="A2434" t="str">
            <v>51740-10208002AALF</v>
          </cell>
          <cell r="B2434"/>
          <cell r="C2434"/>
          <cell r="D2434"/>
          <cell r="E2434"/>
          <cell r="F2434"/>
          <cell r="G2434">
            <v>3.4000000000000002E-2</v>
          </cell>
          <cell r="H2434"/>
          <cell r="I2434"/>
          <cell r="J2434"/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>
            <v>7.9000000000000008E-3</v>
          </cell>
        </row>
        <row r="2435">
          <cell r="A2435" t="str">
            <v>51740-10208002CCLF</v>
          </cell>
          <cell r="B2435"/>
          <cell r="C2435"/>
          <cell r="D2435"/>
          <cell r="E2435"/>
          <cell r="F2435"/>
          <cell r="G2435">
            <v>3.4000000000000002E-2</v>
          </cell>
          <cell r="H2435"/>
          <cell r="I2435"/>
          <cell r="J2435"/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>
            <v>8.0000000000000002E-3</v>
          </cell>
        </row>
        <row r="2436">
          <cell r="A2436" t="str">
            <v>51740-10209202ACLF</v>
          </cell>
          <cell r="B2436"/>
          <cell r="C2436"/>
          <cell r="D2436"/>
          <cell r="E2436"/>
          <cell r="F2436"/>
          <cell r="G2436">
            <v>3.7999999999999999E-2</v>
          </cell>
          <cell r="H2436"/>
          <cell r="I2436"/>
          <cell r="J2436"/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>
            <v>8.9999999999999993E-3</v>
          </cell>
        </row>
        <row r="2437">
          <cell r="A2437" t="str">
            <v>51740-10209602AALF</v>
          </cell>
          <cell r="B2437"/>
          <cell r="C2437"/>
          <cell r="D2437"/>
          <cell r="E2437"/>
          <cell r="F2437"/>
          <cell r="G2437">
            <v>2.2023000000000001E-2</v>
          </cell>
          <cell r="H2437"/>
          <cell r="I2437"/>
          <cell r="J2437"/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>
            <v>8.9999999999999993E-3</v>
          </cell>
        </row>
        <row r="2438">
          <cell r="A2438" t="str">
            <v>51740-10210002ACLF</v>
          </cell>
          <cell r="B2438"/>
          <cell r="C2438"/>
          <cell r="D2438"/>
          <cell r="E2438"/>
          <cell r="F2438"/>
          <cell r="G2438">
            <v>4.1000000000000002E-2</v>
          </cell>
          <cell r="H2438"/>
          <cell r="I2438"/>
          <cell r="J2438"/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>
            <v>0.01</v>
          </cell>
        </row>
        <row r="2439">
          <cell r="A2439" t="str">
            <v>51740-10300403AALF</v>
          </cell>
          <cell r="B2439"/>
          <cell r="C2439"/>
          <cell r="D2439"/>
          <cell r="E2439"/>
          <cell r="F2439"/>
          <cell r="G2439">
            <v>2.6100000000000002E-2</v>
          </cell>
          <cell r="H2439"/>
          <cell r="I2439"/>
          <cell r="J2439"/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>
            <v>2E-3</v>
          </cell>
        </row>
        <row r="2440">
          <cell r="A2440" t="str">
            <v>51740-10300803AALF</v>
          </cell>
          <cell r="B2440"/>
          <cell r="C2440"/>
          <cell r="D2440"/>
          <cell r="E2440"/>
          <cell r="F2440"/>
          <cell r="G2440">
            <v>2.9000000000000001E-2</v>
          </cell>
          <cell r="H2440"/>
          <cell r="I2440"/>
          <cell r="J2440"/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>
            <v>1.9E-3</v>
          </cell>
        </row>
        <row r="2441">
          <cell r="A2441" t="str">
            <v>51740-10300803CALF</v>
          </cell>
          <cell r="B2441"/>
          <cell r="C2441"/>
          <cell r="D2441"/>
          <cell r="E2441"/>
          <cell r="F2441"/>
          <cell r="G2441">
            <v>0.03</v>
          </cell>
          <cell r="H2441"/>
          <cell r="I2441"/>
          <cell r="J2441"/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>
            <v>2E-3</v>
          </cell>
        </row>
        <row r="2442">
          <cell r="A2442" t="str">
            <v>51740-10300804AALF</v>
          </cell>
          <cell r="B2442"/>
          <cell r="C2442"/>
          <cell r="D2442"/>
          <cell r="E2442"/>
          <cell r="F2442"/>
          <cell r="G2442">
            <v>3.4000000000000002E-2</v>
          </cell>
          <cell r="H2442"/>
          <cell r="I2442"/>
          <cell r="J2442"/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>
            <v>2E-3</v>
          </cell>
        </row>
        <row r="2443">
          <cell r="A2443" t="str">
            <v>51740-10301203AALF</v>
          </cell>
          <cell r="B2443"/>
          <cell r="C2443"/>
          <cell r="D2443"/>
          <cell r="E2443"/>
          <cell r="F2443"/>
          <cell r="G2443">
            <v>2.8000000000000001E-2</v>
          </cell>
          <cell r="H2443"/>
          <cell r="I2443"/>
          <cell r="J2443"/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>
            <v>2.3E-3</v>
          </cell>
        </row>
        <row r="2444">
          <cell r="A2444" t="str">
            <v>51740-10301203CALF</v>
          </cell>
          <cell r="B2444"/>
          <cell r="C2444"/>
          <cell r="D2444"/>
          <cell r="E2444"/>
          <cell r="F2444"/>
          <cell r="G2444">
            <v>2.8000000000000001E-2</v>
          </cell>
          <cell r="H2444"/>
          <cell r="I2444"/>
          <cell r="J2444"/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>
            <v>2E-3</v>
          </cell>
        </row>
        <row r="2445">
          <cell r="A2445" t="str">
            <v>51740-10301602AALF</v>
          </cell>
          <cell r="B2445"/>
          <cell r="C2445"/>
          <cell r="D2445"/>
          <cell r="E2445"/>
          <cell r="F2445"/>
          <cell r="G2445">
            <v>2.4E-2</v>
          </cell>
          <cell r="H2445"/>
          <cell r="I2445"/>
          <cell r="J2445"/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>
            <v>2.5999999999999999E-3</v>
          </cell>
        </row>
        <row r="2446">
          <cell r="A2446" t="str">
            <v>51740-10301603AALF</v>
          </cell>
          <cell r="B2446"/>
          <cell r="C2446"/>
          <cell r="D2446"/>
          <cell r="E2446"/>
          <cell r="F2446"/>
          <cell r="G2446">
            <v>2.8000000000000001E-2</v>
          </cell>
          <cell r="H2446"/>
          <cell r="I2446"/>
          <cell r="J2446"/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>
            <v>2.5999999999999999E-3</v>
          </cell>
        </row>
        <row r="2447">
          <cell r="A2447" t="str">
            <v>51740-10301603CALF</v>
          </cell>
          <cell r="B2447"/>
          <cell r="C2447"/>
          <cell r="D2447"/>
          <cell r="E2447"/>
          <cell r="F2447"/>
          <cell r="G2447">
            <v>2.5999999999999999E-2</v>
          </cell>
          <cell r="H2447"/>
          <cell r="I2447"/>
          <cell r="J2447"/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>
            <v>2.5999999999999999E-3</v>
          </cell>
        </row>
        <row r="2448">
          <cell r="A2448" t="str">
            <v>51740-10302003AALF</v>
          </cell>
          <cell r="B2448"/>
          <cell r="C2448"/>
          <cell r="D2448"/>
          <cell r="E2448"/>
          <cell r="F2448"/>
          <cell r="G2448">
            <v>2.8000000000000001E-2</v>
          </cell>
          <cell r="H2448"/>
          <cell r="I2448"/>
          <cell r="J2448"/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>
            <v>2.8999999999999998E-3</v>
          </cell>
        </row>
        <row r="2449">
          <cell r="A2449" t="str">
            <v>51740-10302005AALF</v>
          </cell>
          <cell r="B2449"/>
          <cell r="C2449"/>
          <cell r="D2449"/>
          <cell r="E2449"/>
          <cell r="F2449"/>
          <cell r="G2449">
            <v>0.03</v>
          </cell>
          <cell r="H2449"/>
          <cell r="I2449"/>
          <cell r="J2449"/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>
            <v>3.0000000000000001E-3</v>
          </cell>
        </row>
        <row r="2450">
          <cell r="A2450" t="str">
            <v>51740-10302403AALF</v>
          </cell>
          <cell r="B2450"/>
          <cell r="C2450"/>
          <cell r="D2450"/>
          <cell r="E2450"/>
          <cell r="F2450"/>
          <cell r="G2450">
            <v>1.4999999999999999E-2</v>
          </cell>
          <cell r="H2450"/>
          <cell r="I2450"/>
          <cell r="J2450"/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>
            <v>3.2499999999999999E-3</v>
          </cell>
        </row>
        <row r="2451">
          <cell r="A2451" t="str">
            <v>51740-10302403CALF</v>
          </cell>
          <cell r="B2451"/>
          <cell r="C2451"/>
          <cell r="D2451"/>
          <cell r="E2451"/>
          <cell r="F2451"/>
          <cell r="G2451">
            <v>1.1823056E-2</v>
          </cell>
          <cell r="H2451"/>
          <cell r="I2451"/>
          <cell r="J2451"/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>
            <v>3.0000000000000001E-3</v>
          </cell>
        </row>
        <row r="2452">
          <cell r="A2452" t="str">
            <v>51740-10302403CCLF</v>
          </cell>
          <cell r="B2452"/>
          <cell r="C2452"/>
          <cell r="D2452"/>
          <cell r="E2452"/>
          <cell r="F2452"/>
          <cell r="G2452">
            <v>2.3E-2</v>
          </cell>
          <cell r="H2452"/>
          <cell r="I2452"/>
          <cell r="J2452"/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>
            <v>3.3E-3</v>
          </cell>
        </row>
        <row r="2453">
          <cell r="A2453" t="str">
            <v>51740-10302404AALF</v>
          </cell>
          <cell r="B2453"/>
          <cell r="C2453"/>
          <cell r="D2453"/>
          <cell r="E2453"/>
          <cell r="F2453"/>
          <cell r="G2453">
            <v>3.2000000000000001E-2</v>
          </cell>
          <cell r="H2453"/>
          <cell r="I2453"/>
          <cell r="J2453"/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>
            <v>3.0000000000000001E-3</v>
          </cell>
        </row>
        <row r="2454">
          <cell r="A2454" t="str">
            <v>51740-10302404CCLF</v>
          </cell>
          <cell r="B2454"/>
          <cell r="C2454"/>
          <cell r="D2454"/>
          <cell r="E2454"/>
          <cell r="F2454"/>
          <cell r="G2454">
            <v>0.03</v>
          </cell>
          <cell r="H2454"/>
          <cell r="I2454"/>
          <cell r="J2454"/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>
            <v>3.0000000000000001E-3</v>
          </cell>
        </row>
        <row r="2455">
          <cell r="A2455" t="str">
            <v>51740-10302405CALF</v>
          </cell>
          <cell r="B2455"/>
          <cell r="C2455"/>
          <cell r="D2455"/>
          <cell r="E2455"/>
          <cell r="F2455"/>
          <cell r="G2455">
            <v>3.0000000000000001E-3</v>
          </cell>
          <cell r="H2455"/>
          <cell r="I2455"/>
          <cell r="J2455"/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>
            <v>2.9000000000000001E-2</v>
          </cell>
        </row>
        <row r="2456">
          <cell r="A2456" t="str">
            <v>51740-10302406AALF</v>
          </cell>
          <cell r="B2456"/>
          <cell r="C2456"/>
          <cell r="D2456"/>
          <cell r="E2456"/>
          <cell r="F2456"/>
          <cell r="G2456">
            <v>3.3000000000000002E-2</v>
          </cell>
          <cell r="H2456"/>
          <cell r="I2456"/>
          <cell r="J2456"/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>
            <v>3.3E-3</v>
          </cell>
        </row>
        <row r="2457">
          <cell r="A2457" t="str">
            <v>51740-10302408ACLF</v>
          </cell>
          <cell r="B2457"/>
          <cell r="C2457"/>
          <cell r="D2457"/>
          <cell r="E2457"/>
          <cell r="F2457"/>
          <cell r="G2457">
            <v>3.3000000000000002E-2</v>
          </cell>
          <cell r="H2457"/>
          <cell r="I2457"/>
          <cell r="J2457"/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>
            <v>3.3E-3</v>
          </cell>
        </row>
        <row r="2458">
          <cell r="A2458" t="str">
            <v>51740-10303203AALF</v>
          </cell>
          <cell r="B2458"/>
          <cell r="C2458"/>
          <cell r="D2458"/>
          <cell r="E2458"/>
          <cell r="F2458"/>
          <cell r="G2458">
            <v>2.7E-2</v>
          </cell>
          <cell r="H2458"/>
          <cell r="I2458"/>
          <cell r="J2458"/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>
            <v>3.8999999999999998E-3</v>
          </cell>
        </row>
        <row r="2459">
          <cell r="A2459" t="str">
            <v>51740-10303603AALF</v>
          </cell>
          <cell r="B2459"/>
          <cell r="C2459"/>
          <cell r="D2459"/>
          <cell r="E2459"/>
          <cell r="F2459"/>
          <cell r="G2459">
            <v>2.5999999999999999E-2</v>
          </cell>
          <cell r="H2459"/>
          <cell r="I2459"/>
          <cell r="J2459"/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>
            <v>4.3E-3</v>
          </cell>
        </row>
        <row r="2460">
          <cell r="A2460" t="str">
            <v>51740-10303603CCLF</v>
          </cell>
          <cell r="B2460"/>
          <cell r="C2460"/>
          <cell r="D2460"/>
          <cell r="E2460"/>
          <cell r="F2460"/>
          <cell r="G2460">
            <v>2.4E-2</v>
          </cell>
          <cell r="H2460"/>
          <cell r="I2460"/>
          <cell r="J2460"/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>
            <v>4.0000000000000001E-3</v>
          </cell>
        </row>
        <row r="2461">
          <cell r="A2461" t="str">
            <v>51740-10304003AALF</v>
          </cell>
          <cell r="B2461"/>
          <cell r="C2461"/>
          <cell r="D2461"/>
          <cell r="E2461"/>
          <cell r="F2461"/>
          <cell r="G2461">
            <v>3.4000000000000002E-2</v>
          </cell>
          <cell r="H2461"/>
          <cell r="I2461"/>
          <cell r="J2461"/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>
            <v>6.0000000000000001E-3</v>
          </cell>
        </row>
        <row r="2462">
          <cell r="A2462" t="str">
            <v>51740-10304003CALF</v>
          </cell>
          <cell r="B2462"/>
          <cell r="C2462"/>
          <cell r="D2462"/>
          <cell r="E2462"/>
          <cell r="F2462"/>
          <cell r="G2462">
            <v>3.4000000000000002E-2</v>
          </cell>
          <cell r="H2462"/>
          <cell r="I2462"/>
          <cell r="J2462"/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>
            <v>6.0000000000000001E-3</v>
          </cell>
        </row>
        <row r="2463">
          <cell r="A2463" t="str">
            <v>51740-10304803AALF</v>
          </cell>
          <cell r="B2463"/>
          <cell r="C2463"/>
          <cell r="D2463"/>
          <cell r="E2463"/>
          <cell r="F2463"/>
          <cell r="G2463">
            <v>2.7E-2</v>
          </cell>
          <cell r="H2463"/>
          <cell r="I2463"/>
          <cell r="J2463"/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>
            <v>5.0000000000000001E-3</v>
          </cell>
        </row>
        <row r="2464">
          <cell r="A2464" t="str">
            <v>51740-10306402AALF</v>
          </cell>
          <cell r="B2464"/>
          <cell r="C2464"/>
          <cell r="D2464"/>
          <cell r="E2464"/>
          <cell r="F2464"/>
          <cell r="G2464">
            <v>3.1E-2</v>
          </cell>
          <cell r="H2464"/>
          <cell r="I2464"/>
          <cell r="J2464"/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>
            <v>6.6E-3</v>
          </cell>
        </row>
        <row r="2465">
          <cell r="A2465" t="str">
            <v>51740-10312803AALF</v>
          </cell>
          <cell r="B2465"/>
          <cell r="C2465"/>
          <cell r="D2465"/>
          <cell r="E2465"/>
          <cell r="F2465"/>
          <cell r="G2465">
            <v>7.0000000000000007E-2</v>
          </cell>
          <cell r="H2465"/>
          <cell r="I2465"/>
          <cell r="J2465"/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>
            <v>1.2E-2</v>
          </cell>
        </row>
        <row r="2466">
          <cell r="A2466" t="str">
            <v>51740-10400404CCLF</v>
          </cell>
          <cell r="B2466"/>
          <cell r="C2466"/>
          <cell r="D2466"/>
          <cell r="E2466"/>
          <cell r="F2466"/>
          <cell r="G2466">
            <v>2.9000000000000001E-2</v>
          </cell>
          <cell r="H2466"/>
          <cell r="I2466"/>
          <cell r="J2466"/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>
            <v>2E-3</v>
          </cell>
        </row>
        <row r="2467">
          <cell r="A2467" t="str">
            <v>51740-10400804AALF</v>
          </cell>
          <cell r="B2467"/>
          <cell r="C2467"/>
          <cell r="D2467"/>
          <cell r="E2467"/>
          <cell r="F2467"/>
          <cell r="G2467">
            <v>1.1900000000000001E-2</v>
          </cell>
          <cell r="H2467"/>
          <cell r="I2467"/>
          <cell r="J2467"/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>
            <v>2E-3</v>
          </cell>
        </row>
        <row r="2468">
          <cell r="A2468" t="str">
            <v>51740-10400804CALF</v>
          </cell>
          <cell r="B2468"/>
          <cell r="C2468"/>
          <cell r="D2468"/>
          <cell r="E2468"/>
          <cell r="F2468"/>
          <cell r="G2468">
            <v>1.9279999999999999E-2</v>
          </cell>
          <cell r="H2468"/>
          <cell r="I2468"/>
          <cell r="J2468"/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>
            <v>2E-3</v>
          </cell>
        </row>
        <row r="2469">
          <cell r="A2469" t="str">
            <v>51740-10400804CCLF</v>
          </cell>
          <cell r="B2469"/>
          <cell r="C2469"/>
          <cell r="D2469"/>
          <cell r="E2469"/>
          <cell r="F2469"/>
          <cell r="G2469">
            <v>2.9000000000000001E-2</v>
          </cell>
          <cell r="H2469"/>
          <cell r="I2469"/>
          <cell r="J2469"/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>
            <v>2E-3</v>
          </cell>
        </row>
        <row r="2470">
          <cell r="A2470" t="str">
            <v>51740-10401202AALF</v>
          </cell>
          <cell r="B2470"/>
          <cell r="C2470"/>
          <cell r="D2470"/>
          <cell r="E2470"/>
          <cell r="F2470"/>
          <cell r="G2470">
            <v>2.9000000000000001E-2</v>
          </cell>
          <cell r="H2470"/>
          <cell r="I2470"/>
          <cell r="J2470"/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>
            <v>6.1000000000000004E-3</v>
          </cell>
        </row>
        <row r="2471">
          <cell r="A2471" t="str">
            <v>51740-10401204AALF</v>
          </cell>
          <cell r="B2471"/>
          <cell r="C2471"/>
          <cell r="D2471"/>
          <cell r="E2471"/>
          <cell r="F2471"/>
          <cell r="G2471">
            <v>1.9567999999999999E-2</v>
          </cell>
          <cell r="H2471"/>
          <cell r="I2471"/>
          <cell r="J2471"/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>
            <v>2.2499999999999998E-3</v>
          </cell>
        </row>
        <row r="2472">
          <cell r="A2472" t="str">
            <v>51740-10401204CALF</v>
          </cell>
          <cell r="B2472"/>
          <cell r="C2472"/>
          <cell r="D2472"/>
          <cell r="E2472"/>
          <cell r="F2472"/>
          <cell r="G2472">
            <v>0.03</v>
          </cell>
          <cell r="H2472"/>
          <cell r="I2472"/>
          <cell r="J2472"/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>
            <v>2E-3</v>
          </cell>
        </row>
        <row r="2473">
          <cell r="A2473" t="str">
            <v>51740-10401204CCLF</v>
          </cell>
          <cell r="B2473"/>
          <cell r="C2473"/>
          <cell r="D2473"/>
          <cell r="E2473"/>
          <cell r="F2473"/>
          <cell r="G2473">
            <v>2.8000000000000001E-2</v>
          </cell>
          <cell r="H2473"/>
          <cell r="I2473"/>
          <cell r="J2473"/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>
            <v>2E-3</v>
          </cell>
        </row>
        <row r="2474">
          <cell r="A2474" t="str">
            <v>51740-10401602AALF</v>
          </cell>
          <cell r="B2474"/>
          <cell r="C2474"/>
          <cell r="D2474"/>
          <cell r="E2474"/>
          <cell r="F2474"/>
          <cell r="G2474">
            <v>1.7399999999999999E-2</v>
          </cell>
          <cell r="H2474"/>
          <cell r="I2474"/>
          <cell r="J2474"/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>
            <v>2.5999999999999999E-3</v>
          </cell>
        </row>
        <row r="2475">
          <cell r="A2475" t="str">
            <v>51740-10401602ACLF</v>
          </cell>
          <cell r="B2475"/>
          <cell r="C2475"/>
          <cell r="D2475"/>
          <cell r="E2475"/>
          <cell r="F2475"/>
          <cell r="G2475">
            <v>2.5999999999999999E-2</v>
          </cell>
          <cell r="H2475"/>
          <cell r="I2475"/>
          <cell r="J2475"/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>
            <v>2.5999999999999999E-3</v>
          </cell>
        </row>
        <row r="2476">
          <cell r="A2476" t="str">
            <v>51740-10401602CALF</v>
          </cell>
          <cell r="B2476"/>
          <cell r="C2476"/>
          <cell r="D2476"/>
          <cell r="E2476"/>
          <cell r="F2476"/>
          <cell r="G2476">
            <v>1.47E-2</v>
          </cell>
          <cell r="H2476"/>
          <cell r="I2476"/>
          <cell r="J2476"/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>
            <v>3.0000000000000001E-3</v>
          </cell>
        </row>
        <row r="2477">
          <cell r="A2477" t="str">
            <v>51740-10401602CCLF</v>
          </cell>
          <cell r="B2477"/>
          <cell r="C2477"/>
          <cell r="D2477"/>
          <cell r="E2477"/>
          <cell r="F2477"/>
          <cell r="G2477">
            <v>1.61E-2</v>
          </cell>
          <cell r="H2477"/>
          <cell r="I2477"/>
          <cell r="J2477"/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>
            <v>3.0000000000000001E-3</v>
          </cell>
        </row>
        <row r="2478">
          <cell r="A2478" t="str">
            <v>51740-10401603AALF</v>
          </cell>
          <cell r="B2478"/>
          <cell r="C2478"/>
          <cell r="D2478"/>
          <cell r="E2478"/>
          <cell r="F2478"/>
          <cell r="G2478">
            <v>2.5999999999999999E-2</v>
          </cell>
          <cell r="H2478"/>
          <cell r="I2478"/>
          <cell r="J2478"/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>
            <v>2.5999999999999999E-3</v>
          </cell>
        </row>
        <row r="2479">
          <cell r="A2479" t="str">
            <v>51740-10401603CALF</v>
          </cell>
          <cell r="B2479"/>
          <cell r="C2479"/>
          <cell r="D2479"/>
          <cell r="E2479"/>
          <cell r="F2479"/>
          <cell r="G2479">
            <v>3.3000000000000002E-2</v>
          </cell>
          <cell r="H2479"/>
          <cell r="I2479"/>
          <cell r="J2479"/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>
            <v>3.0000000000000001E-3</v>
          </cell>
        </row>
        <row r="2480">
          <cell r="A2480" t="str">
            <v>51740-10401603CCLF</v>
          </cell>
          <cell r="B2480"/>
          <cell r="C2480"/>
          <cell r="D2480"/>
          <cell r="E2480"/>
          <cell r="F2480"/>
          <cell r="G2480">
            <v>2.5999999999999999E-2</v>
          </cell>
          <cell r="H2480"/>
          <cell r="I2480"/>
          <cell r="J2480"/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>
            <v>2.5999999999999999E-3</v>
          </cell>
        </row>
        <row r="2481">
          <cell r="A2481" t="str">
            <v>51740-10401604AALF</v>
          </cell>
          <cell r="B2481"/>
          <cell r="C2481"/>
          <cell r="D2481"/>
          <cell r="E2481"/>
          <cell r="F2481"/>
          <cell r="G2481">
            <v>0.03</v>
          </cell>
          <cell r="H2481"/>
          <cell r="I2481"/>
          <cell r="J2481"/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>
            <v>2.5999999999999999E-3</v>
          </cell>
        </row>
        <row r="2482">
          <cell r="A2482" t="str">
            <v>51740-10401604ABLF</v>
          </cell>
          <cell r="B2482"/>
          <cell r="C2482"/>
          <cell r="D2482"/>
          <cell r="E2482"/>
          <cell r="F2482"/>
          <cell r="G2482">
            <v>2.8000000000000001E-2</v>
          </cell>
          <cell r="H2482"/>
          <cell r="I2482"/>
          <cell r="J2482"/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>
            <v>2.5999999999999999E-3</v>
          </cell>
        </row>
        <row r="2483">
          <cell r="A2483" t="str">
            <v>51740-10401604ACLF</v>
          </cell>
          <cell r="B2483"/>
          <cell r="C2483"/>
          <cell r="D2483"/>
          <cell r="E2483"/>
          <cell r="F2483"/>
          <cell r="G2483">
            <v>2.9600000000000001E-2</v>
          </cell>
          <cell r="H2483"/>
          <cell r="I2483"/>
          <cell r="J2483"/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>
            <v>2.8000000000000001E-2</v>
          </cell>
        </row>
        <row r="2484">
          <cell r="A2484" t="str">
            <v>51740-10401604CALF</v>
          </cell>
          <cell r="B2484"/>
          <cell r="C2484"/>
          <cell r="D2484"/>
          <cell r="E2484"/>
          <cell r="F2484"/>
          <cell r="G2484">
            <v>0.03</v>
          </cell>
          <cell r="H2484"/>
          <cell r="I2484"/>
          <cell r="J2484"/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>
            <v>3.0000000000000001E-3</v>
          </cell>
        </row>
        <row r="2485">
          <cell r="A2485" t="str">
            <v>51740-10401604CCLF</v>
          </cell>
          <cell r="B2485"/>
          <cell r="C2485"/>
          <cell r="D2485"/>
          <cell r="E2485"/>
          <cell r="F2485"/>
          <cell r="G2485">
            <v>1.12E-2</v>
          </cell>
          <cell r="H2485"/>
          <cell r="I2485"/>
          <cell r="J2485"/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>
            <v>3.0000000000000001E-3</v>
          </cell>
        </row>
        <row r="2486">
          <cell r="A2486" t="str">
            <v>51740-10402002AALF</v>
          </cell>
          <cell r="B2486"/>
          <cell r="C2486"/>
          <cell r="D2486"/>
          <cell r="E2486"/>
          <cell r="F2486"/>
          <cell r="G2486">
            <v>2.8000000000000001E-2</v>
          </cell>
          <cell r="H2486"/>
          <cell r="I2486"/>
          <cell r="J2486"/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>
            <v>3.0000000000000001E-3</v>
          </cell>
        </row>
        <row r="2487">
          <cell r="A2487" t="str">
            <v>51740-10402003AALF</v>
          </cell>
          <cell r="B2487"/>
          <cell r="C2487"/>
          <cell r="D2487"/>
          <cell r="E2487"/>
          <cell r="F2487"/>
          <cell r="G2487">
            <v>2.1700000000000001E-2</v>
          </cell>
          <cell r="H2487"/>
          <cell r="I2487"/>
          <cell r="J2487"/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>
            <v>3.0000000000000001E-3</v>
          </cell>
        </row>
        <row r="2488">
          <cell r="A2488" t="str">
            <v>51740-10402004AALF</v>
          </cell>
          <cell r="B2488"/>
          <cell r="C2488"/>
          <cell r="D2488"/>
          <cell r="E2488"/>
          <cell r="F2488"/>
          <cell r="G2488">
            <v>3.3333300000000003E-2</v>
          </cell>
          <cell r="H2488"/>
          <cell r="I2488"/>
          <cell r="J2488"/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>
            <v>3.0555999999999999E-3</v>
          </cell>
        </row>
        <row r="2489">
          <cell r="A2489" t="str">
            <v>51740-10402004CCLF</v>
          </cell>
          <cell r="B2489"/>
          <cell r="C2489"/>
          <cell r="D2489"/>
          <cell r="E2489"/>
          <cell r="F2489"/>
          <cell r="G2489">
            <v>2.4299999999999999E-2</v>
          </cell>
          <cell r="H2489"/>
          <cell r="I2489"/>
          <cell r="J2489"/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>
            <v>2.7E-2</v>
          </cell>
        </row>
        <row r="2490">
          <cell r="A2490" t="str">
            <v>51740-10402402AALF</v>
          </cell>
          <cell r="B2490"/>
          <cell r="C2490"/>
          <cell r="D2490"/>
          <cell r="E2490"/>
          <cell r="F2490"/>
          <cell r="G2490">
            <v>1.2999999999999999E-2</v>
          </cell>
          <cell r="H2490"/>
          <cell r="I2490"/>
          <cell r="J2490"/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>
            <v>3.0000000000000001E-3</v>
          </cell>
        </row>
        <row r="2491">
          <cell r="A2491" t="str">
            <v>51740-10402402CALF</v>
          </cell>
          <cell r="B2491"/>
          <cell r="C2491"/>
          <cell r="D2491"/>
          <cell r="E2491"/>
          <cell r="F2491"/>
          <cell r="G2491">
            <v>2.7E-2</v>
          </cell>
          <cell r="H2491"/>
          <cell r="I2491"/>
          <cell r="J2491"/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>
            <v>3.0000000000000001E-3</v>
          </cell>
        </row>
        <row r="2492">
          <cell r="A2492" t="str">
            <v>51740-10402402CCLF</v>
          </cell>
          <cell r="B2492"/>
          <cell r="C2492"/>
          <cell r="D2492"/>
          <cell r="E2492"/>
          <cell r="F2492"/>
          <cell r="G2492">
            <v>2.5000000000000001E-2</v>
          </cell>
          <cell r="H2492"/>
          <cell r="I2492"/>
          <cell r="J2492"/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>
            <v>3.2499999999999999E-3</v>
          </cell>
        </row>
        <row r="2493">
          <cell r="A2493" t="str">
            <v>51740-10402403AALF</v>
          </cell>
          <cell r="B2493"/>
          <cell r="C2493"/>
          <cell r="D2493"/>
          <cell r="E2493"/>
          <cell r="F2493"/>
          <cell r="G2493">
            <v>3.2000000000000001E-2</v>
          </cell>
          <cell r="H2493"/>
          <cell r="I2493"/>
          <cell r="J2493"/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>
            <v>3.0000000000000001E-3</v>
          </cell>
        </row>
        <row r="2494">
          <cell r="A2494" t="str">
            <v>51740-10402403CALF</v>
          </cell>
          <cell r="B2494"/>
          <cell r="C2494"/>
          <cell r="D2494"/>
          <cell r="E2494"/>
          <cell r="F2494"/>
          <cell r="G2494">
            <v>3.2000000000000001E-2</v>
          </cell>
          <cell r="H2494"/>
          <cell r="I2494"/>
          <cell r="J2494"/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>
            <v>3.0000000000000001E-3</v>
          </cell>
        </row>
        <row r="2495">
          <cell r="A2495" t="str">
            <v>51740-10402404AALF</v>
          </cell>
          <cell r="B2495"/>
          <cell r="C2495"/>
          <cell r="D2495"/>
          <cell r="E2495"/>
          <cell r="F2495"/>
          <cell r="G2495">
            <v>2.5749999999999999E-2</v>
          </cell>
          <cell r="H2495"/>
          <cell r="I2495"/>
          <cell r="J2495"/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>
            <v>3.2499999999999999E-3</v>
          </cell>
        </row>
        <row r="2496">
          <cell r="A2496" t="str">
            <v>51740-10402404ACLF</v>
          </cell>
          <cell r="B2496"/>
          <cell r="C2496"/>
          <cell r="D2496"/>
          <cell r="E2496"/>
          <cell r="F2496"/>
          <cell r="G2496">
            <v>2.7E-2</v>
          </cell>
          <cell r="H2496"/>
          <cell r="I2496"/>
          <cell r="J2496"/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>
            <v>1.8E-3</v>
          </cell>
        </row>
        <row r="2497">
          <cell r="A2497" t="str">
            <v>51740-10402404CALF</v>
          </cell>
          <cell r="B2497"/>
          <cell r="C2497"/>
          <cell r="D2497"/>
          <cell r="E2497"/>
          <cell r="F2497"/>
          <cell r="G2497">
            <v>8.1470999999999991E-3</v>
          </cell>
          <cell r="H2497"/>
          <cell r="I2497"/>
          <cell r="J2497"/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>
            <v>3.2499999999999999E-3</v>
          </cell>
        </row>
        <row r="2498">
          <cell r="A2498" t="str">
            <v>51740-10402404CCLF</v>
          </cell>
          <cell r="B2498"/>
          <cell r="C2498"/>
          <cell r="D2498"/>
          <cell r="E2498"/>
          <cell r="F2498"/>
          <cell r="G2498">
            <v>7.3155E-3</v>
          </cell>
          <cell r="H2498"/>
          <cell r="I2498"/>
          <cell r="J2498"/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>
            <v>3.06362E-3</v>
          </cell>
        </row>
        <row r="2499">
          <cell r="A2499" t="str">
            <v>51740-10402406CCLF</v>
          </cell>
          <cell r="B2499"/>
          <cell r="C2499"/>
          <cell r="D2499"/>
          <cell r="E2499"/>
          <cell r="F2499"/>
          <cell r="G2499">
            <v>2.9000000000000001E-2</v>
          </cell>
          <cell r="H2499"/>
          <cell r="I2499"/>
          <cell r="J2499"/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>
            <v>3.0000000000000001E-3</v>
          </cell>
        </row>
        <row r="2500">
          <cell r="A2500" t="str">
            <v>51740-10402408AALF</v>
          </cell>
          <cell r="B2500"/>
          <cell r="C2500"/>
          <cell r="D2500"/>
          <cell r="E2500"/>
          <cell r="F2500"/>
          <cell r="G2500">
            <v>3.7999999999999999E-2</v>
          </cell>
          <cell r="H2500"/>
          <cell r="I2500"/>
          <cell r="J2500"/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>
            <v>3.0000000000000001E-3</v>
          </cell>
        </row>
        <row r="2501">
          <cell r="A2501" t="str">
            <v>51740-10402804CALF</v>
          </cell>
          <cell r="B2501"/>
          <cell r="C2501"/>
          <cell r="D2501"/>
          <cell r="E2501"/>
          <cell r="F2501"/>
          <cell r="G2501">
            <v>2.8000000000000001E-2</v>
          </cell>
          <cell r="H2501"/>
          <cell r="I2501"/>
          <cell r="J2501"/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>
            <v>1.2999999999999999E-2</v>
          </cell>
        </row>
        <row r="2502">
          <cell r="A2502" t="str">
            <v>51740-10403204CALF</v>
          </cell>
          <cell r="B2502"/>
          <cell r="C2502"/>
          <cell r="D2502"/>
          <cell r="E2502"/>
          <cell r="F2502"/>
          <cell r="G2502">
            <v>2.9000000000000001E-2</v>
          </cell>
          <cell r="H2502"/>
          <cell r="I2502"/>
          <cell r="J2502"/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>
            <v>3.8999999999999998E-3</v>
          </cell>
        </row>
        <row r="2503">
          <cell r="A2503" t="str">
            <v>51740-10403607AALF</v>
          </cell>
          <cell r="B2503"/>
          <cell r="C2503"/>
          <cell r="D2503"/>
          <cell r="E2503"/>
          <cell r="F2503"/>
          <cell r="G2503">
            <v>0.03</v>
          </cell>
          <cell r="H2503"/>
          <cell r="I2503"/>
          <cell r="J2503"/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>
            <v>4.0000000000000001E-3</v>
          </cell>
        </row>
        <row r="2504">
          <cell r="A2504" t="str">
            <v>51740-10404004CCLF</v>
          </cell>
          <cell r="B2504"/>
          <cell r="C2504"/>
          <cell r="D2504"/>
          <cell r="E2504"/>
          <cell r="F2504"/>
          <cell r="G2504">
            <v>2.5999999999999999E-2</v>
          </cell>
          <cell r="H2504"/>
          <cell r="I2504"/>
          <cell r="J2504"/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>
            <v>4.5833330000000002E-3</v>
          </cell>
        </row>
        <row r="2505">
          <cell r="A2505" t="str">
            <v>51740-10404804AALF</v>
          </cell>
          <cell r="B2505"/>
          <cell r="C2505"/>
          <cell r="D2505"/>
          <cell r="E2505"/>
          <cell r="F2505"/>
          <cell r="G2505">
            <v>2.9000000000000001E-2</v>
          </cell>
          <cell r="H2505"/>
          <cell r="I2505"/>
          <cell r="J2505"/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>
            <v>5.2500000000000003E-3</v>
          </cell>
        </row>
        <row r="2506">
          <cell r="A2506" t="str">
            <v>51740-10404804CALF</v>
          </cell>
          <cell r="B2506"/>
          <cell r="C2506"/>
          <cell r="D2506"/>
          <cell r="E2506"/>
          <cell r="F2506"/>
          <cell r="G2506">
            <v>2.7300000000000001E-2</v>
          </cell>
          <cell r="H2506"/>
          <cell r="I2506"/>
          <cell r="J2506"/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>
            <v>5.2500000000000003E-3</v>
          </cell>
        </row>
        <row r="2507">
          <cell r="A2507" t="str">
            <v>51740-10405604CCLF</v>
          </cell>
          <cell r="B2507"/>
          <cell r="C2507"/>
          <cell r="D2507"/>
          <cell r="E2507"/>
          <cell r="F2507"/>
          <cell r="G2507">
            <v>0.03</v>
          </cell>
          <cell r="H2507"/>
          <cell r="I2507"/>
          <cell r="J2507"/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>
            <v>6.0000000000000001E-3</v>
          </cell>
        </row>
        <row r="2508">
          <cell r="A2508" t="str">
            <v>51740-10410004AALF</v>
          </cell>
          <cell r="B2508"/>
          <cell r="C2508"/>
          <cell r="D2508"/>
          <cell r="E2508"/>
          <cell r="F2508"/>
          <cell r="G2508">
            <v>5.1999999999999998E-2</v>
          </cell>
          <cell r="H2508"/>
          <cell r="I2508"/>
          <cell r="J2508"/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>
            <v>0.01</v>
          </cell>
        </row>
        <row r="2509">
          <cell r="A2509" t="str">
            <v>51740-10500805AALF</v>
          </cell>
          <cell r="B2509"/>
          <cell r="C2509"/>
          <cell r="D2509"/>
          <cell r="E2509"/>
          <cell r="F2509"/>
          <cell r="G2509">
            <v>3.3000000000000002E-2</v>
          </cell>
          <cell r="H2509"/>
          <cell r="I2509"/>
          <cell r="J2509"/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>
            <v>1.9E-3</v>
          </cell>
        </row>
        <row r="2510">
          <cell r="A2510" t="str">
            <v>51740-10502002AALF</v>
          </cell>
          <cell r="B2510"/>
          <cell r="C2510"/>
          <cell r="D2510"/>
          <cell r="E2510"/>
          <cell r="F2510"/>
          <cell r="G2510">
            <v>3.3000000000000002E-2</v>
          </cell>
          <cell r="H2510"/>
          <cell r="I2510"/>
          <cell r="J2510"/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>
            <v>2.8999999999999998E-3</v>
          </cell>
        </row>
        <row r="2511">
          <cell r="A2511" t="str">
            <v>51740-10502405AALF</v>
          </cell>
          <cell r="B2511"/>
          <cell r="C2511"/>
          <cell r="D2511"/>
          <cell r="E2511"/>
          <cell r="F2511"/>
          <cell r="G2511">
            <v>6.4000000000000001E-2</v>
          </cell>
          <cell r="H2511"/>
          <cell r="I2511"/>
          <cell r="J2511"/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>
            <v>3.0000000000000001E-3</v>
          </cell>
        </row>
        <row r="2512">
          <cell r="A2512" t="str">
            <v>51740-10502405CALF</v>
          </cell>
          <cell r="B2512"/>
          <cell r="C2512"/>
          <cell r="D2512"/>
          <cell r="E2512"/>
          <cell r="F2512"/>
          <cell r="G2512">
            <v>3.1E-2</v>
          </cell>
          <cell r="H2512"/>
          <cell r="I2512"/>
          <cell r="J2512"/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>
            <v>3.3E-3</v>
          </cell>
        </row>
        <row r="2513">
          <cell r="A2513" t="str">
            <v>51740-10502405CCLF</v>
          </cell>
          <cell r="B2513"/>
          <cell r="C2513"/>
          <cell r="D2513"/>
          <cell r="E2513"/>
          <cell r="F2513"/>
          <cell r="G2513">
            <v>2.9000000000000001E-2</v>
          </cell>
          <cell r="H2513"/>
          <cell r="I2513"/>
          <cell r="J2513"/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>
            <v>3.0000000000000001E-3</v>
          </cell>
        </row>
        <row r="2514">
          <cell r="A2514" t="str">
            <v>51740-10503606AALF</v>
          </cell>
          <cell r="B2514"/>
          <cell r="C2514"/>
          <cell r="D2514"/>
          <cell r="E2514"/>
          <cell r="F2514"/>
          <cell r="G2514">
            <v>3.4000000000000002E-2</v>
          </cell>
          <cell r="H2514"/>
          <cell r="I2514"/>
          <cell r="J2514"/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>
            <v>4.0000000000000001E-3</v>
          </cell>
        </row>
        <row r="2515">
          <cell r="A2515" t="str">
            <v>51740-10504004AALF</v>
          </cell>
          <cell r="B2515"/>
          <cell r="C2515"/>
          <cell r="D2515"/>
          <cell r="E2515"/>
          <cell r="F2515"/>
          <cell r="G2515">
            <v>3.2000000000000001E-2</v>
          </cell>
          <cell r="H2515"/>
          <cell r="I2515"/>
          <cell r="J2515"/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>
            <v>4.5999999999999999E-3</v>
          </cell>
        </row>
        <row r="2516">
          <cell r="A2516" t="str">
            <v>51740-10600806AALF</v>
          </cell>
          <cell r="B2516"/>
          <cell r="C2516"/>
          <cell r="D2516"/>
          <cell r="E2516"/>
          <cell r="F2516"/>
          <cell r="G2516">
            <v>0.04</v>
          </cell>
          <cell r="H2516"/>
          <cell r="I2516"/>
          <cell r="J2516"/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>
            <v>2E-3</v>
          </cell>
        </row>
        <row r="2517">
          <cell r="A2517" t="str">
            <v>51740-10601209AALF</v>
          </cell>
          <cell r="B2517"/>
          <cell r="C2517"/>
          <cell r="D2517"/>
          <cell r="E2517"/>
          <cell r="F2517"/>
          <cell r="G2517">
            <v>3.9E-2</v>
          </cell>
          <cell r="H2517"/>
          <cell r="I2517"/>
          <cell r="J2517"/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>
            <v>2E-3</v>
          </cell>
        </row>
        <row r="2518">
          <cell r="A2518" t="str">
            <v>51740-10601209CALF</v>
          </cell>
          <cell r="B2518"/>
          <cell r="C2518"/>
          <cell r="D2518"/>
          <cell r="E2518"/>
          <cell r="F2518"/>
          <cell r="G2518">
            <v>2.1100000000000001E-2</v>
          </cell>
          <cell r="H2518"/>
          <cell r="I2518"/>
          <cell r="J2518"/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>
            <v>2.3E-3</v>
          </cell>
        </row>
        <row r="2519">
          <cell r="A2519" t="str">
            <v>51740-10601602AALF</v>
          </cell>
          <cell r="B2519"/>
          <cell r="C2519"/>
          <cell r="D2519"/>
          <cell r="E2519"/>
          <cell r="F2519"/>
          <cell r="G2519">
            <v>0.03</v>
          </cell>
          <cell r="H2519"/>
          <cell r="I2519"/>
          <cell r="J2519"/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>
            <v>3.0000000000000001E-3</v>
          </cell>
        </row>
        <row r="2520">
          <cell r="A2520" t="str">
            <v>51740-10601603AALF</v>
          </cell>
          <cell r="B2520"/>
          <cell r="C2520"/>
          <cell r="D2520"/>
          <cell r="E2520"/>
          <cell r="F2520"/>
          <cell r="G2520">
            <v>3.4000000000000002E-2</v>
          </cell>
          <cell r="H2520"/>
          <cell r="I2520"/>
          <cell r="J2520"/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>
            <v>3.0000000000000001E-3</v>
          </cell>
        </row>
        <row r="2521">
          <cell r="A2521" t="str">
            <v>51740-10602004AALF</v>
          </cell>
          <cell r="B2521"/>
          <cell r="C2521"/>
          <cell r="D2521"/>
          <cell r="E2521"/>
          <cell r="F2521"/>
          <cell r="G2521">
            <v>3.2000000000000001E-2</v>
          </cell>
          <cell r="H2521"/>
          <cell r="I2521"/>
          <cell r="J2521"/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>
            <v>2.8999999999999998E-3</v>
          </cell>
        </row>
        <row r="2522">
          <cell r="A2522" t="str">
            <v>51740-10602005ABLF</v>
          </cell>
          <cell r="B2522"/>
          <cell r="C2522"/>
          <cell r="D2522"/>
          <cell r="E2522"/>
          <cell r="F2522"/>
          <cell r="G2522">
            <v>3.3000000000000002E-2</v>
          </cell>
          <cell r="H2522"/>
          <cell r="I2522"/>
          <cell r="J2522"/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>
            <v>2.8999999999999998E-3</v>
          </cell>
        </row>
        <row r="2523">
          <cell r="A2523" t="str">
            <v>51740-10602405CCLF</v>
          </cell>
          <cell r="B2523"/>
          <cell r="C2523"/>
          <cell r="D2523"/>
          <cell r="E2523"/>
          <cell r="F2523"/>
          <cell r="G2523">
            <v>3.3000000000000002E-2</v>
          </cell>
          <cell r="H2523"/>
          <cell r="I2523"/>
          <cell r="J2523"/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>
            <v>3.0000000000000001E-3</v>
          </cell>
        </row>
        <row r="2524">
          <cell r="A2524" t="str">
            <v>51740-10602406AALF</v>
          </cell>
          <cell r="B2524"/>
          <cell r="C2524"/>
          <cell r="D2524"/>
          <cell r="E2524"/>
          <cell r="F2524"/>
          <cell r="G2524">
            <v>3.7999999999999999E-2</v>
          </cell>
          <cell r="H2524"/>
          <cell r="I2524"/>
          <cell r="J2524"/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>
            <v>3.3E-3</v>
          </cell>
        </row>
        <row r="2525">
          <cell r="A2525" t="str">
            <v>51740-10602406CALF</v>
          </cell>
          <cell r="B2525"/>
          <cell r="C2525"/>
          <cell r="D2525"/>
          <cell r="E2525"/>
          <cell r="F2525"/>
          <cell r="G2525">
            <v>3.7499999999999999E-2</v>
          </cell>
          <cell r="H2525"/>
          <cell r="I2525"/>
          <cell r="J2525"/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>
            <v>3.3E-3</v>
          </cell>
        </row>
        <row r="2526">
          <cell r="A2526" t="str">
            <v>51740-10602807AALF</v>
          </cell>
          <cell r="B2526"/>
          <cell r="C2526"/>
          <cell r="D2526"/>
          <cell r="E2526"/>
          <cell r="F2526"/>
          <cell r="G2526">
            <v>4.1000000000000002E-2</v>
          </cell>
          <cell r="H2526"/>
          <cell r="I2526"/>
          <cell r="J2526"/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>
            <v>3.5999999999999999E-3</v>
          </cell>
        </row>
        <row r="2527">
          <cell r="A2527" t="str">
            <v>51740-10602808CALF</v>
          </cell>
          <cell r="B2527"/>
          <cell r="C2527"/>
          <cell r="D2527"/>
          <cell r="E2527"/>
          <cell r="F2527"/>
          <cell r="G2527">
            <v>4.4999999999999998E-2</v>
          </cell>
          <cell r="H2527"/>
          <cell r="I2527"/>
          <cell r="J2527"/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>
            <v>4.0000000000000001E-3</v>
          </cell>
        </row>
        <row r="2528">
          <cell r="A2528" t="str">
            <v>51740-10700000AALF</v>
          </cell>
          <cell r="B2528"/>
          <cell r="C2528"/>
          <cell r="D2528"/>
          <cell r="E2528"/>
          <cell r="F2528"/>
          <cell r="G2528">
            <v>2.8000000000000001E-2</v>
          </cell>
          <cell r="H2528"/>
          <cell r="I2528"/>
          <cell r="J2528"/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>
            <v>6.1000000000000004E-3</v>
          </cell>
        </row>
        <row r="2529">
          <cell r="A2529" t="str">
            <v>51740-10700807AALF</v>
          </cell>
          <cell r="B2529"/>
          <cell r="C2529"/>
          <cell r="D2529"/>
          <cell r="E2529"/>
          <cell r="F2529"/>
          <cell r="G2529">
            <v>2.5999999999999999E-2</v>
          </cell>
          <cell r="H2529"/>
          <cell r="I2529"/>
          <cell r="J2529"/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>
            <v>1.3100000000000001E-2</v>
          </cell>
        </row>
        <row r="2530">
          <cell r="A2530" t="str">
            <v>51740-10701607AALF</v>
          </cell>
          <cell r="B2530"/>
          <cell r="C2530"/>
          <cell r="D2530"/>
          <cell r="E2530"/>
          <cell r="F2530"/>
          <cell r="G2530">
            <v>4.5999999999999999E-2</v>
          </cell>
          <cell r="H2530"/>
          <cell r="I2530"/>
          <cell r="J2530"/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>
            <v>3.0000000000000001E-3</v>
          </cell>
        </row>
        <row r="2531">
          <cell r="A2531" t="str">
            <v>51740-10702406AALF</v>
          </cell>
          <cell r="B2531"/>
          <cell r="C2531"/>
          <cell r="D2531"/>
          <cell r="E2531"/>
          <cell r="F2531"/>
          <cell r="G2531">
            <v>4.2000000000000003E-2</v>
          </cell>
          <cell r="H2531"/>
          <cell r="I2531"/>
          <cell r="J2531"/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>
            <v>3.0000000000000001E-3</v>
          </cell>
        </row>
        <row r="2532">
          <cell r="A2532" t="str">
            <v>51740-10702407CCLF</v>
          </cell>
          <cell r="B2532"/>
          <cell r="C2532"/>
          <cell r="D2532"/>
          <cell r="E2532"/>
          <cell r="F2532"/>
          <cell r="G2532">
            <v>4.4999999999999998E-2</v>
          </cell>
          <cell r="H2532"/>
          <cell r="I2532"/>
          <cell r="J2532"/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>
            <v>3.0000000000000001E-3</v>
          </cell>
        </row>
        <row r="2533">
          <cell r="A2533" t="str">
            <v>51740-10702807AALF</v>
          </cell>
          <cell r="B2533"/>
          <cell r="C2533"/>
          <cell r="D2533"/>
          <cell r="E2533"/>
          <cell r="F2533"/>
          <cell r="G2533">
            <v>3.3000000000000002E-2</v>
          </cell>
          <cell r="H2533"/>
          <cell r="I2533"/>
          <cell r="J2533"/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>
            <v>3.5999999999999999E-3</v>
          </cell>
        </row>
        <row r="2534">
          <cell r="A2534" t="str">
            <v>51740-10703206AALF</v>
          </cell>
          <cell r="B2534"/>
          <cell r="C2534"/>
          <cell r="D2534"/>
          <cell r="E2534"/>
          <cell r="F2534"/>
          <cell r="G2534">
            <v>3.7999999999999999E-2</v>
          </cell>
          <cell r="H2534"/>
          <cell r="I2534"/>
          <cell r="J2534"/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>
            <v>3.8999999999999998E-3</v>
          </cell>
        </row>
        <row r="2535">
          <cell r="A2535" t="str">
            <v>51740-10703206ACLF</v>
          </cell>
          <cell r="B2535"/>
          <cell r="C2535"/>
          <cell r="D2535"/>
          <cell r="E2535"/>
          <cell r="F2535"/>
          <cell r="G2535">
            <v>3.7999999999999999E-2</v>
          </cell>
          <cell r="H2535"/>
          <cell r="I2535"/>
          <cell r="J2535"/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>
            <v>4.0000000000000001E-3</v>
          </cell>
        </row>
        <row r="2536">
          <cell r="A2536" t="str">
            <v>51740-10703206CALF</v>
          </cell>
          <cell r="B2536"/>
          <cell r="C2536"/>
          <cell r="D2536"/>
          <cell r="E2536"/>
          <cell r="F2536"/>
          <cell r="G2536">
            <v>4.1000000000000002E-2</v>
          </cell>
          <cell r="H2536"/>
          <cell r="I2536"/>
          <cell r="J2536"/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>
            <v>4.0000000000000001E-3</v>
          </cell>
        </row>
        <row r="2537">
          <cell r="A2537" t="str">
            <v>51740-10703206CCLF</v>
          </cell>
          <cell r="B2537"/>
          <cell r="C2537"/>
          <cell r="D2537"/>
          <cell r="E2537"/>
          <cell r="F2537"/>
          <cell r="G2537">
            <v>1.43181E-2</v>
          </cell>
          <cell r="H2537"/>
          <cell r="I2537"/>
          <cell r="J2537"/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>
            <v>6.1000000000000004E-3</v>
          </cell>
        </row>
        <row r="2538">
          <cell r="A2538" t="str">
            <v>51740-10703607AALF</v>
          </cell>
          <cell r="B2538"/>
          <cell r="C2538"/>
          <cell r="D2538"/>
          <cell r="E2538"/>
          <cell r="F2538"/>
          <cell r="G2538">
            <v>3.5000000000000003E-2</v>
          </cell>
          <cell r="H2538"/>
          <cell r="I2538"/>
          <cell r="J2538"/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>
            <v>8.6999999999999994E-2</v>
          </cell>
        </row>
        <row r="2539">
          <cell r="A2539" t="str">
            <v>51740-10801208CCLF</v>
          </cell>
          <cell r="B2539"/>
          <cell r="C2539"/>
          <cell r="D2539"/>
          <cell r="E2539"/>
          <cell r="F2539"/>
          <cell r="G2539">
            <v>0.04</v>
          </cell>
          <cell r="H2539"/>
          <cell r="I2539"/>
          <cell r="J2539"/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>
            <v>2.3E-3</v>
          </cell>
        </row>
        <row r="2540">
          <cell r="A2540" t="str">
            <v>51740-10801604CCLF</v>
          </cell>
          <cell r="B2540"/>
          <cell r="C2540"/>
          <cell r="D2540"/>
          <cell r="E2540"/>
          <cell r="F2540"/>
          <cell r="G2540">
            <v>3.6999999999999998E-2</v>
          </cell>
          <cell r="H2540"/>
          <cell r="I2540"/>
          <cell r="J2540"/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>
            <v>3.0000000000000001E-3</v>
          </cell>
        </row>
        <row r="2541">
          <cell r="A2541" t="str">
            <v>51740-10802400CCLF</v>
          </cell>
          <cell r="B2541"/>
          <cell r="C2541"/>
          <cell r="D2541"/>
          <cell r="E2541"/>
          <cell r="F2541"/>
          <cell r="G2541">
            <v>2.7E-2</v>
          </cell>
          <cell r="H2541"/>
          <cell r="I2541"/>
          <cell r="J2541"/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>
            <v>3.0000000000000001E-3</v>
          </cell>
        </row>
        <row r="2542">
          <cell r="A2542" t="str">
            <v>51740-10802408AALF</v>
          </cell>
          <cell r="B2542"/>
          <cell r="C2542"/>
          <cell r="D2542"/>
          <cell r="E2542"/>
          <cell r="F2542"/>
          <cell r="G2542">
            <v>3.3000000000000002E-2</v>
          </cell>
          <cell r="H2542"/>
          <cell r="I2542"/>
          <cell r="J2542"/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>
            <v>3.0000000000000001E-3</v>
          </cell>
        </row>
        <row r="2543">
          <cell r="A2543" t="str">
            <v>51740-10802408CALF</v>
          </cell>
          <cell r="B2543"/>
          <cell r="C2543"/>
          <cell r="D2543"/>
          <cell r="E2543"/>
          <cell r="F2543"/>
          <cell r="G2543">
            <v>5.1999999999999998E-2</v>
          </cell>
          <cell r="H2543"/>
          <cell r="I2543"/>
          <cell r="J2543"/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>
            <v>3.0000000000000001E-3</v>
          </cell>
        </row>
        <row r="2544">
          <cell r="A2544" t="str">
            <v>51740-10803208AALF</v>
          </cell>
          <cell r="B2544"/>
          <cell r="C2544"/>
          <cell r="D2544"/>
          <cell r="E2544"/>
          <cell r="F2544"/>
          <cell r="G2544">
            <v>0.04</v>
          </cell>
          <cell r="H2544"/>
          <cell r="I2544"/>
          <cell r="J2544"/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>
            <v>4.0000000000000001E-3</v>
          </cell>
        </row>
        <row r="2545">
          <cell r="A2545" t="str">
            <v>51740-10803208CCLF</v>
          </cell>
          <cell r="B2545"/>
          <cell r="C2545"/>
          <cell r="D2545"/>
          <cell r="E2545"/>
          <cell r="F2545"/>
          <cell r="G2545">
            <v>4.8000000000000001E-2</v>
          </cell>
          <cell r="H2545"/>
          <cell r="I2545"/>
          <cell r="J2545"/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>
            <v>4.0000000000000001E-3</v>
          </cell>
        </row>
        <row r="2546">
          <cell r="A2546" t="str">
            <v>51740-10806010AALF</v>
          </cell>
          <cell r="B2546"/>
          <cell r="C2546"/>
          <cell r="D2546"/>
          <cell r="E2546"/>
          <cell r="F2546"/>
          <cell r="G2546">
            <v>5.6000000000000001E-2</v>
          </cell>
          <cell r="H2546"/>
          <cell r="I2546"/>
          <cell r="J2546"/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>
            <v>6.0000000000000001E-3</v>
          </cell>
        </row>
        <row r="2547">
          <cell r="A2547" t="str">
            <v>51740-10901209CCLF</v>
          </cell>
          <cell r="B2547"/>
          <cell r="C2547"/>
          <cell r="D2547"/>
          <cell r="E2547"/>
          <cell r="F2547"/>
          <cell r="G2547">
            <v>5.7000000000000002E-2</v>
          </cell>
          <cell r="H2547"/>
          <cell r="I2547"/>
          <cell r="J2547"/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>
            <v>2E-3</v>
          </cell>
        </row>
        <row r="2548">
          <cell r="A2548" t="str">
            <v>51740-10903204AALF</v>
          </cell>
          <cell r="B2548"/>
          <cell r="C2548"/>
          <cell r="D2548"/>
          <cell r="E2548"/>
          <cell r="F2548"/>
          <cell r="G2548">
            <v>3.2000000000000001E-2</v>
          </cell>
          <cell r="H2548"/>
          <cell r="I2548"/>
          <cell r="J2548"/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>
            <v>4.0000000000000001E-3</v>
          </cell>
        </row>
        <row r="2549">
          <cell r="A2549" t="str">
            <v>51740-10903209AALF</v>
          </cell>
          <cell r="B2549"/>
          <cell r="C2549"/>
          <cell r="D2549"/>
          <cell r="E2549"/>
          <cell r="F2549"/>
          <cell r="G2549">
            <v>5.8999999999999997E-2</v>
          </cell>
          <cell r="H2549"/>
          <cell r="I2549"/>
          <cell r="J2549"/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>
            <v>4.0000000000000001E-3</v>
          </cell>
        </row>
        <row r="2550">
          <cell r="A2550" t="str">
            <v>51740-11002006AALF</v>
          </cell>
          <cell r="B2550"/>
          <cell r="C2550"/>
          <cell r="D2550"/>
          <cell r="E2550"/>
          <cell r="F2550"/>
          <cell r="G2550">
            <v>5.2999999999999999E-2</v>
          </cell>
          <cell r="H2550"/>
          <cell r="I2550"/>
          <cell r="J2550"/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>
            <v>3.0000000000000001E-3</v>
          </cell>
        </row>
        <row r="2551">
          <cell r="A2551" t="str">
            <v>51740-11004410CCLF</v>
          </cell>
          <cell r="B2551"/>
          <cell r="C2551"/>
          <cell r="D2551"/>
          <cell r="E2551"/>
          <cell r="F2551"/>
          <cell r="G2551">
            <v>0.06</v>
          </cell>
          <cell r="H2551"/>
          <cell r="I2551"/>
          <cell r="J2551"/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>
            <v>5.0000000000000001E-3</v>
          </cell>
        </row>
        <row r="2552">
          <cell r="A2552" t="str">
            <v>51740-11008410AALF</v>
          </cell>
          <cell r="B2552"/>
          <cell r="C2552"/>
          <cell r="D2552"/>
          <cell r="E2552"/>
          <cell r="F2552"/>
          <cell r="G2552">
            <v>5.5E-2</v>
          </cell>
          <cell r="H2552"/>
          <cell r="I2552"/>
          <cell r="J2552"/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>
            <v>8.3000000000000001E-3</v>
          </cell>
        </row>
        <row r="2553">
          <cell r="A2553" t="str">
            <v>51740-11102003AALF</v>
          </cell>
          <cell r="B2553"/>
          <cell r="C2553"/>
          <cell r="D2553"/>
          <cell r="E2553"/>
          <cell r="F2553"/>
          <cell r="G2553">
            <v>3.5999999999999997E-2</v>
          </cell>
          <cell r="H2553"/>
          <cell r="I2553"/>
          <cell r="J2553"/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>
            <v>3.0000000000000001E-3</v>
          </cell>
        </row>
        <row r="2554">
          <cell r="A2554" t="str">
            <v>51740-11102003CALF</v>
          </cell>
          <cell r="B2554"/>
          <cell r="C2554"/>
          <cell r="D2554"/>
          <cell r="E2554"/>
          <cell r="F2554"/>
          <cell r="G2554">
            <v>2.2800000000000001E-2</v>
          </cell>
          <cell r="H2554"/>
          <cell r="I2554"/>
          <cell r="J2554"/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>
            <v>3.0000000000000001E-3</v>
          </cell>
        </row>
        <row r="2555">
          <cell r="A2555" t="str">
            <v>51740-11102003CCLF</v>
          </cell>
          <cell r="B2555"/>
          <cell r="C2555"/>
          <cell r="D2555"/>
          <cell r="E2555"/>
          <cell r="F2555"/>
          <cell r="G2555">
            <v>3.1E-2</v>
          </cell>
          <cell r="H2555"/>
          <cell r="I2555"/>
          <cell r="J2555"/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>
            <v>3.0000000000000001E-3</v>
          </cell>
        </row>
        <row r="2556">
          <cell r="A2556" t="str">
            <v>51740-B0201602CALF</v>
          </cell>
          <cell r="B2556"/>
          <cell r="C2556"/>
          <cell r="D2556"/>
          <cell r="E2556"/>
          <cell r="F2556"/>
          <cell r="G2556">
            <v>1.41E-2</v>
          </cell>
          <cell r="H2556"/>
          <cell r="I2556"/>
          <cell r="J2556"/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>
            <v>2.5999999999999999E-3</v>
          </cell>
        </row>
        <row r="2557">
          <cell r="A2557" t="str">
            <v>51740-B0202402CALF</v>
          </cell>
          <cell r="B2557"/>
          <cell r="C2557"/>
          <cell r="D2557"/>
          <cell r="E2557"/>
          <cell r="F2557"/>
          <cell r="G2557">
            <v>1.11E-2</v>
          </cell>
          <cell r="H2557"/>
          <cell r="I2557"/>
          <cell r="J2557"/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>
            <v>3.0000000000000001E-3</v>
          </cell>
        </row>
        <row r="2558">
          <cell r="A2558" t="str">
            <v>51740-B0402404CCLF</v>
          </cell>
          <cell r="B2558"/>
          <cell r="C2558"/>
          <cell r="D2558"/>
          <cell r="E2558"/>
          <cell r="F2558"/>
          <cell r="G2558">
            <v>1.01E-2</v>
          </cell>
          <cell r="H2558"/>
          <cell r="I2558"/>
          <cell r="J2558"/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>
            <v>3.2499999999999999E-3</v>
          </cell>
        </row>
        <row r="2559">
          <cell r="A2559" t="str">
            <v>51741-10000402CCLF</v>
          </cell>
          <cell r="B2559"/>
          <cell r="C2559"/>
          <cell r="D2559"/>
          <cell r="E2559"/>
          <cell r="F2559"/>
          <cell r="G2559">
            <v>2.1999999999999999E-2</v>
          </cell>
          <cell r="H2559"/>
          <cell r="I2559"/>
          <cell r="J2559"/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>
            <v>2E-3</v>
          </cell>
        </row>
        <row r="2560">
          <cell r="A2560" t="str">
            <v>51741-10000404AALF</v>
          </cell>
          <cell r="B2560"/>
          <cell r="C2560"/>
          <cell r="D2560"/>
          <cell r="E2560"/>
          <cell r="F2560"/>
          <cell r="G2560">
            <v>8.6999999999999994E-3</v>
          </cell>
          <cell r="H2560"/>
          <cell r="I2560"/>
          <cell r="J2560"/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>
            <v>4.5999999999999999E-3</v>
          </cell>
        </row>
        <row r="2561">
          <cell r="A2561" t="str">
            <v>51741-10000404CCLF</v>
          </cell>
          <cell r="B2561"/>
          <cell r="C2561"/>
          <cell r="D2561"/>
          <cell r="E2561"/>
          <cell r="F2561"/>
          <cell r="G2561">
            <v>1.3745E-2</v>
          </cell>
          <cell r="H2561"/>
          <cell r="I2561"/>
          <cell r="J2561"/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>
            <v>4.5833000000000002E-3</v>
          </cell>
        </row>
        <row r="2562">
          <cell r="A2562" t="str">
            <v>51741-10000406AALF</v>
          </cell>
          <cell r="B2562"/>
          <cell r="C2562"/>
          <cell r="D2562"/>
          <cell r="E2562"/>
          <cell r="F2562"/>
          <cell r="G2562">
            <v>2.9000000000000001E-2</v>
          </cell>
          <cell r="H2562"/>
          <cell r="I2562"/>
          <cell r="J2562"/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>
            <v>2E-3</v>
          </cell>
        </row>
        <row r="2563">
          <cell r="A2563" t="str">
            <v>51741-10000802CCLF</v>
          </cell>
          <cell r="B2563"/>
          <cell r="C2563"/>
          <cell r="D2563"/>
          <cell r="E2563"/>
          <cell r="F2563"/>
          <cell r="G2563">
            <v>8.9999999999999993E-3</v>
          </cell>
          <cell r="H2563"/>
          <cell r="I2563"/>
          <cell r="J2563"/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>
            <v>6.1000000000000004E-3</v>
          </cell>
        </row>
        <row r="2564">
          <cell r="A2564" t="str">
            <v>51741-10000803AALF</v>
          </cell>
          <cell r="B2564"/>
          <cell r="C2564"/>
          <cell r="D2564"/>
          <cell r="E2564"/>
          <cell r="F2564"/>
          <cell r="G2564">
            <v>2.3E-2</v>
          </cell>
          <cell r="H2564"/>
          <cell r="I2564"/>
          <cell r="J2564"/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>
            <v>2E-3</v>
          </cell>
        </row>
        <row r="2565">
          <cell r="A2565" t="str">
            <v>51741-10000804AALF</v>
          </cell>
          <cell r="B2565"/>
          <cell r="C2565"/>
          <cell r="D2565"/>
          <cell r="E2565"/>
          <cell r="F2565"/>
          <cell r="G2565">
            <v>2.7E-2</v>
          </cell>
          <cell r="H2565"/>
          <cell r="I2565"/>
          <cell r="J2565"/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>
            <v>1.9E-3</v>
          </cell>
        </row>
        <row r="2566">
          <cell r="A2566" t="str">
            <v>51741-10000804ACLF</v>
          </cell>
          <cell r="B2566"/>
          <cell r="C2566"/>
          <cell r="D2566"/>
          <cell r="E2566"/>
          <cell r="F2566"/>
          <cell r="G2566">
            <v>2.5000000000000001E-2</v>
          </cell>
          <cell r="H2566"/>
          <cell r="I2566"/>
          <cell r="J2566"/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>
            <v>2E-3</v>
          </cell>
        </row>
        <row r="2567">
          <cell r="A2567" t="str">
            <v>51741-10000804CALF</v>
          </cell>
          <cell r="B2567"/>
          <cell r="C2567"/>
          <cell r="D2567"/>
          <cell r="E2567"/>
          <cell r="F2567"/>
          <cell r="G2567">
            <v>2.7E-2</v>
          </cell>
          <cell r="H2567"/>
          <cell r="I2567"/>
          <cell r="J2567"/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>
            <v>2E-3</v>
          </cell>
        </row>
        <row r="2568">
          <cell r="A2568" t="str">
            <v>51741-10000804CCLF</v>
          </cell>
          <cell r="B2568"/>
          <cell r="C2568"/>
          <cell r="D2568"/>
          <cell r="E2568"/>
          <cell r="F2568"/>
          <cell r="G2568">
            <v>2.5000000000000001E-2</v>
          </cell>
          <cell r="H2568"/>
          <cell r="I2568"/>
          <cell r="J2568"/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>
            <v>2E-3</v>
          </cell>
        </row>
        <row r="2569">
          <cell r="A2569" t="str">
            <v>51741-10000806AALF</v>
          </cell>
          <cell r="B2569"/>
          <cell r="C2569"/>
          <cell r="D2569"/>
          <cell r="E2569"/>
          <cell r="F2569"/>
          <cell r="G2569">
            <v>1.37E-2</v>
          </cell>
          <cell r="H2569"/>
          <cell r="I2569"/>
          <cell r="J2569"/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>
            <v>3.3999999999999998E-3</v>
          </cell>
        </row>
        <row r="2570">
          <cell r="A2570" t="str">
            <v>51741-10000806CCLF</v>
          </cell>
          <cell r="B2570"/>
          <cell r="C2570"/>
          <cell r="D2570"/>
          <cell r="E2570"/>
          <cell r="F2570"/>
          <cell r="G2570">
            <v>0.02</v>
          </cell>
          <cell r="H2570"/>
          <cell r="I2570"/>
          <cell r="J2570"/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>
            <v>7.7999999999999996E-3</v>
          </cell>
        </row>
        <row r="2571">
          <cell r="A2571" t="str">
            <v>51741-10000810AALF</v>
          </cell>
          <cell r="B2571"/>
          <cell r="C2571"/>
          <cell r="D2571"/>
          <cell r="E2571"/>
          <cell r="F2571"/>
          <cell r="G2571">
            <v>3.3000000000000002E-2</v>
          </cell>
          <cell r="H2571"/>
          <cell r="I2571"/>
          <cell r="J2571"/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>
            <v>1.9E-3</v>
          </cell>
        </row>
        <row r="2572">
          <cell r="A2572" t="str">
            <v>51741-10000810CCLF</v>
          </cell>
          <cell r="B2572"/>
          <cell r="C2572"/>
          <cell r="D2572"/>
          <cell r="E2572"/>
          <cell r="F2572"/>
          <cell r="G2572">
            <v>1.1599999999999999E-2</v>
          </cell>
          <cell r="H2572"/>
          <cell r="I2572"/>
          <cell r="J2572"/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>
            <v>1.9E-3</v>
          </cell>
        </row>
        <row r="2573">
          <cell r="A2573" t="str">
            <v>51741-10000812CALF</v>
          </cell>
          <cell r="B2573"/>
          <cell r="C2573"/>
          <cell r="D2573"/>
          <cell r="E2573"/>
          <cell r="F2573"/>
          <cell r="G2573">
            <v>3.3300000000000003E-2</v>
          </cell>
          <cell r="H2573"/>
          <cell r="I2573"/>
          <cell r="J2573"/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>
            <v>2E-3</v>
          </cell>
        </row>
        <row r="2574">
          <cell r="A2574" t="str">
            <v>51741-10001202AALF</v>
          </cell>
          <cell r="B2574"/>
          <cell r="C2574"/>
          <cell r="D2574"/>
          <cell r="E2574"/>
          <cell r="F2574"/>
          <cell r="G2574">
            <v>2.7E-2</v>
          </cell>
          <cell r="H2574"/>
          <cell r="I2574"/>
          <cell r="J2574"/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>
            <v>2E-3</v>
          </cell>
        </row>
        <row r="2575">
          <cell r="A2575" t="str">
            <v>51741-10001202CCLF</v>
          </cell>
          <cell r="B2575"/>
          <cell r="C2575"/>
          <cell r="D2575"/>
          <cell r="E2575"/>
          <cell r="F2575"/>
          <cell r="G2575">
            <v>2.1000000000000001E-2</v>
          </cell>
          <cell r="H2575"/>
          <cell r="I2575"/>
          <cell r="J2575"/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>
            <v>2.3E-3</v>
          </cell>
        </row>
        <row r="2576">
          <cell r="A2576" t="str">
            <v>51741-10001204AALF</v>
          </cell>
          <cell r="B2576"/>
          <cell r="C2576"/>
          <cell r="D2576"/>
          <cell r="E2576"/>
          <cell r="F2576"/>
          <cell r="G2576">
            <v>2.0199999999999999E-2</v>
          </cell>
          <cell r="H2576"/>
          <cell r="I2576"/>
          <cell r="J2576"/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>
            <v>2E-3</v>
          </cell>
        </row>
        <row r="2577">
          <cell r="A2577" t="str">
            <v>51741-10001204CALF</v>
          </cell>
          <cell r="B2577"/>
          <cell r="C2577"/>
          <cell r="D2577"/>
          <cell r="E2577"/>
          <cell r="F2577"/>
          <cell r="G2577">
            <v>3.9E-2</v>
          </cell>
          <cell r="H2577"/>
          <cell r="I2577"/>
          <cell r="J2577"/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>
            <v>2E-3</v>
          </cell>
        </row>
        <row r="2578">
          <cell r="A2578" t="str">
            <v>51741-10001204CCLF</v>
          </cell>
          <cell r="B2578"/>
          <cell r="C2578"/>
          <cell r="D2578"/>
          <cell r="E2578"/>
          <cell r="F2578"/>
          <cell r="G2578">
            <v>9.4893000000000009E-3</v>
          </cell>
          <cell r="H2578"/>
          <cell r="I2578"/>
          <cell r="J2578"/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>
            <v>2.2499999999999998E-3</v>
          </cell>
        </row>
        <row r="2579">
          <cell r="A2579" t="str">
            <v>51741-10001206AALF</v>
          </cell>
          <cell r="B2579"/>
          <cell r="C2579"/>
          <cell r="D2579"/>
          <cell r="E2579"/>
          <cell r="F2579"/>
          <cell r="G2579">
            <v>2.2200000000000001E-2</v>
          </cell>
          <cell r="H2579"/>
          <cell r="I2579"/>
          <cell r="J2579"/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>
            <v>2.3E-3</v>
          </cell>
        </row>
        <row r="2580">
          <cell r="A2580" t="str">
            <v>51741-10001206ABLF</v>
          </cell>
          <cell r="B2580"/>
          <cell r="C2580"/>
          <cell r="D2580"/>
          <cell r="E2580"/>
          <cell r="F2580"/>
          <cell r="G2580">
            <v>2.5999999999999999E-2</v>
          </cell>
          <cell r="H2580"/>
          <cell r="I2580"/>
          <cell r="J2580"/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>
            <v>2.3E-3</v>
          </cell>
        </row>
        <row r="2581">
          <cell r="A2581" t="str">
            <v>51741-10001206ACLF</v>
          </cell>
          <cell r="B2581"/>
          <cell r="C2581"/>
          <cell r="D2581"/>
          <cell r="E2581"/>
          <cell r="F2581"/>
          <cell r="G2581">
            <v>2.8000000000000001E-2</v>
          </cell>
          <cell r="H2581"/>
          <cell r="I2581"/>
          <cell r="J2581"/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>
            <v>2.3E-3</v>
          </cell>
        </row>
        <row r="2582">
          <cell r="A2582" t="str">
            <v>51741-10001206CCLF</v>
          </cell>
          <cell r="B2582"/>
          <cell r="C2582"/>
          <cell r="D2582"/>
          <cell r="E2582"/>
          <cell r="F2582"/>
          <cell r="G2582">
            <v>2.5999999999999999E-2</v>
          </cell>
          <cell r="H2582"/>
          <cell r="I2582"/>
          <cell r="J2582"/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>
            <v>2.3E-3</v>
          </cell>
        </row>
        <row r="2583">
          <cell r="A2583" t="str">
            <v>51741-10001207AALF</v>
          </cell>
          <cell r="B2583"/>
          <cell r="C2583"/>
          <cell r="D2583"/>
          <cell r="E2583"/>
          <cell r="F2583"/>
          <cell r="G2583">
            <v>0.03</v>
          </cell>
          <cell r="H2583"/>
          <cell r="I2583"/>
          <cell r="J2583"/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>
            <v>2E-3</v>
          </cell>
        </row>
        <row r="2584">
          <cell r="A2584" t="str">
            <v>51741-10001208AALF</v>
          </cell>
          <cell r="B2584"/>
          <cell r="C2584"/>
          <cell r="D2584"/>
          <cell r="E2584"/>
          <cell r="F2584"/>
          <cell r="G2584">
            <v>0.03</v>
          </cell>
          <cell r="H2584"/>
          <cell r="I2584"/>
          <cell r="J2584"/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>
            <v>2E-3</v>
          </cell>
        </row>
        <row r="2585">
          <cell r="A2585" t="str">
            <v>51741-10001218AALF</v>
          </cell>
          <cell r="B2585"/>
          <cell r="C2585"/>
          <cell r="D2585"/>
          <cell r="E2585"/>
          <cell r="F2585"/>
          <cell r="G2585">
            <v>0.06</v>
          </cell>
          <cell r="H2585"/>
          <cell r="I2585"/>
          <cell r="J2585"/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>
            <v>2E-3</v>
          </cell>
        </row>
        <row r="2586">
          <cell r="A2586" t="str">
            <v>51741-10001602AALF</v>
          </cell>
          <cell r="B2586"/>
          <cell r="C2586"/>
          <cell r="D2586"/>
          <cell r="E2586"/>
          <cell r="F2586"/>
          <cell r="G2586">
            <v>2.3E-2</v>
          </cell>
          <cell r="H2586"/>
          <cell r="I2586"/>
          <cell r="J2586"/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>
            <v>3.0000000000000001E-3</v>
          </cell>
        </row>
        <row r="2587">
          <cell r="A2587" t="str">
            <v>51741-10001602CALF</v>
          </cell>
          <cell r="B2587"/>
          <cell r="C2587"/>
          <cell r="D2587"/>
          <cell r="E2587"/>
          <cell r="F2587"/>
          <cell r="G2587">
            <v>2.0199999999999999E-2</v>
          </cell>
          <cell r="H2587"/>
          <cell r="I2587"/>
          <cell r="J2587"/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>
            <v>6.7000000000000002E-3</v>
          </cell>
        </row>
        <row r="2588">
          <cell r="A2588" t="str">
            <v>51741-10001602CCLF</v>
          </cell>
          <cell r="B2588"/>
          <cell r="C2588"/>
          <cell r="D2588"/>
          <cell r="E2588"/>
          <cell r="F2588"/>
          <cell r="G2588">
            <v>2.1000000000000001E-2</v>
          </cell>
          <cell r="H2588"/>
          <cell r="I2588"/>
          <cell r="J2588"/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>
            <v>3.0000000000000001E-3</v>
          </cell>
        </row>
        <row r="2589">
          <cell r="A2589" t="str">
            <v>51741-10001603AALF</v>
          </cell>
          <cell r="B2589"/>
          <cell r="C2589"/>
          <cell r="D2589"/>
          <cell r="E2589"/>
          <cell r="F2589"/>
          <cell r="G2589">
            <v>2.3E-2</v>
          </cell>
          <cell r="H2589"/>
          <cell r="I2589"/>
          <cell r="J2589"/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>
            <v>3.0000000000000001E-3</v>
          </cell>
        </row>
        <row r="2590">
          <cell r="A2590" t="str">
            <v>51741-10001604AALF</v>
          </cell>
          <cell r="B2590"/>
          <cell r="C2590"/>
          <cell r="D2590"/>
          <cell r="E2590"/>
          <cell r="F2590"/>
          <cell r="G2590">
            <v>2.5999999999999999E-2</v>
          </cell>
          <cell r="H2590"/>
          <cell r="I2590"/>
          <cell r="J2590"/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>
            <v>2.5999999999999999E-3</v>
          </cell>
        </row>
        <row r="2591">
          <cell r="A2591" t="str">
            <v>51741-10001604CALF</v>
          </cell>
          <cell r="B2591"/>
          <cell r="C2591"/>
          <cell r="D2591"/>
          <cell r="E2591"/>
          <cell r="F2591"/>
          <cell r="G2591">
            <v>1.14E-2</v>
          </cell>
          <cell r="H2591"/>
          <cell r="I2591"/>
          <cell r="J2591"/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>
            <v>3.0000000000000001E-3</v>
          </cell>
        </row>
        <row r="2592">
          <cell r="A2592" t="str">
            <v>51741-10001604CCLF</v>
          </cell>
          <cell r="B2592"/>
          <cell r="C2592"/>
          <cell r="D2592"/>
          <cell r="E2592"/>
          <cell r="F2592"/>
          <cell r="G2592">
            <v>2.4E-2</v>
          </cell>
          <cell r="H2592"/>
          <cell r="I2592"/>
          <cell r="J2592"/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>
            <v>2.5999999999999999E-3</v>
          </cell>
        </row>
        <row r="2593">
          <cell r="A2593" t="str">
            <v>51741-10001605AALF</v>
          </cell>
          <cell r="B2593"/>
          <cell r="C2593"/>
          <cell r="D2593"/>
          <cell r="E2593"/>
          <cell r="F2593"/>
          <cell r="G2593">
            <v>3.3000000000000002E-2</v>
          </cell>
          <cell r="H2593"/>
          <cell r="I2593"/>
          <cell r="J2593"/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>
            <v>3.0000000000000001E-3</v>
          </cell>
        </row>
        <row r="2594">
          <cell r="A2594" t="str">
            <v>51741-10001605CCLF</v>
          </cell>
          <cell r="B2594"/>
          <cell r="C2594"/>
          <cell r="D2594"/>
          <cell r="E2594"/>
          <cell r="F2594"/>
          <cell r="G2594">
            <v>3.1E-2</v>
          </cell>
          <cell r="H2594"/>
          <cell r="I2594"/>
          <cell r="J2594"/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>
            <v>3.0000000000000001E-3</v>
          </cell>
        </row>
        <row r="2595">
          <cell r="A2595" t="str">
            <v>51741-10001607CCLF</v>
          </cell>
          <cell r="B2595"/>
          <cell r="C2595"/>
          <cell r="D2595"/>
          <cell r="E2595"/>
          <cell r="F2595"/>
          <cell r="G2595">
            <v>3.1E-2</v>
          </cell>
          <cell r="H2595"/>
          <cell r="I2595"/>
          <cell r="J2595"/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>
            <v>3.0000000000000001E-3</v>
          </cell>
        </row>
        <row r="2596">
          <cell r="A2596" t="str">
            <v>51741-10001608AALF</v>
          </cell>
          <cell r="B2596"/>
          <cell r="C2596"/>
          <cell r="D2596"/>
          <cell r="E2596"/>
          <cell r="F2596"/>
          <cell r="G2596">
            <v>0.03</v>
          </cell>
          <cell r="H2596"/>
          <cell r="I2596"/>
          <cell r="J2596"/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>
            <v>3.0000000000000001E-3</v>
          </cell>
        </row>
        <row r="2597">
          <cell r="A2597" t="str">
            <v>51741-10001608CCLF</v>
          </cell>
          <cell r="B2597"/>
          <cell r="C2597"/>
          <cell r="D2597"/>
          <cell r="E2597"/>
          <cell r="F2597"/>
          <cell r="G2597">
            <v>2.8000000000000001E-2</v>
          </cell>
          <cell r="H2597"/>
          <cell r="I2597"/>
          <cell r="J2597"/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>
            <v>3.0000000000000001E-3</v>
          </cell>
        </row>
        <row r="2598">
          <cell r="A2598" t="str">
            <v>51741-10001616AALF</v>
          </cell>
          <cell r="B2598"/>
          <cell r="C2598"/>
          <cell r="D2598"/>
          <cell r="E2598"/>
          <cell r="F2598"/>
          <cell r="G2598">
            <v>5.2999999999999999E-2</v>
          </cell>
          <cell r="H2598"/>
          <cell r="I2598"/>
          <cell r="J2598"/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>
            <v>3.0000000000000001E-3</v>
          </cell>
        </row>
        <row r="2599">
          <cell r="A2599" t="str">
            <v>51741-10002001AALF</v>
          </cell>
          <cell r="B2599"/>
          <cell r="C2599"/>
          <cell r="D2599"/>
          <cell r="E2599"/>
          <cell r="F2599"/>
          <cell r="G2599">
            <v>2.1999999999999999E-2</v>
          </cell>
          <cell r="H2599"/>
          <cell r="I2599"/>
          <cell r="J2599"/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>
            <v>3.0000000000000001E-3</v>
          </cell>
        </row>
        <row r="2600">
          <cell r="A2600" t="str">
            <v>51741-10002003AALF</v>
          </cell>
          <cell r="B2600"/>
          <cell r="C2600"/>
          <cell r="D2600"/>
          <cell r="E2600"/>
          <cell r="F2600"/>
          <cell r="G2600">
            <v>2.5999999999999999E-2</v>
          </cell>
          <cell r="H2600"/>
          <cell r="I2600"/>
          <cell r="J2600"/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>
            <v>3.0000000000000001E-3</v>
          </cell>
        </row>
        <row r="2601">
          <cell r="A2601" t="str">
            <v>51741-10002004AALF</v>
          </cell>
          <cell r="B2601"/>
          <cell r="C2601"/>
          <cell r="D2601"/>
          <cell r="E2601"/>
          <cell r="F2601"/>
          <cell r="G2601">
            <v>2.5999999999999999E-2</v>
          </cell>
          <cell r="H2601"/>
          <cell r="I2601"/>
          <cell r="J2601"/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>
            <v>3.0000000000000001E-3</v>
          </cell>
        </row>
        <row r="2602">
          <cell r="A2602" t="str">
            <v>51741-10002004CCLF</v>
          </cell>
          <cell r="B2602"/>
          <cell r="C2602"/>
          <cell r="D2602"/>
          <cell r="E2602"/>
          <cell r="F2602"/>
          <cell r="G2602">
            <v>2.4E-2</v>
          </cell>
          <cell r="H2602"/>
          <cell r="I2602"/>
          <cell r="J2602"/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>
            <v>3.0000000000000001E-3</v>
          </cell>
        </row>
        <row r="2603">
          <cell r="A2603" t="str">
            <v>51741-10002005AALF</v>
          </cell>
          <cell r="B2603"/>
          <cell r="C2603"/>
          <cell r="D2603"/>
          <cell r="E2603"/>
          <cell r="F2603"/>
          <cell r="G2603">
            <v>3.3000000000000002E-2</v>
          </cell>
          <cell r="H2603"/>
          <cell r="I2603"/>
          <cell r="J2603"/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>
            <v>3.0000000000000001E-3</v>
          </cell>
        </row>
        <row r="2604">
          <cell r="A2604" t="str">
            <v>51741-10002006AALF</v>
          </cell>
          <cell r="B2604"/>
          <cell r="C2604"/>
          <cell r="D2604"/>
          <cell r="E2604"/>
          <cell r="F2604"/>
          <cell r="G2604">
            <v>2.8000000000000001E-2</v>
          </cell>
          <cell r="H2604"/>
          <cell r="I2604"/>
          <cell r="J2604"/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>
            <v>2.8999999999999998E-3</v>
          </cell>
        </row>
        <row r="2605">
          <cell r="A2605" t="str">
            <v>51741-10002006CALF</v>
          </cell>
          <cell r="B2605"/>
          <cell r="C2605"/>
          <cell r="D2605"/>
          <cell r="E2605"/>
          <cell r="F2605"/>
          <cell r="G2605">
            <v>2.5999999999999999E-2</v>
          </cell>
          <cell r="H2605"/>
          <cell r="I2605"/>
          <cell r="J2605"/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>
            <v>3.0000000000000001E-3</v>
          </cell>
        </row>
        <row r="2606">
          <cell r="A2606" t="str">
            <v>51741-10002402CALF</v>
          </cell>
          <cell r="B2606"/>
          <cell r="C2606"/>
          <cell r="D2606"/>
          <cell r="E2606"/>
          <cell r="F2606"/>
          <cell r="G2606">
            <v>2.1999999999999999E-2</v>
          </cell>
          <cell r="H2606"/>
          <cell r="I2606"/>
          <cell r="J2606"/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>
            <v>3.0000000000000001E-3</v>
          </cell>
        </row>
        <row r="2607">
          <cell r="A2607" t="str">
            <v>51741-10002403CCLF</v>
          </cell>
          <cell r="B2607"/>
          <cell r="C2607"/>
          <cell r="D2607"/>
          <cell r="E2607"/>
          <cell r="F2607"/>
          <cell r="G2607">
            <v>0.02</v>
          </cell>
          <cell r="H2607"/>
          <cell r="I2607"/>
          <cell r="J2607"/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>
            <v>3.3E-3</v>
          </cell>
        </row>
        <row r="2608">
          <cell r="A2608" t="str">
            <v>51741-10002404AALF</v>
          </cell>
          <cell r="B2608"/>
          <cell r="C2608"/>
          <cell r="D2608"/>
          <cell r="E2608"/>
          <cell r="F2608"/>
          <cell r="G2608">
            <v>2.07E-2</v>
          </cell>
          <cell r="H2608"/>
          <cell r="I2608"/>
          <cell r="J2608"/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>
            <v>3.3E-3</v>
          </cell>
        </row>
        <row r="2609">
          <cell r="A2609" t="str">
            <v>51741-10002404CCLF</v>
          </cell>
          <cell r="B2609"/>
          <cell r="C2609"/>
          <cell r="D2609"/>
          <cell r="E2609"/>
          <cell r="F2609"/>
          <cell r="G2609">
            <v>8.2825929999999996E-3</v>
          </cell>
          <cell r="H2609"/>
          <cell r="I2609"/>
          <cell r="J2609"/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>
            <v>3.0000000000000001E-3</v>
          </cell>
        </row>
        <row r="2610">
          <cell r="A2610" t="str">
            <v>51741-10002406AALF</v>
          </cell>
          <cell r="B2610"/>
          <cell r="C2610"/>
          <cell r="D2610"/>
          <cell r="E2610"/>
          <cell r="F2610"/>
          <cell r="G2610">
            <v>1.1246256E-2</v>
          </cell>
          <cell r="H2610"/>
          <cell r="I2610"/>
          <cell r="J2610"/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>
            <v>3.0000000000000001E-3</v>
          </cell>
        </row>
        <row r="2611">
          <cell r="A2611" t="str">
            <v>51741-10002406ACLF</v>
          </cell>
          <cell r="B2611"/>
          <cell r="C2611"/>
          <cell r="D2611"/>
          <cell r="E2611"/>
          <cell r="F2611"/>
          <cell r="G2611">
            <v>1.23E-2</v>
          </cell>
          <cell r="H2611"/>
          <cell r="I2611"/>
          <cell r="J2611"/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>
            <v>3.0000000000000001E-3</v>
          </cell>
        </row>
        <row r="2612">
          <cell r="A2612" t="str">
            <v>51741-10002406CALF</v>
          </cell>
          <cell r="B2612"/>
          <cell r="C2612"/>
          <cell r="D2612"/>
          <cell r="E2612"/>
          <cell r="F2612"/>
          <cell r="G2612">
            <v>1.7191242999999998E-2</v>
          </cell>
          <cell r="H2612"/>
          <cell r="I2612"/>
          <cell r="J2612"/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>
            <v>3.0000000000000001E-3</v>
          </cell>
        </row>
        <row r="2613">
          <cell r="A2613" t="str">
            <v>51741-10002406CCLF</v>
          </cell>
          <cell r="B2613"/>
          <cell r="C2613"/>
          <cell r="D2613"/>
          <cell r="E2613"/>
          <cell r="F2613"/>
          <cell r="G2613">
            <v>8.2510399999999994E-3</v>
          </cell>
          <cell r="H2613"/>
          <cell r="I2613"/>
          <cell r="J2613"/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>
            <v>3.0000000000000001E-3</v>
          </cell>
        </row>
        <row r="2614">
          <cell r="A2614" t="str">
            <v>51741-10002407AALF</v>
          </cell>
          <cell r="B2614"/>
          <cell r="C2614"/>
          <cell r="D2614"/>
          <cell r="E2614"/>
          <cell r="F2614"/>
          <cell r="G2614">
            <v>3.2000000000000001E-2</v>
          </cell>
          <cell r="H2614"/>
          <cell r="I2614"/>
          <cell r="J2614"/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>
            <v>3.3E-3</v>
          </cell>
        </row>
        <row r="2615">
          <cell r="A2615" t="str">
            <v>51741-10002407CCLF</v>
          </cell>
          <cell r="B2615"/>
          <cell r="C2615"/>
          <cell r="D2615"/>
          <cell r="E2615"/>
          <cell r="F2615"/>
          <cell r="G2615">
            <v>0.03</v>
          </cell>
          <cell r="H2615"/>
          <cell r="I2615"/>
          <cell r="J2615"/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>
            <v>3.0000000000000001E-3</v>
          </cell>
        </row>
        <row r="2616">
          <cell r="A2616" t="str">
            <v>51741-10002408AALF</v>
          </cell>
          <cell r="B2616"/>
          <cell r="C2616"/>
          <cell r="D2616"/>
          <cell r="E2616"/>
          <cell r="F2616"/>
          <cell r="G2616">
            <v>2.9000000000000001E-2</v>
          </cell>
          <cell r="H2616"/>
          <cell r="I2616"/>
          <cell r="J2616"/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>
            <v>3.3E-3</v>
          </cell>
        </row>
        <row r="2617">
          <cell r="A2617" t="str">
            <v>51741-10002408CCLF</v>
          </cell>
          <cell r="B2617"/>
          <cell r="C2617"/>
          <cell r="D2617"/>
          <cell r="E2617"/>
          <cell r="F2617"/>
          <cell r="G2617">
            <v>1.1900000000000001E-2</v>
          </cell>
          <cell r="H2617"/>
          <cell r="I2617"/>
          <cell r="J2617"/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>
            <v>3.0000000000000001E-3</v>
          </cell>
        </row>
        <row r="2618">
          <cell r="A2618" t="str">
            <v>51741-10002409AALF</v>
          </cell>
          <cell r="B2618"/>
          <cell r="C2618"/>
          <cell r="D2618"/>
          <cell r="E2618"/>
          <cell r="F2618"/>
          <cell r="G2618">
            <v>3.3000000000000002E-2</v>
          </cell>
          <cell r="H2618"/>
          <cell r="I2618"/>
          <cell r="J2618"/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>
            <v>3.0000000000000001E-3</v>
          </cell>
        </row>
        <row r="2619">
          <cell r="A2619" t="str">
            <v>51741-10002410AALF</v>
          </cell>
          <cell r="B2619"/>
          <cell r="C2619"/>
          <cell r="D2619"/>
          <cell r="E2619"/>
          <cell r="F2619"/>
          <cell r="G2619">
            <v>3.1E-2</v>
          </cell>
          <cell r="H2619"/>
          <cell r="I2619"/>
          <cell r="J2619"/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>
            <v>3.0000000000000001E-3</v>
          </cell>
        </row>
        <row r="2620">
          <cell r="A2620" t="str">
            <v>51741-10002410CALF</v>
          </cell>
          <cell r="B2620"/>
          <cell r="C2620"/>
          <cell r="D2620"/>
          <cell r="E2620"/>
          <cell r="F2620"/>
          <cell r="G2620">
            <v>1.34E-2</v>
          </cell>
          <cell r="H2620"/>
          <cell r="I2620"/>
          <cell r="J2620"/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>
            <v>3.3E-3</v>
          </cell>
        </row>
        <row r="2621">
          <cell r="A2621" t="str">
            <v>51741-10002410CCLF</v>
          </cell>
          <cell r="B2621"/>
          <cell r="C2621"/>
          <cell r="D2621"/>
          <cell r="E2621"/>
          <cell r="F2621"/>
          <cell r="G2621">
            <v>2.9000000000000001E-2</v>
          </cell>
          <cell r="H2621"/>
          <cell r="I2621"/>
          <cell r="J2621"/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>
            <v>3.3E-3</v>
          </cell>
        </row>
        <row r="2622">
          <cell r="A2622" t="str">
            <v>51741-10002411CCLF</v>
          </cell>
          <cell r="B2622"/>
          <cell r="C2622"/>
          <cell r="D2622"/>
          <cell r="E2622"/>
          <cell r="F2622"/>
          <cell r="G2622">
            <v>3.3000000000000002E-2</v>
          </cell>
          <cell r="H2622"/>
          <cell r="I2622"/>
          <cell r="J2622"/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>
            <v>3.0000000000000001E-3</v>
          </cell>
        </row>
        <row r="2623">
          <cell r="A2623" t="str">
            <v>51741-10002412CCLF</v>
          </cell>
          <cell r="B2623"/>
          <cell r="C2623"/>
          <cell r="D2623"/>
          <cell r="E2623"/>
          <cell r="F2623"/>
          <cell r="G2623">
            <v>3.5999999999999997E-2</v>
          </cell>
          <cell r="H2623"/>
          <cell r="I2623"/>
          <cell r="J2623"/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>
            <v>3.0000000000000001E-3</v>
          </cell>
        </row>
        <row r="2624">
          <cell r="A2624" t="str">
            <v>51741-10002414AALF</v>
          </cell>
          <cell r="B2624"/>
          <cell r="C2624"/>
          <cell r="D2624"/>
          <cell r="E2624"/>
          <cell r="F2624"/>
          <cell r="G2624">
            <v>4.4999999999999998E-2</v>
          </cell>
          <cell r="H2624"/>
          <cell r="I2624"/>
          <cell r="J2624"/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>
            <v>3.0000000000000001E-3</v>
          </cell>
        </row>
        <row r="2625">
          <cell r="A2625" t="str">
            <v>51741-10002414CCLF</v>
          </cell>
          <cell r="B2625"/>
          <cell r="C2625"/>
          <cell r="D2625"/>
          <cell r="E2625"/>
          <cell r="F2625"/>
          <cell r="G2625">
            <v>3.3099999999999997E-2</v>
          </cell>
          <cell r="H2625"/>
          <cell r="I2625"/>
          <cell r="J2625"/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>
            <v>3.0000000000000001E-3</v>
          </cell>
        </row>
        <row r="2626">
          <cell r="A2626" t="str">
            <v>51741-10002805AALF</v>
          </cell>
          <cell r="B2626"/>
          <cell r="C2626"/>
          <cell r="D2626"/>
          <cell r="E2626"/>
          <cell r="F2626"/>
          <cell r="G2626">
            <v>1.9800000000000002E-2</v>
          </cell>
          <cell r="H2626"/>
          <cell r="I2626"/>
          <cell r="J2626"/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>
            <v>1.11E-2</v>
          </cell>
        </row>
        <row r="2627">
          <cell r="A2627" t="str">
            <v>51741-10002806CCLF</v>
          </cell>
          <cell r="B2627"/>
          <cell r="C2627"/>
          <cell r="D2627"/>
          <cell r="E2627"/>
          <cell r="F2627"/>
          <cell r="G2627">
            <v>2.1132430000000001E-2</v>
          </cell>
          <cell r="H2627"/>
          <cell r="I2627"/>
          <cell r="J2627"/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>
            <v>4.0000000000000001E-3</v>
          </cell>
        </row>
        <row r="2628">
          <cell r="A2628" t="str">
            <v>51741-10002808CCLF</v>
          </cell>
          <cell r="B2628"/>
          <cell r="C2628"/>
          <cell r="D2628"/>
          <cell r="E2628"/>
          <cell r="F2628"/>
          <cell r="G2628">
            <v>2.7E-2</v>
          </cell>
          <cell r="H2628"/>
          <cell r="I2628"/>
          <cell r="J2628"/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>
            <v>4.0000000000000001E-3</v>
          </cell>
        </row>
        <row r="2629">
          <cell r="A2629" t="str">
            <v>51741-10002812AALF</v>
          </cell>
          <cell r="B2629"/>
          <cell r="C2629"/>
          <cell r="D2629"/>
          <cell r="E2629"/>
          <cell r="F2629"/>
          <cell r="G2629">
            <v>3.7999999999999999E-2</v>
          </cell>
          <cell r="H2629"/>
          <cell r="I2629"/>
          <cell r="J2629"/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>
            <v>4.0000000000000001E-3</v>
          </cell>
        </row>
        <row r="2630">
          <cell r="A2630" t="str">
            <v>51741-10003202AALF</v>
          </cell>
          <cell r="B2630"/>
          <cell r="C2630"/>
          <cell r="D2630"/>
          <cell r="E2630"/>
          <cell r="F2630"/>
          <cell r="G2630">
            <v>2.1000000000000001E-2</v>
          </cell>
          <cell r="H2630"/>
          <cell r="I2630"/>
          <cell r="J2630"/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>
            <v>4.0000000000000001E-3</v>
          </cell>
        </row>
        <row r="2631">
          <cell r="A2631" t="str">
            <v>51741-10003202CCLF</v>
          </cell>
          <cell r="B2631"/>
          <cell r="C2631"/>
          <cell r="D2631"/>
          <cell r="E2631"/>
          <cell r="F2631"/>
          <cell r="G2631">
            <v>2.1999999999999999E-2</v>
          </cell>
          <cell r="H2631"/>
          <cell r="I2631"/>
          <cell r="J2631"/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>
            <v>1E-3</v>
          </cell>
        </row>
        <row r="2632">
          <cell r="A2632" t="str">
            <v>51741-10003204CCLF</v>
          </cell>
          <cell r="B2632"/>
          <cell r="C2632"/>
          <cell r="D2632"/>
          <cell r="E2632"/>
          <cell r="F2632"/>
          <cell r="G2632">
            <v>2.1999999999999999E-2</v>
          </cell>
          <cell r="H2632"/>
          <cell r="I2632"/>
          <cell r="J2632"/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>
            <v>3.8999999999999998E-3</v>
          </cell>
        </row>
        <row r="2633">
          <cell r="A2633" t="str">
            <v>51741-10003205AALF</v>
          </cell>
          <cell r="B2633"/>
          <cell r="C2633"/>
          <cell r="D2633"/>
          <cell r="E2633"/>
          <cell r="F2633"/>
          <cell r="G2633">
            <v>1.9800000000000002E-2</v>
          </cell>
          <cell r="H2633"/>
          <cell r="I2633"/>
          <cell r="J2633"/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>
            <v>1.1900000000000001E-2</v>
          </cell>
        </row>
        <row r="2634">
          <cell r="A2634" t="str">
            <v>51741-10003206CCLF</v>
          </cell>
          <cell r="B2634"/>
          <cell r="C2634"/>
          <cell r="D2634"/>
          <cell r="E2634"/>
          <cell r="F2634"/>
          <cell r="G2634">
            <v>2.4E-2</v>
          </cell>
          <cell r="H2634"/>
          <cell r="I2634"/>
          <cell r="J2634"/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>
            <v>3.8999999999999998E-3</v>
          </cell>
        </row>
        <row r="2635">
          <cell r="A2635" t="str">
            <v>51741-10003208CCLF</v>
          </cell>
          <cell r="B2635"/>
          <cell r="C2635"/>
          <cell r="D2635"/>
          <cell r="E2635"/>
          <cell r="F2635"/>
          <cell r="G2635">
            <v>2.7E-2</v>
          </cell>
          <cell r="H2635"/>
          <cell r="I2635"/>
          <cell r="J2635"/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>
            <v>4.0000000000000001E-3</v>
          </cell>
        </row>
        <row r="2636">
          <cell r="A2636" t="str">
            <v>51741-10003211AALF</v>
          </cell>
          <cell r="B2636"/>
          <cell r="C2636"/>
          <cell r="D2636"/>
          <cell r="E2636"/>
          <cell r="F2636"/>
          <cell r="G2636">
            <v>1.8599999999999998E-2</v>
          </cell>
          <cell r="H2636"/>
          <cell r="I2636"/>
          <cell r="J2636"/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>
            <v>3.8999999999999998E-3</v>
          </cell>
        </row>
        <row r="2637">
          <cell r="A2637" t="str">
            <v>51741-10003212AALF</v>
          </cell>
          <cell r="B2637"/>
          <cell r="C2637"/>
          <cell r="D2637"/>
          <cell r="E2637"/>
          <cell r="F2637"/>
          <cell r="G2637">
            <v>3.7999999999999999E-2</v>
          </cell>
          <cell r="H2637"/>
          <cell r="I2637"/>
          <cell r="J2637"/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>
            <v>4.0000000000000001E-3</v>
          </cell>
        </row>
        <row r="2638">
          <cell r="A2638" t="str">
            <v>51741-10003214AALF</v>
          </cell>
          <cell r="B2638"/>
          <cell r="C2638"/>
          <cell r="D2638"/>
          <cell r="E2638"/>
          <cell r="F2638"/>
          <cell r="G2638">
            <v>4.4999999999999998E-2</v>
          </cell>
          <cell r="H2638"/>
          <cell r="I2638"/>
          <cell r="J2638"/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>
            <v>3.8999999999999998E-3</v>
          </cell>
        </row>
        <row r="2639">
          <cell r="A2639" t="str">
            <v>51741-10003218AALF</v>
          </cell>
          <cell r="B2639"/>
          <cell r="C2639"/>
          <cell r="D2639"/>
          <cell r="E2639"/>
          <cell r="F2639"/>
          <cell r="G2639">
            <v>5.8999999999999997E-2</v>
          </cell>
          <cell r="H2639"/>
          <cell r="I2639"/>
          <cell r="J2639"/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>
            <v>4.0000000000000001E-3</v>
          </cell>
        </row>
        <row r="2640">
          <cell r="A2640" t="str">
            <v>51741-10003220AALF</v>
          </cell>
          <cell r="B2640"/>
          <cell r="C2640"/>
          <cell r="D2640"/>
          <cell r="E2640"/>
          <cell r="F2640"/>
          <cell r="G2640">
            <v>5.0999999999999997E-2</v>
          </cell>
          <cell r="H2640"/>
          <cell r="I2640"/>
          <cell r="J2640"/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>
            <v>3.8999999999999998E-3</v>
          </cell>
        </row>
        <row r="2641">
          <cell r="A2641" t="str">
            <v>51741-10003605CALF</v>
          </cell>
          <cell r="B2641"/>
          <cell r="C2641"/>
          <cell r="D2641"/>
          <cell r="E2641"/>
          <cell r="F2641"/>
          <cell r="G2641">
            <v>3.1E-2</v>
          </cell>
          <cell r="H2641"/>
          <cell r="I2641"/>
          <cell r="J2641"/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>
            <v>4.0000000000000001E-3</v>
          </cell>
        </row>
        <row r="2642">
          <cell r="A2642" t="str">
            <v>51741-10004002AALF</v>
          </cell>
          <cell r="B2642"/>
          <cell r="C2642"/>
          <cell r="D2642"/>
          <cell r="E2642"/>
          <cell r="F2642"/>
          <cell r="G2642">
            <v>2.1000000000000001E-2</v>
          </cell>
          <cell r="H2642"/>
          <cell r="I2642"/>
          <cell r="J2642"/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>
            <v>5.0000000000000001E-3</v>
          </cell>
        </row>
        <row r="2643">
          <cell r="A2643" t="str">
            <v>51741-10004007ACLF</v>
          </cell>
          <cell r="B2643"/>
          <cell r="C2643"/>
          <cell r="D2643"/>
          <cell r="E2643"/>
          <cell r="F2643"/>
          <cell r="G2643">
            <v>2.9000000000000001E-2</v>
          </cell>
          <cell r="H2643"/>
          <cell r="I2643"/>
          <cell r="J2643"/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>
            <v>5.0000000000000001E-3</v>
          </cell>
        </row>
        <row r="2644">
          <cell r="A2644" t="str">
            <v>51741-10004802AALF</v>
          </cell>
          <cell r="B2644"/>
          <cell r="C2644"/>
          <cell r="D2644"/>
          <cell r="E2644"/>
          <cell r="F2644"/>
          <cell r="G2644">
            <v>2.4E-2</v>
          </cell>
          <cell r="H2644"/>
          <cell r="I2644"/>
          <cell r="J2644"/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>
            <v>5.0000000000000001E-3</v>
          </cell>
        </row>
        <row r="2645">
          <cell r="A2645" t="str">
            <v>51741-10004803AALF</v>
          </cell>
          <cell r="B2645"/>
          <cell r="C2645"/>
          <cell r="D2645"/>
          <cell r="E2645"/>
          <cell r="F2645"/>
          <cell r="G2645">
            <v>2.9000000000000001E-2</v>
          </cell>
          <cell r="H2645"/>
          <cell r="I2645"/>
          <cell r="J2645"/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>
            <v>5.0000000000000001E-3</v>
          </cell>
        </row>
        <row r="2646">
          <cell r="A2646" t="str">
            <v>51741-10004807CCLF</v>
          </cell>
          <cell r="B2646"/>
          <cell r="C2646"/>
          <cell r="D2646"/>
          <cell r="E2646"/>
          <cell r="F2646"/>
          <cell r="G2646">
            <v>2.8000000000000001E-2</v>
          </cell>
          <cell r="H2646"/>
          <cell r="I2646"/>
          <cell r="J2646"/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>
            <v>5.0000000000000001E-3</v>
          </cell>
        </row>
        <row r="2647">
          <cell r="A2647" t="str">
            <v>51741-10004808CCLF</v>
          </cell>
          <cell r="B2647"/>
          <cell r="C2647"/>
          <cell r="D2647"/>
          <cell r="E2647"/>
          <cell r="F2647"/>
          <cell r="G2647">
            <v>2.7E-2</v>
          </cell>
          <cell r="H2647"/>
          <cell r="I2647"/>
          <cell r="J2647"/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>
            <v>5.0000000000000001E-3</v>
          </cell>
        </row>
        <row r="2648">
          <cell r="A2648" t="str">
            <v>51741-10006403AALF</v>
          </cell>
          <cell r="B2648"/>
          <cell r="C2648"/>
          <cell r="D2648"/>
          <cell r="E2648"/>
          <cell r="F2648"/>
          <cell r="G2648">
            <v>3.5999999999999997E-2</v>
          </cell>
          <cell r="H2648"/>
          <cell r="I2648"/>
          <cell r="J2648"/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>
            <v>7.0000000000000001E-3</v>
          </cell>
        </row>
        <row r="2649">
          <cell r="A2649" t="str">
            <v>51741-10012002CALF</v>
          </cell>
          <cell r="B2649"/>
          <cell r="C2649"/>
          <cell r="D2649"/>
          <cell r="E2649"/>
          <cell r="F2649"/>
          <cell r="G2649">
            <v>4.7800000000000002E-2</v>
          </cell>
          <cell r="H2649"/>
          <cell r="I2649"/>
          <cell r="J2649"/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>
            <v>1.0999999999999999E-2</v>
          </cell>
        </row>
        <row r="2650">
          <cell r="A2650" t="str">
            <v>51741-B0002406AALF</v>
          </cell>
          <cell r="B2650"/>
          <cell r="C2650"/>
          <cell r="D2650"/>
          <cell r="E2650"/>
          <cell r="F2650"/>
          <cell r="G2650">
            <v>1.12E-2</v>
          </cell>
          <cell r="H2650"/>
          <cell r="I2650"/>
          <cell r="J2650"/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>
            <v>3.0000000000000001E-3</v>
          </cell>
        </row>
        <row r="2651">
          <cell r="A2651" t="str">
            <v>51742-10102000AALF</v>
          </cell>
          <cell r="B2651"/>
          <cell r="C2651"/>
          <cell r="D2651"/>
          <cell r="E2651"/>
          <cell r="F2651"/>
          <cell r="G2651">
            <v>2.1999999999999999E-2</v>
          </cell>
          <cell r="H2651"/>
          <cell r="I2651"/>
          <cell r="J2651"/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>
            <v>3.0000000000000001E-3</v>
          </cell>
        </row>
        <row r="2652">
          <cell r="A2652" t="str">
            <v>51742-10102000CCLF</v>
          </cell>
          <cell r="B2652"/>
          <cell r="C2652"/>
          <cell r="D2652"/>
          <cell r="E2652"/>
          <cell r="F2652"/>
          <cell r="G2652">
            <v>0.02</v>
          </cell>
          <cell r="H2652"/>
          <cell r="I2652"/>
          <cell r="J2652"/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>
            <v>3.0000000000000001E-3</v>
          </cell>
        </row>
        <row r="2653">
          <cell r="A2653" t="str">
            <v>51742-10103600AALF</v>
          </cell>
          <cell r="B2653"/>
          <cell r="C2653"/>
          <cell r="D2653"/>
          <cell r="E2653"/>
          <cell r="F2653"/>
          <cell r="G2653">
            <v>2.1000000000000001E-2</v>
          </cell>
          <cell r="H2653"/>
          <cell r="I2653"/>
          <cell r="J2653"/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>
            <v>4.0000000000000001E-3</v>
          </cell>
        </row>
        <row r="2654">
          <cell r="A2654" t="str">
            <v>51742-10103600CCLF</v>
          </cell>
          <cell r="B2654"/>
          <cell r="C2654"/>
          <cell r="D2654"/>
          <cell r="E2654"/>
          <cell r="F2654"/>
          <cell r="G2654">
            <v>1.3899999999999999E-2</v>
          </cell>
          <cell r="H2654"/>
          <cell r="I2654"/>
          <cell r="J2654"/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>
            <v>4.3E-3</v>
          </cell>
        </row>
        <row r="2655">
          <cell r="A2655" t="str">
            <v>51742-10200400AALF</v>
          </cell>
          <cell r="B2655"/>
          <cell r="C2655"/>
          <cell r="D2655"/>
          <cell r="E2655"/>
          <cell r="F2655"/>
          <cell r="G2655">
            <v>2.4E-2</v>
          </cell>
          <cell r="H2655"/>
          <cell r="I2655"/>
          <cell r="J2655"/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>
            <v>2E-3</v>
          </cell>
        </row>
        <row r="2656">
          <cell r="A2656" t="str">
            <v>51742-10200800AALF</v>
          </cell>
          <cell r="B2656"/>
          <cell r="C2656"/>
          <cell r="D2656"/>
          <cell r="E2656"/>
          <cell r="F2656"/>
          <cell r="G2656">
            <v>2.3E-2</v>
          </cell>
          <cell r="H2656"/>
          <cell r="I2656"/>
          <cell r="J2656"/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>
            <v>1.9E-3</v>
          </cell>
        </row>
        <row r="2657">
          <cell r="A2657" t="str">
            <v>51742-10200800CCLF</v>
          </cell>
          <cell r="B2657"/>
          <cell r="C2657"/>
          <cell r="D2657"/>
          <cell r="E2657"/>
          <cell r="F2657"/>
          <cell r="G2657">
            <v>2.1000000000000001E-2</v>
          </cell>
          <cell r="H2657"/>
          <cell r="I2657"/>
          <cell r="J2657"/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>
            <v>1.9E-3</v>
          </cell>
        </row>
        <row r="2658">
          <cell r="A2658" t="str">
            <v>51742-10201200AALF</v>
          </cell>
          <cell r="B2658"/>
          <cell r="C2658"/>
          <cell r="D2658"/>
          <cell r="E2658"/>
          <cell r="F2658"/>
          <cell r="G2658">
            <v>1.21E-2</v>
          </cell>
          <cell r="H2658"/>
          <cell r="I2658"/>
          <cell r="J2658"/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>
            <v>2.3E-3</v>
          </cell>
        </row>
        <row r="2659">
          <cell r="A2659" t="str">
            <v>51742-10201200ABLF</v>
          </cell>
          <cell r="B2659"/>
          <cell r="C2659"/>
          <cell r="D2659"/>
          <cell r="E2659"/>
          <cell r="F2659"/>
          <cell r="G2659">
            <v>2.1000000000000001E-2</v>
          </cell>
          <cell r="H2659"/>
          <cell r="I2659"/>
          <cell r="J2659"/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>
            <v>2E-3</v>
          </cell>
        </row>
        <row r="2660">
          <cell r="A2660" t="str">
            <v>51742-10201200CCLF</v>
          </cell>
          <cell r="B2660"/>
          <cell r="C2660"/>
          <cell r="D2660"/>
          <cell r="E2660"/>
          <cell r="F2660"/>
          <cell r="G2660">
            <v>4.6750000000000003E-3</v>
          </cell>
          <cell r="H2660"/>
          <cell r="I2660"/>
          <cell r="J2660"/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>
            <v>2E-3</v>
          </cell>
        </row>
        <row r="2661">
          <cell r="A2661" t="str">
            <v>51742-10201600AALF</v>
          </cell>
          <cell r="B2661"/>
          <cell r="C2661"/>
          <cell r="D2661"/>
          <cell r="E2661"/>
          <cell r="F2661"/>
          <cell r="G2661">
            <v>2.12E-2</v>
          </cell>
          <cell r="H2661"/>
          <cell r="I2661"/>
          <cell r="J2661"/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>
            <v>2.5999999999999999E-3</v>
          </cell>
        </row>
        <row r="2662">
          <cell r="A2662" t="str">
            <v>51742-10201600CALF</v>
          </cell>
          <cell r="B2662"/>
          <cell r="C2662"/>
          <cell r="D2662"/>
          <cell r="E2662"/>
          <cell r="F2662"/>
          <cell r="G2662">
            <v>1.2500000000000001E-2</v>
          </cell>
          <cell r="H2662"/>
          <cell r="I2662"/>
          <cell r="J2662"/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>
            <v>3.0000000000000001E-3</v>
          </cell>
        </row>
        <row r="2663">
          <cell r="A2663" t="str">
            <v>51742-10202400AALF</v>
          </cell>
          <cell r="B2663"/>
          <cell r="C2663"/>
          <cell r="D2663"/>
          <cell r="E2663"/>
          <cell r="F2663"/>
          <cell r="G2663">
            <v>1.0991000000000001E-2</v>
          </cell>
          <cell r="H2663"/>
          <cell r="I2663"/>
          <cell r="J2663"/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>
            <v>3.0000000000000001E-3</v>
          </cell>
        </row>
        <row r="2664">
          <cell r="A2664" t="str">
            <v>51742-10202400CALF</v>
          </cell>
          <cell r="B2664"/>
          <cell r="C2664"/>
          <cell r="D2664"/>
          <cell r="E2664"/>
          <cell r="F2664"/>
          <cell r="G2664">
            <v>0.02</v>
          </cell>
          <cell r="H2664"/>
          <cell r="I2664"/>
          <cell r="J2664"/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>
            <v>3.3E-3</v>
          </cell>
        </row>
        <row r="2665">
          <cell r="A2665" t="str">
            <v>51742-10202400CCLF</v>
          </cell>
          <cell r="B2665"/>
          <cell r="C2665"/>
          <cell r="D2665"/>
          <cell r="E2665"/>
          <cell r="F2665"/>
          <cell r="G2665">
            <v>8.6991059999999999E-3</v>
          </cell>
          <cell r="H2665"/>
          <cell r="I2665"/>
          <cell r="J2665"/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>
            <v>3.0000000000000001E-3</v>
          </cell>
        </row>
        <row r="2666">
          <cell r="A2666" t="str">
            <v>51742-10203600AALF</v>
          </cell>
          <cell r="B2666"/>
          <cell r="C2666"/>
          <cell r="D2666"/>
          <cell r="E2666"/>
          <cell r="F2666"/>
          <cell r="G2666">
            <v>2.4E-2</v>
          </cell>
          <cell r="H2666"/>
          <cell r="I2666"/>
          <cell r="J2666"/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>
            <v>4.0000000000000001E-3</v>
          </cell>
        </row>
        <row r="2667">
          <cell r="A2667" t="str">
            <v>51742-10204000AALF</v>
          </cell>
          <cell r="B2667"/>
          <cell r="C2667"/>
          <cell r="D2667"/>
          <cell r="E2667"/>
          <cell r="F2667"/>
          <cell r="G2667">
            <v>2.5999999999999999E-2</v>
          </cell>
          <cell r="H2667"/>
          <cell r="I2667"/>
          <cell r="J2667"/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>
            <v>2.8999999999999998E-3</v>
          </cell>
        </row>
        <row r="2668">
          <cell r="A2668" t="str">
            <v>51742-10204800CCLF</v>
          </cell>
          <cell r="B2668"/>
          <cell r="C2668"/>
          <cell r="D2668"/>
          <cell r="E2668"/>
          <cell r="F2668"/>
          <cell r="G2668">
            <v>2.0199999999999999E-2</v>
          </cell>
          <cell r="H2668"/>
          <cell r="I2668"/>
          <cell r="J2668"/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>
            <v>5.3E-3</v>
          </cell>
        </row>
        <row r="2669">
          <cell r="A2669" t="str">
            <v>51742-10207600AALF</v>
          </cell>
          <cell r="B2669"/>
          <cell r="C2669"/>
          <cell r="D2669"/>
          <cell r="E2669"/>
          <cell r="F2669"/>
          <cell r="G2669">
            <v>1.9300000000000001E-2</v>
          </cell>
          <cell r="H2669"/>
          <cell r="I2669"/>
          <cell r="J2669"/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>
            <v>8.0000000000000002E-3</v>
          </cell>
        </row>
        <row r="2670">
          <cell r="A2670" t="str">
            <v>51742-10214400CCLF</v>
          </cell>
          <cell r="B2670"/>
          <cell r="C2670"/>
          <cell r="D2670"/>
          <cell r="E2670"/>
          <cell r="F2670"/>
          <cell r="G2670">
            <v>6.7000000000000004E-2</v>
          </cell>
          <cell r="H2670"/>
          <cell r="I2670"/>
          <cell r="J2670"/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>
            <v>1.2999999999999999E-2</v>
          </cell>
        </row>
        <row r="2671">
          <cell r="A2671" t="str">
            <v>51742-10300400AALF</v>
          </cell>
          <cell r="B2671"/>
          <cell r="C2671"/>
          <cell r="D2671"/>
          <cell r="E2671"/>
          <cell r="F2671"/>
          <cell r="G2671">
            <v>2.4E-2</v>
          </cell>
          <cell r="H2671"/>
          <cell r="I2671"/>
          <cell r="J2671"/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>
            <v>2E-3</v>
          </cell>
        </row>
        <row r="2672">
          <cell r="A2672" t="str">
            <v>51742-10301600AALF</v>
          </cell>
          <cell r="B2672"/>
          <cell r="C2672"/>
          <cell r="D2672"/>
          <cell r="E2672"/>
          <cell r="F2672"/>
          <cell r="G2672">
            <v>2.3E-2</v>
          </cell>
          <cell r="H2672"/>
          <cell r="I2672"/>
          <cell r="J2672"/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>
            <v>3.0000000000000001E-3</v>
          </cell>
        </row>
        <row r="2673">
          <cell r="A2673" t="str">
            <v>51742-10302000AALF</v>
          </cell>
          <cell r="B2673"/>
          <cell r="C2673"/>
          <cell r="D2673"/>
          <cell r="E2673"/>
          <cell r="F2673"/>
          <cell r="G2673">
            <v>2.8000000000000001E-2</v>
          </cell>
          <cell r="H2673"/>
          <cell r="I2673"/>
          <cell r="J2673"/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>
            <v>4.0000000000000001E-3</v>
          </cell>
        </row>
        <row r="2674">
          <cell r="A2674" t="str">
            <v>51742-10302400CCLF</v>
          </cell>
          <cell r="B2674"/>
          <cell r="C2674"/>
          <cell r="D2674"/>
          <cell r="E2674"/>
          <cell r="F2674"/>
          <cell r="G2674">
            <v>0.02</v>
          </cell>
          <cell r="H2674"/>
          <cell r="I2674"/>
          <cell r="J2674"/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>
            <v>3.0000000000000001E-3</v>
          </cell>
        </row>
        <row r="2675">
          <cell r="A2675" t="str">
            <v>51742-10303200CCLF</v>
          </cell>
          <cell r="B2675"/>
          <cell r="C2675"/>
          <cell r="D2675"/>
          <cell r="E2675"/>
          <cell r="F2675"/>
          <cell r="G2675">
            <v>1.9E-2</v>
          </cell>
          <cell r="H2675"/>
          <cell r="I2675"/>
          <cell r="J2675"/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>
            <v>4.0000000000000001E-3</v>
          </cell>
        </row>
        <row r="2676">
          <cell r="A2676" t="str">
            <v>51742-10400800AALF</v>
          </cell>
          <cell r="B2676"/>
          <cell r="C2676"/>
          <cell r="D2676"/>
          <cell r="E2676"/>
          <cell r="F2676"/>
          <cell r="G2676">
            <v>2.0199999999999999E-2</v>
          </cell>
          <cell r="H2676"/>
          <cell r="I2676"/>
          <cell r="J2676"/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>
            <v>1.9E-3</v>
          </cell>
        </row>
        <row r="2677">
          <cell r="A2677" t="str">
            <v>51742-10400800CCLF</v>
          </cell>
          <cell r="B2677"/>
          <cell r="C2677"/>
          <cell r="D2677"/>
          <cell r="E2677"/>
          <cell r="F2677"/>
          <cell r="G2677">
            <v>2.4E-2</v>
          </cell>
          <cell r="H2677"/>
          <cell r="I2677"/>
          <cell r="J2677"/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>
            <v>3.0000000000000001E-3</v>
          </cell>
        </row>
        <row r="2678">
          <cell r="A2678" t="str">
            <v>51742-10401200AALF</v>
          </cell>
          <cell r="B2678"/>
          <cell r="C2678"/>
          <cell r="D2678"/>
          <cell r="E2678"/>
          <cell r="F2678"/>
          <cell r="G2678">
            <v>2.5999999999999999E-2</v>
          </cell>
          <cell r="H2678"/>
          <cell r="I2678"/>
          <cell r="J2678"/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>
            <v>2E-3</v>
          </cell>
        </row>
        <row r="2679">
          <cell r="A2679" t="str">
            <v>51742-10401200CALF</v>
          </cell>
          <cell r="B2679"/>
          <cell r="C2679"/>
          <cell r="D2679"/>
          <cell r="E2679"/>
          <cell r="F2679"/>
          <cell r="G2679">
            <v>2.3900000000000001E-2</v>
          </cell>
          <cell r="H2679"/>
          <cell r="I2679"/>
          <cell r="J2679"/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>
            <v>2.3E-3</v>
          </cell>
        </row>
        <row r="2680">
          <cell r="A2680" t="str">
            <v>51742-10401200CCLF</v>
          </cell>
          <cell r="B2680"/>
          <cell r="C2680"/>
          <cell r="D2680"/>
          <cell r="E2680"/>
          <cell r="F2680"/>
          <cell r="G2680">
            <v>2.4E-2</v>
          </cell>
          <cell r="H2680"/>
          <cell r="I2680"/>
          <cell r="J2680"/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>
            <v>2.3E-3</v>
          </cell>
        </row>
        <row r="2681">
          <cell r="A2681" t="str">
            <v>51742-10401600AALF</v>
          </cell>
          <cell r="B2681"/>
          <cell r="C2681"/>
          <cell r="D2681"/>
          <cell r="E2681"/>
          <cell r="F2681"/>
          <cell r="G2681">
            <v>2.5999999999999999E-2</v>
          </cell>
          <cell r="H2681"/>
          <cell r="I2681"/>
          <cell r="J2681"/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>
            <v>3.0000000000000001E-3</v>
          </cell>
        </row>
        <row r="2682">
          <cell r="A2682" t="str">
            <v>51742-10401600CALF</v>
          </cell>
          <cell r="B2682"/>
          <cell r="C2682"/>
          <cell r="D2682"/>
          <cell r="E2682"/>
          <cell r="F2682"/>
          <cell r="G2682">
            <v>2.5999999999999999E-2</v>
          </cell>
          <cell r="H2682"/>
          <cell r="I2682"/>
          <cell r="J2682"/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>
            <v>3.0000000000000001E-3</v>
          </cell>
        </row>
        <row r="2683">
          <cell r="A2683" t="str">
            <v>51742-10402000AALF</v>
          </cell>
          <cell r="B2683"/>
          <cell r="C2683"/>
          <cell r="D2683"/>
          <cell r="E2683"/>
          <cell r="F2683"/>
          <cell r="G2683">
            <v>2.2283000000000001E-2</v>
          </cell>
          <cell r="H2683"/>
          <cell r="I2683"/>
          <cell r="J2683"/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>
            <v>2.916667E-3</v>
          </cell>
        </row>
        <row r="2684">
          <cell r="A2684" t="str">
            <v>51742-10402000CCLF</v>
          </cell>
          <cell r="B2684"/>
          <cell r="C2684"/>
          <cell r="D2684"/>
          <cell r="E2684"/>
          <cell r="F2684"/>
          <cell r="G2684">
            <v>9.9000000000000008E-3</v>
          </cell>
          <cell r="H2684"/>
          <cell r="I2684"/>
          <cell r="J2684"/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>
            <v>2.8999999999999998E-3</v>
          </cell>
        </row>
        <row r="2685">
          <cell r="A2685" t="str">
            <v>51742-10402400AALF</v>
          </cell>
          <cell r="B2685"/>
          <cell r="C2685"/>
          <cell r="D2685"/>
          <cell r="E2685"/>
          <cell r="F2685"/>
          <cell r="G2685">
            <v>1.2090999999999999E-2</v>
          </cell>
          <cell r="H2685"/>
          <cell r="I2685"/>
          <cell r="J2685"/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>
            <v>3.2499999999999999E-3</v>
          </cell>
        </row>
        <row r="2686">
          <cell r="A2686" t="str">
            <v>51742-10402400CALF</v>
          </cell>
          <cell r="B2686"/>
          <cell r="C2686"/>
          <cell r="D2686"/>
          <cell r="E2686"/>
          <cell r="F2686"/>
          <cell r="G2686">
            <v>2.5000000000000001E-2</v>
          </cell>
          <cell r="H2686"/>
          <cell r="I2686"/>
          <cell r="J2686"/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>
            <v>3.0000000000000001E-3</v>
          </cell>
        </row>
        <row r="2687">
          <cell r="A2687" t="str">
            <v>51742-10402400CCLF</v>
          </cell>
          <cell r="B2687"/>
          <cell r="C2687"/>
          <cell r="D2687"/>
          <cell r="E2687"/>
          <cell r="F2687"/>
          <cell r="G2687">
            <v>1.1068E-2</v>
          </cell>
          <cell r="H2687"/>
          <cell r="I2687"/>
          <cell r="J2687"/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>
            <v>3.2499999999999999E-3</v>
          </cell>
        </row>
        <row r="2688">
          <cell r="A2688" t="str">
            <v>51742-10403200AALF</v>
          </cell>
          <cell r="B2688"/>
          <cell r="C2688"/>
          <cell r="D2688"/>
          <cell r="E2688"/>
          <cell r="F2688"/>
          <cell r="G2688">
            <v>1.7018182E-2</v>
          </cell>
          <cell r="H2688"/>
          <cell r="I2688"/>
          <cell r="J2688"/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>
            <v>3.9166670000000004E-3</v>
          </cell>
        </row>
        <row r="2689">
          <cell r="A2689" t="str">
            <v>51742-10403200CALF</v>
          </cell>
          <cell r="B2689"/>
          <cell r="C2689"/>
          <cell r="D2689"/>
          <cell r="E2689"/>
          <cell r="F2689"/>
          <cell r="G2689">
            <v>2.1999999999999999E-2</v>
          </cell>
          <cell r="H2689"/>
          <cell r="I2689"/>
          <cell r="J2689"/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>
            <v>4.0000000000000001E-3</v>
          </cell>
        </row>
        <row r="2690">
          <cell r="A2690" t="str">
            <v>51742-10403200CCLF</v>
          </cell>
          <cell r="B2690"/>
          <cell r="C2690"/>
          <cell r="D2690"/>
          <cell r="E2690"/>
          <cell r="F2690"/>
          <cell r="G2690">
            <v>2.1000000000000001E-2</v>
          </cell>
          <cell r="H2690"/>
          <cell r="I2690"/>
          <cell r="J2690"/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>
            <v>4.0000000000000001E-3</v>
          </cell>
        </row>
        <row r="2691">
          <cell r="A2691" t="str">
            <v>51742-10404800AALF</v>
          </cell>
          <cell r="B2691"/>
          <cell r="C2691"/>
          <cell r="D2691"/>
          <cell r="E2691"/>
          <cell r="F2691"/>
          <cell r="G2691">
            <v>2.1999999999999999E-2</v>
          </cell>
          <cell r="H2691"/>
          <cell r="I2691"/>
          <cell r="J2691"/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>
            <v>5.0000000000000001E-3</v>
          </cell>
        </row>
        <row r="2692">
          <cell r="A2692" t="str">
            <v>51742-10406000AALF</v>
          </cell>
          <cell r="B2692"/>
          <cell r="C2692"/>
          <cell r="D2692"/>
          <cell r="E2692"/>
          <cell r="F2692"/>
          <cell r="G2692">
            <v>2.9000000000000001E-2</v>
          </cell>
          <cell r="H2692"/>
          <cell r="I2692"/>
          <cell r="J2692"/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>
            <v>6.3E-3</v>
          </cell>
        </row>
        <row r="2693">
          <cell r="A2693" t="str">
            <v>51742-10501600AALF</v>
          </cell>
          <cell r="B2693"/>
          <cell r="C2693"/>
          <cell r="D2693"/>
          <cell r="E2693"/>
          <cell r="F2693"/>
          <cell r="G2693">
            <v>2.4E-2</v>
          </cell>
          <cell r="H2693"/>
          <cell r="I2693"/>
          <cell r="J2693"/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>
            <v>2.5999999999999999E-3</v>
          </cell>
        </row>
        <row r="2694">
          <cell r="A2694" t="str">
            <v>51742-10502400AALF</v>
          </cell>
          <cell r="B2694"/>
          <cell r="C2694"/>
          <cell r="D2694"/>
          <cell r="E2694"/>
          <cell r="F2694"/>
          <cell r="G2694">
            <v>2.4E-2</v>
          </cell>
          <cell r="H2694"/>
          <cell r="I2694"/>
          <cell r="J2694"/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>
            <v>3.3E-3</v>
          </cell>
        </row>
        <row r="2695">
          <cell r="A2695" t="str">
            <v>51742-10600800AALF</v>
          </cell>
          <cell r="B2695"/>
          <cell r="C2695"/>
          <cell r="D2695"/>
          <cell r="E2695"/>
          <cell r="F2695"/>
          <cell r="G2695">
            <v>2.9000000000000001E-2</v>
          </cell>
          <cell r="H2695"/>
          <cell r="I2695"/>
          <cell r="J2695"/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>
            <v>1.9E-3</v>
          </cell>
        </row>
        <row r="2696">
          <cell r="A2696" t="str">
            <v>51742-10600800CCLF</v>
          </cell>
          <cell r="B2696"/>
          <cell r="C2696"/>
          <cell r="D2696"/>
          <cell r="E2696"/>
          <cell r="F2696"/>
          <cell r="G2696">
            <v>2.7E-2</v>
          </cell>
          <cell r="H2696"/>
          <cell r="I2696"/>
          <cell r="J2696"/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>
            <v>1.9E-3</v>
          </cell>
        </row>
        <row r="2697">
          <cell r="A2697" t="str">
            <v>51742-10601200AALF</v>
          </cell>
          <cell r="B2697"/>
          <cell r="C2697"/>
          <cell r="D2697"/>
          <cell r="E2697"/>
          <cell r="F2697"/>
          <cell r="G2697">
            <v>2.8000000000000001E-2</v>
          </cell>
          <cell r="H2697"/>
          <cell r="I2697"/>
          <cell r="J2697"/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>
            <v>2E-3</v>
          </cell>
        </row>
        <row r="2698">
          <cell r="A2698" t="str">
            <v>51742-10601200CCLF</v>
          </cell>
          <cell r="B2698"/>
          <cell r="C2698"/>
          <cell r="D2698"/>
          <cell r="E2698"/>
          <cell r="F2698"/>
          <cell r="G2698">
            <v>2.8000000000000001E-2</v>
          </cell>
          <cell r="H2698"/>
          <cell r="I2698"/>
          <cell r="J2698"/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>
            <v>2E-3</v>
          </cell>
        </row>
        <row r="2699">
          <cell r="A2699" t="str">
            <v>51742-10601600AALF</v>
          </cell>
          <cell r="B2699"/>
          <cell r="C2699"/>
          <cell r="D2699"/>
          <cell r="E2699"/>
          <cell r="F2699"/>
          <cell r="G2699">
            <v>1.3218524000000001E-2</v>
          </cell>
          <cell r="H2699"/>
          <cell r="I2699"/>
          <cell r="J2699"/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>
            <v>2.5833330000000002E-3</v>
          </cell>
        </row>
        <row r="2700">
          <cell r="A2700" t="str">
            <v>51742-10601600CCLF</v>
          </cell>
          <cell r="B2700"/>
          <cell r="C2700"/>
          <cell r="D2700"/>
          <cell r="E2700"/>
          <cell r="F2700"/>
          <cell r="G2700">
            <v>2.5999999999999999E-2</v>
          </cell>
          <cell r="H2700"/>
          <cell r="I2700"/>
          <cell r="J2700"/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>
            <v>3.0000000000000001E-3</v>
          </cell>
        </row>
        <row r="2701">
          <cell r="A2701" t="str">
            <v>51742-10602000AALF</v>
          </cell>
          <cell r="B2701"/>
          <cell r="C2701"/>
          <cell r="D2701"/>
          <cell r="E2701"/>
          <cell r="F2701"/>
          <cell r="G2701">
            <v>1.7863275000000001E-2</v>
          </cell>
          <cell r="H2701"/>
          <cell r="I2701"/>
          <cell r="J2701"/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>
            <v>3.0000000000000001E-3</v>
          </cell>
        </row>
        <row r="2702">
          <cell r="A2702" t="str">
            <v>51742-10602000ACLF</v>
          </cell>
          <cell r="B2702"/>
          <cell r="C2702"/>
          <cell r="D2702"/>
          <cell r="E2702"/>
          <cell r="F2702"/>
          <cell r="G2702">
            <v>2.3E-2</v>
          </cell>
          <cell r="H2702"/>
          <cell r="I2702"/>
          <cell r="J2702"/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>
            <v>7.0000000000000001E-3</v>
          </cell>
        </row>
        <row r="2703">
          <cell r="A2703" t="str">
            <v>51742-10602000CALF</v>
          </cell>
          <cell r="B2703"/>
          <cell r="C2703"/>
          <cell r="D2703"/>
          <cell r="E2703"/>
          <cell r="F2703"/>
          <cell r="G2703">
            <v>2.8000000000000001E-2</v>
          </cell>
          <cell r="H2703"/>
          <cell r="I2703"/>
          <cell r="J2703"/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>
            <v>3.0000000000000001E-3</v>
          </cell>
        </row>
        <row r="2704">
          <cell r="A2704" t="str">
            <v>51742-10602000CCLF</v>
          </cell>
          <cell r="B2704"/>
          <cell r="C2704"/>
          <cell r="D2704"/>
          <cell r="E2704"/>
          <cell r="F2704"/>
          <cell r="G2704">
            <v>1.5085377000000001E-2</v>
          </cell>
          <cell r="H2704"/>
          <cell r="I2704"/>
          <cell r="J2704"/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>
            <v>2.916667E-3</v>
          </cell>
        </row>
        <row r="2705">
          <cell r="A2705" t="str">
            <v>51742-10602400AALF</v>
          </cell>
          <cell r="B2705"/>
          <cell r="C2705"/>
          <cell r="D2705"/>
          <cell r="E2705"/>
          <cell r="F2705"/>
          <cell r="G2705">
            <v>2.7E-2</v>
          </cell>
          <cell r="H2705"/>
          <cell r="I2705"/>
          <cell r="J2705"/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>
            <v>3.3E-3</v>
          </cell>
        </row>
        <row r="2706">
          <cell r="A2706" t="str">
            <v>51742-10602400ABLF</v>
          </cell>
          <cell r="B2706"/>
          <cell r="C2706"/>
          <cell r="D2706"/>
          <cell r="E2706"/>
          <cell r="F2706"/>
          <cell r="G2706">
            <v>2.5000000000000001E-2</v>
          </cell>
          <cell r="H2706"/>
          <cell r="I2706"/>
          <cell r="J2706"/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>
            <v>3.3E-3</v>
          </cell>
        </row>
        <row r="2707">
          <cell r="A2707" t="str">
            <v>51742-10602400ACLF</v>
          </cell>
          <cell r="B2707"/>
          <cell r="C2707"/>
          <cell r="D2707"/>
          <cell r="E2707"/>
          <cell r="F2707"/>
          <cell r="G2707">
            <v>2.5000000000000001E-2</v>
          </cell>
          <cell r="H2707"/>
          <cell r="I2707"/>
          <cell r="J2707"/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>
            <v>3.0000000000000001E-3</v>
          </cell>
        </row>
        <row r="2708">
          <cell r="A2708" t="str">
            <v>51742-10602400CALF</v>
          </cell>
          <cell r="B2708"/>
          <cell r="C2708"/>
          <cell r="D2708"/>
          <cell r="E2708"/>
          <cell r="F2708"/>
          <cell r="G2708">
            <v>2.7E-2</v>
          </cell>
          <cell r="H2708"/>
          <cell r="I2708"/>
          <cell r="J2708"/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>
            <v>3.3E-3</v>
          </cell>
        </row>
        <row r="2709">
          <cell r="A2709" t="str">
            <v>51742-10602400CCLF</v>
          </cell>
          <cell r="B2709"/>
          <cell r="C2709"/>
          <cell r="D2709"/>
          <cell r="E2709"/>
          <cell r="F2709"/>
          <cell r="G2709">
            <v>2.5000000000000001E-2</v>
          </cell>
          <cell r="H2709"/>
          <cell r="I2709"/>
          <cell r="J2709"/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>
            <v>3.0000000000000001E-3</v>
          </cell>
        </row>
        <row r="2710">
          <cell r="A2710" t="str">
            <v>51742-10603200AALF</v>
          </cell>
          <cell r="B2710"/>
          <cell r="C2710"/>
          <cell r="D2710"/>
          <cell r="E2710"/>
          <cell r="F2710"/>
          <cell r="G2710">
            <v>2.4799999999999999E-2</v>
          </cell>
          <cell r="H2710"/>
          <cell r="I2710"/>
          <cell r="J2710"/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>
            <v>4.0000000000000001E-3</v>
          </cell>
        </row>
        <row r="2711">
          <cell r="A2711" t="str">
            <v>51742-10603600AALF</v>
          </cell>
          <cell r="B2711"/>
          <cell r="C2711"/>
          <cell r="D2711"/>
          <cell r="E2711"/>
          <cell r="F2711"/>
          <cell r="G2711">
            <v>2.5999999999999999E-2</v>
          </cell>
          <cell r="H2711"/>
          <cell r="I2711"/>
          <cell r="J2711"/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>
            <v>4.0000000000000001E-3</v>
          </cell>
        </row>
        <row r="2712">
          <cell r="A2712" t="str">
            <v>51742-10603600CCLF</v>
          </cell>
          <cell r="B2712"/>
          <cell r="C2712"/>
          <cell r="D2712"/>
          <cell r="E2712"/>
          <cell r="F2712"/>
          <cell r="G2712">
            <v>2.4E-2</v>
          </cell>
          <cell r="H2712"/>
          <cell r="I2712"/>
          <cell r="J2712"/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>
            <v>4.0000000000000001E-3</v>
          </cell>
        </row>
        <row r="2713">
          <cell r="A2713" t="str">
            <v>51742-10604000AALF</v>
          </cell>
          <cell r="B2713"/>
          <cell r="C2713"/>
          <cell r="D2713"/>
          <cell r="E2713"/>
          <cell r="F2713"/>
          <cell r="G2713">
            <v>2.5999999999999999E-2</v>
          </cell>
          <cell r="H2713"/>
          <cell r="I2713"/>
          <cell r="J2713"/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>
            <v>5.0000000000000001E-3</v>
          </cell>
        </row>
        <row r="2714">
          <cell r="A2714" t="str">
            <v>51742-10610400AALF</v>
          </cell>
          <cell r="B2714"/>
          <cell r="C2714"/>
          <cell r="D2714"/>
          <cell r="E2714"/>
          <cell r="F2714"/>
          <cell r="G2714">
            <v>0.05</v>
          </cell>
          <cell r="H2714"/>
          <cell r="I2714"/>
          <cell r="J2714"/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>
            <v>0.01</v>
          </cell>
        </row>
        <row r="2715">
          <cell r="A2715" t="str">
            <v>51742-10702400AALF</v>
          </cell>
          <cell r="B2715"/>
          <cell r="C2715"/>
          <cell r="D2715"/>
          <cell r="E2715"/>
          <cell r="F2715"/>
          <cell r="G2715">
            <v>3.2000000000000001E-2</v>
          </cell>
          <cell r="H2715"/>
          <cell r="I2715"/>
          <cell r="J2715"/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>
            <v>3.3E-3</v>
          </cell>
        </row>
        <row r="2716">
          <cell r="A2716" t="str">
            <v>51742-10704000ACLF</v>
          </cell>
          <cell r="B2716"/>
          <cell r="C2716"/>
          <cell r="D2716"/>
          <cell r="E2716"/>
          <cell r="F2716"/>
          <cell r="G2716">
            <v>2.9000000000000001E-2</v>
          </cell>
          <cell r="H2716"/>
          <cell r="I2716"/>
          <cell r="J2716"/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>
            <v>5.0000000000000001E-3</v>
          </cell>
        </row>
        <row r="2717">
          <cell r="A2717" t="str">
            <v>51742-10800800AALF</v>
          </cell>
          <cell r="B2717"/>
          <cell r="C2717"/>
          <cell r="D2717"/>
          <cell r="E2717"/>
          <cell r="F2717"/>
          <cell r="G2717">
            <v>3.1E-2</v>
          </cell>
          <cell r="H2717"/>
          <cell r="I2717"/>
          <cell r="J2717"/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>
            <v>2E-3</v>
          </cell>
        </row>
        <row r="2718">
          <cell r="A2718" t="str">
            <v>51742-10801200AALF</v>
          </cell>
          <cell r="B2718"/>
          <cell r="C2718"/>
          <cell r="D2718"/>
          <cell r="E2718"/>
          <cell r="F2718"/>
          <cell r="G2718">
            <v>0.03</v>
          </cell>
          <cell r="H2718"/>
          <cell r="I2718"/>
          <cell r="J2718"/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>
            <v>2E-3</v>
          </cell>
        </row>
        <row r="2719">
          <cell r="A2719" t="str">
            <v>51742-10801600AALF</v>
          </cell>
          <cell r="B2719"/>
          <cell r="C2719"/>
          <cell r="D2719"/>
          <cell r="E2719"/>
          <cell r="F2719"/>
          <cell r="G2719">
            <v>0.03</v>
          </cell>
          <cell r="H2719"/>
          <cell r="I2719"/>
          <cell r="J2719"/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>
            <v>3.0000000000000001E-3</v>
          </cell>
        </row>
        <row r="2720">
          <cell r="A2720" t="str">
            <v>51742-10801600CALF</v>
          </cell>
          <cell r="B2720"/>
          <cell r="C2720"/>
          <cell r="D2720"/>
          <cell r="E2720"/>
          <cell r="F2720"/>
          <cell r="G2720">
            <v>3.2000000000000001E-2</v>
          </cell>
          <cell r="H2720"/>
          <cell r="I2720"/>
          <cell r="J2720"/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>
            <v>3.0000000000000001E-3</v>
          </cell>
        </row>
        <row r="2721">
          <cell r="A2721" t="str">
            <v>51742-10801600CCLF</v>
          </cell>
          <cell r="B2721"/>
          <cell r="C2721"/>
          <cell r="D2721"/>
          <cell r="E2721"/>
          <cell r="F2721"/>
          <cell r="G2721">
            <v>4.4999999999999998E-2</v>
          </cell>
          <cell r="H2721"/>
          <cell r="I2721"/>
          <cell r="J2721"/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>
            <v>2E-3</v>
          </cell>
        </row>
        <row r="2722">
          <cell r="A2722" t="str">
            <v>51742-10802400AALF</v>
          </cell>
          <cell r="B2722"/>
          <cell r="C2722"/>
          <cell r="D2722"/>
          <cell r="E2722"/>
          <cell r="F2722"/>
          <cell r="G2722">
            <v>2.6679999999999999E-2</v>
          </cell>
          <cell r="H2722"/>
          <cell r="I2722"/>
          <cell r="J2722"/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>
            <v>3.0000000000000001E-3</v>
          </cell>
        </row>
        <row r="2723">
          <cell r="A2723" t="str">
            <v>51742-10802400ACLF</v>
          </cell>
          <cell r="B2723"/>
          <cell r="C2723"/>
          <cell r="D2723"/>
          <cell r="E2723"/>
          <cell r="F2723"/>
          <cell r="G2723">
            <v>2.7E-2</v>
          </cell>
          <cell r="H2723"/>
          <cell r="I2723"/>
          <cell r="J2723"/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>
            <v>3.3E-3</v>
          </cell>
        </row>
        <row r="2724">
          <cell r="A2724" t="str">
            <v>51742-10802400CALF</v>
          </cell>
          <cell r="B2724"/>
          <cell r="C2724"/>
          <cell r="D2724"/>
          <cell r="E2724"/>
          <cell r="F2724"/>
          <cell r="G2724">
            <v>2.9000000000000001E-2</v>
          </cell>
          <cell r="H2724"/>
          <cell r="I2724"/>
          <cell r="J2724"/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>
            <v>3.0000000000000001E-3</v>
          </cell>
        </row>
        <row r="2725">
          <cell r="A2725" t="str">
            <v>51742-10802400CCLF</v>
          </cell>
          <cell r="B2725"/>
          <cell r="C2725"/>
          <cell r="D2725"/>
          <cell r="E2725"/>
          <cell r="F2725"/>
          <cell r="G2725">
            <v>1.2572010999999999E-2</v>
          </cell>
          <cell r="H2725"/>
          <cell r="I2725"/>
          <cell r="J2725"/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>
            <v>3.2499999999999999E-3</v>
          </cell>
        </row>
        <row r="2726">
          <cell r="A2726" t="str">
            <v>51742-10802800CALF</v>
          </cell>
          <cell r="B2726"/>
          <cell r="C2726"/>
          <cell r="D2726"/>
          <cell r="E2726"/>
          <cell r="F2726"/>
          <cell r="G2726">
            <v>2.9000000000000001E-2</v>
          </cell>
          <cell r="H2726"/>
          <cell r="I2726"/>
          <cell r="J2726"/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>
            <v>4.0000000000000001E-3</v>
          </cell>
        </row>
        <row r="2727">
          <cell r="A2727" t="str">
            <v>51742-10804400AALF</v>
          </cell>
          <cell r="B2727"/>
          <cell r="C2727"/>
          <cell r="D2727"/>
          <cell r="E2727"/>
          <cell r="F2727"/>
          <cell r="G2727">
            <v>2.7E-2</v>
          </cell>
          <cell r="H2727"/>
          <cell r="I2727"/>
          <cell r="J2727"/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>
            <v>5.0000000000000001E-3</v>
          </cell>
        </row>
        <row r="2728">
          <cell r="A2728" t="str">
            <v>51742-10901600CCLF</v>
          </cell>
          <cell r="B2728"/>
          <cell r="C2728"/>
          <cell r="D2728"/>
          <cell r="E2728"/>
          <cell r="F2728"/>
          <cell r="G2728">
            <v>1.3075410000000001E-2</v>
          </cell>
          <cell r="H2728"/>
          <cell r="I2728"/>
          <cell r="J2728"/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>
            <v>3.0000000000000001E-3</v>
          </cell>
        </row>
        <row r="2729">
          <cell r="A2729" t="str">
            <v>51742-10902000AALF</v>
          </cell>
          <cell r="B2729"/>
          <cell r="C2729"/>
          <cell r="D2729"/>
          <cell r="E2729"/>
          <cell r="F2729"/>
          <cell r="G2729">
            <v>2.8000000000000001E-2</v>
          </cell>
          <cell r="H2729"/>
          <cell r="I2729"/>
          <cell r="J2729"/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>
            <v>3.0000000000000001E-3</v>
          </cell>
        </row>
        <row r="2730">
          <cell r="A2730" t="str">
            <v>51742-11001200AALF</v>
          </cell>
          <cell r="B2730"/>
          <cell r="C2730"/>
          <cell r="D2730"/>
          <cell r="E2730"/>
          <cell r="F2730"/>
          <cell r="G2730">
            <v>3.2000000000000001E-2</v>
          </cell>
          <cell r="H2730"/>
          <cell r="I2730"/>
          <cell r="J2730"/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>
            <v>2E-3</v>
          </cell>
        </row>
        <row r="2731">
          <cell r="A2731" t="str">
            <v>51742-11001600CALF</v>
          </cell>
          <cell r="B2731"/>
          <cell r="C2731"/>
          <cell r="D2731"/>
          <cell r="E2731"/>
          <cell r="F2731"/>
          <cell r="G2731">
            <v>1.46E-2</v>
          </cell>
          <cell r="H2731"/>
          <cell r="I2731"/>
          <cell r="J2731"/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>
            <v>3.0000000000000001E-3</v>
          </cell>
        </row>
        <row r="2732">
          <cell r="A2732" t="str">
            <v>51742-11002400AALF</v>
          </cell>
          <cell r="B2732"/>
          <cell r="C2732"/>
          <cell r="D2732"/>
          <cell r="E2732"/>
          <cell r="F2732"/>
          <cell r="G2732">
            <v>3.1E-2</v>
          </cell>
          <cell r="H2732"/>
          <cell r="I2732"/>
          <cell r="J2732"/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>
            <v>3.0000000000000001E-3</v>
          </cell>
        </row>
        <row r="2733">
          <cell r="A2733" t="str">
            <v>51742-11002400CCLF</v>
          </cell>
          <cell r="B2733"/>
          <cell r="C2733"/>
          <cell r="D2733"/>
          <cell r="E2733"/>
          <cell r="F2733"/>
          <cell r="G2733">
            <v>3.1E-2</v>
          </cell>
          <cell r="H2733"/>
          <cell r="I2733"/>
          <cell r="J2733"/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>
            <v>3.0000000000000001E-3</v>
          </cell>
        </row>
        <row r="2734">
          <cell r="A2734" t="str">
            <v>51742-11003200CCLF</v>
          </cell>
          <cell r="B2734"/>
          <cell r="C2734"/>
          <cell r="D2734"/>
          <cell r="E2734"/>
          <cell r="F2734"/>
          <cell r="G2734">
            <v>2.9000000000000001E-2</v>
          </cell>
          <cell r="H2734"/>
          <cell r="I2734"/>
          <cell r="J2734"/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>
            <v>4.0000000000000001E-3</v>
          </cell>
        </row>
        <row r="2735">
          <cell r="A2735" t="str">
            <v>51742-11202000AALF</v>
          </cell>
          <cell r="B2735"/>
          <cell r="C2735"/>
          <cell r="D2735"/>
          <cell r="E2735"/>
          <cell r="F2735"/>
          <cell r="G2735">
            <v>2.4299999999999999E-2</v>
          </cell>
          <cell r="H2735"/>
          <cell r="I2735"/>
          <cell r="J2735"/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>
            <v>2.8999999999999998E-3</v>
          </cell>
        </row>
        <row r="2736">
          <cell r="A2736" t="str">
            <v>51742-11202000CCLF</v>
          </cell>
          <cell r="B2736"/>
          <cell r="C2736"/>
          <cell r="D2736"/>
          <cell r="E2736"/>
          <cell r="F2736"/>
          <cell r="G2736">
            <v>1.0869409E-2</v>
          </cell>
          <cell r="H2736"/>
          <cell r="I2736"/>
          <cell r="J2736"/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>
            <v>3.0000000000000001E-3</v>
          </cell>
        </row>
        <row r="2737">
          <cell r="A2737" t="str">
            <v>51742-11202400AALF</v>
          </cell>
          <cell r="B2737"/>
          <cell r="C2737"/>
          <cell r="D2737"/>
          <cell r="E2737"/>
          <cell r="F2737"/>
          <cell r="G2737">
            <v>3.7999999999999999E-2</v>
          </cell>
          <cell r="H2737"/>
          <cell r="I2737"/>
          <cell r="J2737"/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>
            <v>3.0000000000000001E-3</v>
          </cell>
        </row>
        <row r="2738">
          <cell r="A2738" t="str">
            <v>51742-11202400CCLF</v>
          </cell>
          <cell r="B2738"/>
          <cell r="C2738"/>
          <cell r="D2738"/>
          <cell r="E2738"/>
          <cell r="F2738"/>
          <cell r="G2738">
            <v>3.5999999999999997E-2</v>
          </cell>
          <cell r="H2738"/>
          <cell r="I2738"/>
          <cell r="J2738"/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>
            <v>3.0000000000000001E-3</v>
          </cell>
        </row>
        <row r="2739">
          <cell r="A2739" t="str">
            <v>51742-11301200AALF</v>
          </cell>
          <cell r="B2739"/>
          <cell r="C2739"/>
          <cell r="D2739"/>
          <cell r="E2739"/>
          <cell r="F2739"/>
          <cell r="G2739">
            <v>4.2999999999999997E-2</v>
          </cell>
          <cell r="H2739"/>
          <cell r="I2739"/>
          <cell r="J2739"/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>
            <v>2E-3</v>
          </cell>
        </row>
        <row r="2740">
          <cell r="A2740" t="str">
            <v>51742-11402400AALF</v>
          </cell>
          <cell r="B2740"/>
          <cell r="C2740"/>
          <cell r="D2740"/>
          <cell r="E2740"/>
          <cell r="F2740"/>
          <cell r="G2740">
            <v>4.4999999999999998E-2</v>
          </cell>
          <cell r="H2740"/>
          <cell r="I2740"/>
          <cell r="J2740"/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>
            <v>3.0000000000000001E-3</v>
          </cell>
        </row>
        <row r="2741">
          <cell r="A2741" t="str">
            <v>51742-11402400CCLF</v>
          </cell>
          <cell r="B2741"/>
          <cell r="C2741"/>
          <cell r="D2741"/>
          <cell r="E2741"/>
          <cell r="F2741"/>
          <cell r="G2741">
            <v>4.2000000000000003E-2</v>
          </cell>
          <cell r="H2741"/>
          <cell r="I2741"/>
          <cell r="J2741"/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>
            <v>3.2499999999999999E-3</v>
          </cell>
        </row>
        <row r="2742">
          <cell r="A2742" t="str">
            <v>51742-11403200AALF</v>
          </cell>
          <cell r="B2742"/>
          <cell r="C2742"/>
          <cell r="D2742"/>
          <cell r="E2742"/>
          <cell r="F2742"/>
          <cell r="G2742">
            <v>2.6800000000000001E-2</v>
          </cell>
          <cell r="H2742"/>
          <cell r="I2742"/>
          <cell r="J2742"/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>
            <v>3.8999999999999998E-3</v>
          </cell>
        </row>
        <row r="2743">
          <cell r="A2743" t="str">
            <v>51742-12001200AALF</v>
          </cell>
          <cell r="B2743"/>
          <cell r="C2743"/>
          <cell r="D2743"/>
          <cell r="E2743"/>
          <cell r="F2743"/>
          <cell r="G2743">
            <v>6.7000000000000004E-2</v>
          </cell>
          <cell r="H2743"/>
          <cell r="I2743"/>
          <cell r="J2743"/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>
            <v>2E-3</v>
          </cell>
        </row>
        <row r="2744">
          <cell r="A2744" t="str">
            <v>51742-12002000CCLF</v>
          </cell>
          <cell r="B2744"/>
          <cell r="C2744"/>
          <cell r="D2744"/>
          <cell r="E2744"/>
          <cell r="F2744"/>
          <cell r="G2744">
            <v>4.5999999999999999E-2</v>
          </cell>
          <cell r="H2744"/>
          <cell r="I2744"/>
          <cell r="J2744"/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>
            <v>2.8999999999999998E-3</v>
          </cell>
        </row>
        <row r="2745">
          <cell r="A2745" t="str">
            <v>51742-12002400CALF</v>
          </cell>
          <cell r="B2745"/>
          <cell r="C2745"/>
          <cell r="D2745"/>
          <cell r="E2745"/>
          <cell r="F2745"/>
          <cell r="G2745">
            <v>5.1999999999999998E-2</v>
          </cell>
          <cell r="H2745"/>
          <cell r="I2745"/>
          <cell r="J2745"/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>
            <v>3.3E-3</v>
          </cell>
        </row>
        <row r="2746">
          <cell r="A2746" t="str">
            <v>51742-B0602400CCLF</v>
          </cell>
          <cell r="B2746"/>
          <cell r="C2746"/>
          <cell r="D2746"/>
          <cell r="E2746"/>
          <cell r="F2746"/>
          <cell r="G2746">
            <v>2.5000000000000001E-2</v>
          </cell>
          <cell r="H2746"/>
          <cell r="I2746"/>
          <cell r="J2746"/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>
            <v>3.0000000000000001E-3</v>
          </cell>
        </row>
        <row r="2747">
          <cell r="A2747" t="str">
            <v>51742-B0802400AALF</v>
          </cell>
          <cell r="B2747"/>
          <cell r="C2747"/>
          <cell r="D2747"/>
          <cell r="E2747"/>
          <cell r="F2747"/>
          <cell r="G2747">
            <v>2.6700000000000002E-2</v>
          </cell>
          <cell r="H2747"/>
          <cell r="I2747"/>
          <cell r="J2747"/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>
            <v>3.0000000000000001E-3</v>
          </cell>
        </row>
        <row r="2748">
          <cell r="A2748" t="str">
            <v>51742-G0403200AALF</v>
          </cell>
          <cell r="B2748"/>
          <cell r="C2748"/>
          <cell r="D2748"/>
          <cell r="E2748"/>
          <cell r="F2748"/>
          <cell r="G2748">
            <v>2.4E-2</v>
          </cell>
          <cell r="H2748"/>
          <cell r="I2748"/>
          <cell r="J2748"/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>
            <v>3.9166670000000004E-3</v>
          </cell>
        </row>
        <row r="2749">
          <cell r="A2749" t="str">
            <v>51743-10200000AALF</v>
          </cell>
          <cell r="B2749"/>
          <cell r="C2749"/>
          <cell r="D2749"/>
          <cell r="E2749"/>
          <cell r="F2749"/>
          <cell r="G2749">
            <v>0.02</v>
          </cell>
          <cell r="H2749"/>
          <cell r="I2749"/>
          <cell r="J2749"/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>
            <v>6.1000000000000004E-3</v>
          </cell>
        </row>
        <row r="2750">
          <cell r="A2750" t="str">
            <v>51743-10200000CCLF</v>
          </cell>
          <cell r="B2750"/>
          <cell r="C2750"/>
          <cell r="D2750"/>
          <cell r="E2750"/>
          <cell r="F2750"/>
          <cell r="G2750">
            <v>1.6799999999999999E-2</v>
          </cell>
          <cell r="H2750"/>
          <cell r="I2750"/>
          <cell r="J2750"/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>
            <v>6.1000000000000004E-3</v>
          </cell>
        </row>
        <row r="2751">
          <cell r="A2751" t="str">
            <v>51743-10300000AALF</v>
          </cell>
          <cell r="B2751"/>
          <cell r="C2751"/>
          <cell r="D2751"/>
          <cell r="E2751"/>
          <cell r="F2751"/>
          <cell r="G2751">
            <v>0.02</v>
          </cell>
          <cell r="H2751"/>
          <cell r="I2751"/>
          <cell r="J2751"/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>
            <v>6.1000000000000004E-3</v>
          </cell>
        </row>
        <row r="2752">
          <cell r="A2752" t="str">
            <v>51743-10300000CCLF</v>
          </cell>
          <cell r="B2752"/>
          <cell r="C2752"/>
          <cell r="D2752"/>
          <cell r="E2752"/>
          <cell r="F2752"/>
          <cell r="G2752">
            <v>1.7999999999999999E-2</v>
          </cell>
          <cell r="H2752"/>
          <cell r="I2752"/>
          <cell r="J2752"/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>
            <v>6.1000000000000004E-3</v>
          </cell>
        </row>
        <row r="2753">
          <cell r="A2753" t="str">
            <v>51743-10400000AALF</v>
          </cell>
          <cell r="B2753"/>
          <cell r="C2753"/>
          <cell r="D2753"/>
          <cell r="E2753"/>
          <cell r="F2753"/>
          <cell r="G2753">
            <v>2.3E-2</v>
          </cell>
          <cell r="H2753"/>
          <cell r="I2753"/>
          <cell r="J2753"/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</row>
        <row r="2754">
          <cell r="A2754" t="str">
            <v>51743-10400000CALF</v>
          </cell>
          <cell r="B2754"/>
          <cell r="C2754"/>
          <cell r="D2754"/>
          <cell r="E2754"/>
          <cell r="F2754"/>
          <cell r="G2754">
            <v>2.12E-2</v>
          </cell>
          <cell r="H2754"/>
          <cell r="I2754"/>
          <cell r="J2754"/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>
            <v>6.1000000000000004E-3</v>
          </cell>
        </row>
        <row r="2755">
          <cell r="A2755" t="str">
            <v>51743-10400000CCLF</v>
          </cell>
          <cell r="B2755"/>
          <cell r="C2755"/>
          <cell r="D2755"/>
          <cell r="E2755"/>
          <cell r="F2755"/>
          <cell r="G2755">
            <v>1.1299999999999999E-2</v>
          </cell>
          <cell r="H2755"/>
          <cell r="I2755"/>
          <cell r="J2755"/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>
            <v>6.1000000000000004E-3</v>
          </cell>
        </row>
        <row r="2756">
          <cell r="A2756" t="str">
            <v>51743-10500000AALF</v>
          </cell>
          <cell r="B2756"/>
          <cell r="C2756"/>
          <cell r="D2756"/>
          <cell r="E2756"/>
          <cell r="F2756"/>
          <cell r="G2756">
            <v>2.8000000000000001E-2</v>
          </cell>
          <cell r="H2756"/>
          <cell r="I2756"/>
          <cell r="J2756"/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>
            <v>6.1000000000000004E-3</v>
          </cell>
        </row>
        <row r="2757">
          <cell r="A2757" t="str">
            <v>51743-10500000ACLF</v>
          </cell>
          <cell r="B2757"/>
          <cell r="C2757"/>
          <cell r="D2757"/>
          <cell r="E2757"/>
          <cell r="F2757"/>
          <cell r="G2757">
            <v>2.5999999999999999E-2</v>
          </cell>
          <cell r="H2757"/>
          <cell r="I2757"/>
          <cell r="J2757"/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>
            <v>6.1000000000000004E-3</v>
          </cell>
        </row>
        <row r="2758">
          <cell r="A2758" t="str">
            <v>51743-10500000CCLF</v>
          </cell>
          <cell r="B2758"/>
          <cell r="C2758"/>
          <cell r="D2758"/>
          <cell r="E2758"/>
          <cell r="F2758"/>
          <cell r="G2758">
            <v>2.5999999999999999E-2</v>
          </cell>
          <cell r="H2758"/>
          <cell r="I2758"/>
          <cell r="J2758"/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>
            <v>6.1000000000000004E-3</v>
          </cell>
        </row>
        <row r="2759">
          <cell r="A2759" t="str">
            <v>51743-10600000AALF</v>
          </cell>
          <cell r="B2759"/>
          <cell r="C2759"/>
          <cell r="D2759"/>
          <cell r="E2759"/>
          <cell r="F2759"/>
          <cell r="G2759">
            <v>2.5000000000000001E-2</v>
          </cell>
          <cell r="H2759"/>
          <cell r="I2759"/>
          <cell r="J2759"/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>
            <v>6.1000000000000004E-3</v>
          </cell>
        </row>
        <row r="2760">
          <cell r="A2760" t="str">
            <v>51743-10600000CCLF</v>
          </cell>
          <cell r="B2760"/>
          <cell r="C2760"/>
          <cell r="D2760"/>
          <cell r="E2760"/>
          <cell r="F2760"/>
          <cell r="G2760">
            <v>2.3E-2</v>
          </cell>
          <cell r="H2760"/>
          <cell r="I2760"/>
          <cell r="J2760"/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>
            <v>6.1000000000000004E-3</v>
          </cell>
        </row>
        <row r="2761">
          <cell r="A2761" t="str">
            <v>51743-10700000AALF</v>
          </cell>
          <cell r="B2761"/>
          <cell r="C2761"/>
          <cell r="D2761"/>
          <cell r="E2761"/>
          <cell r="F2761"/>
          <cell r="G2761">
            <v>2.9000000000000001E-2</v>
          </cell>
          <cell r="H2761"/>
          <cell r="I2761"/>
          <cell r="J2761"/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>
            <v>6.1000000000000004E-3</v>
          </cell>
        </row>
        <row r="2762">
          <cell r="A2762" t="str">
            <v>51743-10700000CCLF</v>
          </cell>
          <cell r="B2762"/>
          <cell r="C2762"/>
          <cell r="D2762"/>
          <cell r="E2762"/>
          <cell r="F2762"/>
          <cell r="G2762">
            <v>1.3899999999999999E-2</v>
          </cell>
          <cell r="H2762"/>
          <cell r="I2762"/>
          <cell r="J2762"/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>
            <v>6.1000000000000004E-3</v>
          </cell>
        </row>
        <row r="2763">
          <cell r="A2763" t="str">
            <v>51743-10800000AALF</v>
          </cell>
          <cell r="B2763"/>
          <cell r="C2763"/>
          <cell r="D2763"/>
          <cell r="E2763"/>
          <cell r="F2763"/>
          <cell r="G2763">
            <v>2.4E-2</v>
          </cell>
          <cell r="H2763"/>
          <cell r="I2763"/>
          <cell r="J2763"/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</row>
        <row r="2764">
          <cell r="A2764" t="str">
            <v>51743-10800000CCLF</v>
          </cell>
          <cell r="B2764"/>
          <cell r="C2764"/>
          <cell r="D2764"/>
          <cell r="E2764"/>
          <cell r="F2764"/>
          <cell r="G2764">
            <v>2.5000000000000001E-2</v>
          </cell>
          <cell r="H2764"/>
          <cell r="I2764"/>
          <cell r="J2764"/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>
            <v>6.1000000000000004E-3</v>
          </cell>
        </row>
        <row r="2765">
          <cell r="A2765" t="str">
            <v>51743-10900000AALF</v>
          </cell>
          <cell r="B2765"/>
          <cell r="C2765"/>
          <cell r="D2765"/>
          <cell r="E2765"/>
          <cell r="F2765"/>
          <cell r="G2765">
            <v>0.03</v>
          </cell>
          <cell r="H2765"/>
          <cell r="I2765"/>
          <cell r="J2765"/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>
            <v>6.1000000000000004E-3</v>
          </cell>
        </row>
        <row r="2766">
          <cell r="A2766" t="str">
            <v>51743-11000000AALF</v>
          </cell>
          <cell r="B2766"/>
          <cell r="C2766"/>
          <cell r="D2766"/>
          <cell r="E2766"/>
          <cell r="F2766"/>
          <cell r="G2766">
            <v>2.6800000000000001E-2</v>
          </cell>
          <cell r="H2766"/>
          <cell r="I2766"/>
          <cell r="J2766"/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>
            <v>6.1000000000000004E-3</v>
          </cell>
        </row>
        <row r="2767">
          <cell r="A2767" t="str">
            <v>51743-11000000CCLF</v>
          </cell>
          <cell r="B2767"/>
          <cell r="C2767"/>
          <cell r="D2767"/>
          <cell r="E2767"/>
          <cell r="F2767"/>
          <cell r="G2767">
            <v>1.61E-2</v>
          </cell>
          <cell r="H2767"/>
          <cell r="I2767"/>
          <cell r="J2767"/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>
            <v>6.1000000000000004E-3</v>
          </cell>
        </row>
        <row r="2768">
          <cell r="A2768" t="str">
            <v>51743-11100000AALF</v>
          </cell>
          <cell r="B2768"/>
          <cell r="C2768"/>
          <cell r="D2768"/>
          <cell r="E2768"/>
          <cell r="F2768"/>
          <cell r="G2768">
            <v>3.2000000000000001E-2</v>
          </cell>
          <cell r="H2768"/>
          <cell r="I2768"/>
          <cell r="J2768"/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>
            <v>6.1000000000000004E-3</v>
          </cell>
        </row>
        <row r="2769">
          <cell r="A2769" t="str">
            <v>51743-11200000AALF</v>
          </cell>
          <cell r="B2769"/>
          <cell r="C2769"/>
          <cell r="D2769"/>
          <cell r="E2769"/>
          <cell r="F2769"/>
          <cell r="G2769">
            <v>2.8000000000000001E-2</v>
          </cell>
          <cell r="H2769"/>
          <cell r="I2769"/>
          <cell r="J2769"/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>
            <v>3.3E-3</v>
          </cell>
        </row>
        <row r="2770">
          <cell r="A2770" t="str">
            <v>51743-11200000CCLF</v>
          </cell>
          <cell r="B2770"/>
          <cell r="C2770"/>
          <cell r="D2770"/>
          <cell r="E2770"/>
          <cell r="F2770"/>
          <cell r="G2770">
            <v>3.7999999999999999E-2</v>
          </cell>
          <cell r="H2770"/>
          <cell r="I2770"/>
          <cell r="J2770"/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>
            <v>6.1000000000000004E-3</v>
          </cell>
        </row>
        <row r="2771">
          <cell r="A2771" t="str">
            <v>51743-11600000AALF</v>
          </cell>
          <cell r="B2771"/>
          <cell r="C2771"/>
          <cell r="D2771"/>
          <cell r="E2771"/>
          <cell r="F2771"/>
          <cell r="G2771">
            <v>4.5999999999999999E-2</v>
          </cell>
          <cell r="H2771"/>
          <cell r="I2771"/>
          <cell r="J2771"/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>
            <v>6.1000000000000004E-3</v>
          </cell>
        </row>
        <row r="2772">
          <cell r="A2772" t="str">
            <v>51743-11800000CCLF</v>
          </cell>
          <cell r="B2772"/>
          <cell r="C2772"/>
          <cell r="D2772"/>
          <cell r="E2772"/>
          <cell r="F2772"/>
          <cell r="G2772">
            <v>4.8000000000000001E-2</v>
          </cell>
          <cell r="H2772"/>
          <cell r="I2772"/>
          <cell r="J2772"/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>
            <v>6.1000000000000004E-3</v>
          </cell>
        </row>
        <row r="2773">
          <cell r="A2773" t="str">
            <v>51744-10104001C0LF</v>
          </cell>
          <cell r="B2773"/>
          <cell r="C2773"/>
          <cell r="D2773"/>
          <cell r="E2773"/>
          <cell r="F2773"/>
          <cell r="G2773">
            <v>1.9E-2</v>
          </cell>
          <cell r="H2773"/>
          <cell r="I2773"/>
          <cell r="J2773"/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>
            <v>5.0000000000000001E-3</v>
          </cell>
        </row>
        <row r="2774">
          <cell r="A2774" t="str">
            <v>51744-10200402A0LF</v>
          </cell>
          <cell r="B2774"/>
          <cell r="C2774"/>
          <cell r="D2774"/>
          <cell r="E2774"/>
          <cell r="F2774"/>
          <cell r="G2774">
            <v>2.7E-2</v>
          </cell>
          <cell r="H2774"/>
          <cell r="I2774"/>
          <cell r="J2774"/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>
            <v>6.1000000000000004E-3</v>
          </cell>
        </row>
        <row r="2775">
          <cell r="A2775" t="str">
            <v>51744-10202402A0LF</v>
          </cell>
          <cell r="B2775"/>
          <cell r="C2775"/>
          <cell r="D2775"/>
          <cell r="E2775"/>
          <cell r="F2775"/>
          <cell r="G2775">
            <v>1.89E-2</v>
          </cell>
          <cell r="H2775"/>
          <cell r="I2775"/>
          <cell r="J2775"/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>
            <v>3.3E-3</v>
          </cell>
        </row>
        <row r="2776">
          <cell r="A2776" t="str">
            <v>51744-10301203A0LF</v>
          </cell>
          <cell r="B2776"/>
          <cell r="C2776"/>
          <cell r="D2776"/>
          <cell r="E2776"/>
          <cell r="F2776"/>
          <cell r="G2776">
            <v>2.5999999999999999E-2</v>
          </cell>
          <cell r="H2776"/>
          <cell r="I2776"/>
          <cell r="J2776"/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>
            <v>2.3E-3</v>
          </cell>
        </row>
        <row r="2777">
          <cell r="A2777" t="str">
            <v>51744-10301203C0LF</v>
          </cell>
          <cell r="B2777"/>
          <cell r="C2777"/>
          <cell r="D2777"/>
          <cell r="E2777"/>
          <cell r="F2777"/>
          <cell r="G2777">
            <v>2.5999999999999999E-2</v>
          </cell>
          <cell r="H2777"/>
          <cell r="I2777"/>
          <cell r="J2777"/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>
            <v>2.3E-3</v>
          </cell>
        </row>
        <row r="2778">
          <cell r="A2778" t="str">
            <v>51744-10301606A0LF</v>
          </cell>
          <cell r="B2778"/>
          <cell r="C2778"/>
          <cell r="D2778"/>
          <cell r="E2778"/>
          <cell r="F2778"/>
          <cell r="G2778">
            <v>3.4000000000000002E-2</v>
          </cell>
          <cell r="H2778"/>
          <cell r="I2778"/>
          <cell r="J2778"/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>
            <v>3.0000000000000001E-3</v>
          </cell>
        </row>
        <row r="2779">
          <cell r="A2779" t="str">
            <v>51744-10301608A0LF</v>
          </cell>
          <cell r="B2779"/>
          <cell r="C2779"/>
          <cell r="D2779"/>
          <cell r="E2779"/>
          <cell r="F2779"/>
          <cell r="G2779">
            <v>3.3000000000000002E-2</v>
          </cell>
          <cell r="H2779"/>
          <cell r="I2779"/>
          <cell r="J2779"/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>
            <v>3.0000000000000001E-3</v>
          </cell>
        </row>
        <row r="2780">
          <cell r="A2780" t="str">
            <v>51744-10301611A0LF</v>
          </cell>
          <cell r="B2780"/>
          <cell r="C2780"/>
          <cell r="D2780"/>
          <cell r="E2780"/>
          <cell r="F2780"/>
          <cell r="G2780">
            <v>4.2999999999999997E-2</v>
          </cell>
          <cell r="H2780"/>
          <cell r="I2780"/>
          <cell r="J2780"/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>
            <v>3.0000000000000001E-3</v>
          </cell>
        </row>
        <row r="2781">
          <cell r="A2781" t="str">
            <v>51744-10302006A0LF</v>
          </cell>
          <cell r="B2781"/>
          <cell r="C2781"/>
          <cell r="D2781"/>
          <cell r="E2781"/>
          <cell r="F2781"/>
          <cell r="G2781">
            <v>3.4000000000000002E-2</v>
          </cell>
          <cell r="H2781"/>
          <cell r="I2781"/>
          <cell r="J2781"/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>
            <v>3.0000000000000001E-3</v>
          </cell>
        </row>
        <row r="2782">
          <cell r="A2782" t="str">
            <v>51744-10302403C0LF</v>
          </cell>
          <cell r="B2782"/>
          <cell r="C2782"/>
          <cell r="D2782"/>
          <cell r="E2782"/>
          <cell r="F2782"/>
          <cell r="G2782">
            <v>2.5000000000000001E-2</v>
          </cell>
          <cell r="H2782"/>
          <cell r="I2782"/>
          <cell r="J2782"/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>
            <v>3.0000000000000001E-3</v>
          </cell>
        </row>
        <row r="2783">
          <cell r="A2783" t="str">
            <v>51744-10401604C0LF</v>
          </cell>
          <cell r="B2783"/>
          <cell r="C2783"/>
          <cell r="D2783"/>
          <cell r="E2783"/>
          <cell r="F2783"/>
          <cell r="G2783">
            <v>2.9000000000000001E-2</v>
          </cell>
          <cell r="H2783"/>
          <cell r="I2783"/>
          <cell r="J2783"/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>
            <v>1E-3</v>
          </cell>
        </row>
        <row r="2784">
          <cell r="A2784" t="str">
            <v>51744-10601204A0LF</v>
          </cell>
          <cell r="B2784"/>
          <cell r="C2784"/>
          <cell r="D2784"/>
          <cell r="E2784"/>
          <cell r="F2784"/>
          <cell r="G2784">
            <v>2.81E-2</v>
          </cell>
          <cell r="H2784"/>
          <cell r="I2784"/>
          <cell r="J2784"/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>
            <v>1.9E-3</v>
          </cell>
        </row>
        <row r="2785">
          <cell r="A2785" t="str">
            <v>51744-10601606C0LF</v>
          </cell>
          <cell r="B2785"/>
          <cell r="C2785"/>
          <cell r="D2785"/>
          <cell r="E2785"/>
          <cell r="F2785"/>
          <cell r="G2785">
            <v>3.6999999999999998E-2</v>
          </cell>
          <cell r="H2785"/>
          <cell r="I2785"/>
          <cell r="J2785"/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>
            <v>3.0000000000000001E-3</v>
          </cell>
        </row>
        <row r="2786">
          <cell r="A2786" t="str">
            <v>51745-10002006A0LF</v>
          </cell>
          <cell r="B2786"/>
          <cell r="C2786"/>
          <cell r="D2786"/>
          <cell r="E2786"/>
          <cell r="F2786"/>
          <cell r="G2786">
            <v>0.02</v>
          </cell>
          <cell r="H2786"/>
          <cell r="I2786"/>
          <cell r="J2786"/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>
            <v>3.0000000000000001E-3</v>
          </cell>
        </row>
        <row r="2787">
          <cell r="A2787" t="str">
            <v>51745-10002406A0LF</v>
          </cell>
          <cell r="B2787"/>
          <cell r="C2787"/>
          <cell r="D2787"/>
          <cell r="E2787"/>
          <cell r="F2787"/>
          <cell r="G2787">
            <v>2.1000000000000001E-2</v>
          </cell>
          <cell r="H2787"/>
          <cell r="I2787"/>
          <cell r="J2787"/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>
            <v>3.0000000000000001E-3</v>
          </cell>
        </row>
        <row r="2788">
          <cell r="A2788" t="str">
            <v>51745-10014804A0LF</v>
          </cell>
          <cell r="B2788"/>
          <cell r="C2788"/>
          <cell r="D2788"/>
          <cell r="E2788"/>
          <cell r="F2788"/>
          <cell r="G2788">
            <v>4.1000000000000002E-2</v>
          </cell>
          <cell r="H2788"/>
          <cell r="I2788"/>
          <cell r="J2788"/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>
            <v>1.4E-2</v>
          </cell>
        </row>
        <row r="2789">
          <cell r="A2789" t="str">
            <v>51746-10200800A0LF</v>
          </cell>
          <cell r="B2789"/>
          <cell r="C2789"/>
          <cell r="D2789"/>
          <cell r="E2789"/>
          <cell r="F2789"/>
          <cell r="G2789">
            <v>2.1000000000000001E-2</v>
          </cell>
          <cell r="H2789"/>
          <cell r="I2789"/>
          <cell r="J2789"/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>
            <v>2E-3</v>
          </cell>
        </row>
        <row r="2790">
          <cell r="A2790" t="str">
            <v>51746-10201600A0LF</v>
          </cell>
          <cell r="B2790"/>
          <cell r="C2790"/>
          <cell r="D2790"/>
          <cell r="E2790"/>
          <cell r="F2790"/>
          <cell r="G2790">
            <v>1.2465E-2</v>
          </cell>
          <cell r="H2790"/>
          <cell r="I2790"/>
          <cell r="J2790"/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>
            <v>3.0000000000000001E-3</v>
          </cell>
        </row>
        <row r="2791">
          <cell r="A2791" t="str">
            <v>51746-10207200A0LF</v>
          </cell>
          <cell r="B2791"/>
          <cell r="C2791"/>
          <cell r="D2791"/>
          <cell r="E2791"/>
          <cell r="F2791"/>
          <cell r="G2791">
            <v>3.1E-2</v>
          </cell>
          <cell r="H2791"/>
          <cell r="I2791"/>
          <cell r="J2791"/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>
            <v>7.0000000000000001E-3</v>
          </cell>
        </row>
        <row r="2792">
          <cell r="A2792" t="str">
            <v>51746-10300800A0LF</v>
          </cell>
          <cell r="B2792"/>
          <cell r="C2792"/>
          <cell r="D2792"/>
          <cell r="E2792"/>
          <cell r="F2792"/>
          <cell r="G2792">
            <v>2.3E-2</v>
          </cell>
          <cell r="H2792"/>
          <cell r="I2792"/>
          <cell r="J2792"/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>
            <v>2E-3</v>
          </cell>
        </row>
        <row r="2793">
          <cell r="A2793" t="str">
            <v>51746-10400800A0LF</v>
          </cell>
          <cell r="B2793"/>
          <cell r="C2793"/>
          <cell r="D2793"/>
          <cell r="E2793"/>
          <cell r="F2793"/>
          <cell r="G2793">
            <v>2.5000000000000001E-2</v>
          </cell>
          <cell r="H2793"/>
          <cell r="I2793"/>
          <cell r="J2793"/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>
            <v>2E-3</v>
          </cell>
        </row>
        <row r="2794">
          <cell r="A2794" t="str">
            <v>51746-10402400C0LF</v>
          </cell>
          <cell r="B2794"/>
          <cell r="C2794"/>
          <cell r="D2794"/>
          <cell r="E2794"/>
          <cell r="F2794"/>
          <cell r="G2794">
            <v>2.3E-2</v>
          </cell>
          <cell r="H2794"/>
          <cell r="I2794"/>
          <cell r="J2794"/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>
            <v>3.0000000000000001E-3</v>
          </cell>
        </row>
        <row r="2795">
          <cell r="A2795" t="str">
            <v>51746-10501200A0LF</v>
          </cell>
          <cell r="B2795"/>
          <cell r="C2795"/>
          <cell r="D2795"/>
          <cell r="E2795"/>
          <cell r="F2795"/>
          <cell r="G2795">
            <v>2.1000000000000001E-2</v>
          </cell>
          <cell r="H2795"/>
          <cell r="I2795"/>
          <cell r="J2795"/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>
            <v>7.9000000000000008E-3</v>
          </cell>
        </row>
        <row r="2796">
          <cell r="A2796" t="str">
            <v>51746-10503200A0LF</v>
          </cell>
          <cell r="B2796"/>
          <cell r="C2796"/>
          <cell r="D2796"/>
          <cell r="E2796"/>
          <cell r="F2796"/>
          <cell r="G2796">
            <v>2.4400000000000002E-2</v>
          </cell>
          <cell r="H2796"/>
          <cell r="I2796"/>
          <cell r="J2796"/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>
            <v>2.06E-2</v>
          </cell>
        </row>
        <row r="2797">
          <cell r="A2797" t="str">
            <v>51746-10505200A0LF</v>
          </cell>
          <cell r="B2797"/>
          <cell r="C2797"/>
          <cell r="D2797"/>
          <cell r="E2797"/>
          <cell r="F2797"/>
          <cell r="G2797">
            <v>2.7E-2</v>
          </cell>
          <cell r="H2797"/>
          <cell r="I2797"/>
          <cell r="J2797"/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>
            <v>6.0000000000000001E-3</v>
          </cell>
        </row>
        <row r="2798">
          <cell r="A2798" t="str">
            <v>51746-10703200A0LF</v>
          </cell>
          <cell r="B2798"/>
          <cell r="C2798"/>
          <cell r="D2798"/>
          <cell r="E2798"/>
          <cell r="F2798"/>
          <cell r="G2798">
            <v>2.5999999999999999E-2</v>
          </cell>
          <cell r="H2798"/>
          <cell r="I2798"/>
          <cell r="J2798"/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>
            <v>8.0000000000000002E-3</v>
          </cell>
        </row>
        <row r="2799">
          <cell r="A2799" t="str">
            <v>51746-10703200C0LF</v>
          </cell>
          <cell r="B2799"/>
          <cell r="C2799"/>
          <cell r="D2799"/>
          <cell r="E2799"/>
          <cell r="F2799"/>
          <cell r="G2799">
            <v>2.9000000000000001E-2</v>
          </cell>
          <cell r="H2799"/>
          <cell r="I2799"/>
          <cell r="J2799"/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>
            <v>1.2999999999999999E-2</v>
          </cell>
        </row>
        <row r="2800">
          <cell r="A2800" t="str">
            <v>51746-11001200C0LF</v>
          </cell>
          <cell r="B2800"/>
          <cell r="C2800"/>
          <cell r="D2800"/>
          <cell r="E2800"/>
          <cell r="F2800"/>
          <cell r="G2800">
            <v>3.2000000000000001E-2</v>
          </cell>
          <cell r="H2800"/>
          <cell r="I2800"/>
          <cell r="J2800"/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>
            <v>2E-3</v>
          </cell>
        </row>
        <row r="2801">
          <cell r="A2801" t="str">
            <v>51747-10200000A0LF</v>
          </cell>
          <cell r="B2801"/>
          <cell r="C2801"/>
          <cell r="D2801"/>
          <cell r="E2801"/>
          <cell r="F2801"/>
          <cell r="G2801">
            <v>1.7999999999999999E-2</v>
          </cell>
          <cell r="H2801"/>
          <cell r="I2801"/>
          <cell r="J2801"/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>
            <v>6.1000000000000004E-3</v>
          </cell>
        </row>
        <row r="2802">
          <cell r="A2802" t="str">
            <v>51747-10200000C0LF</v>
          </cell>
          <cell r="B2802"/>
          <cell r="C2802"/>
          <cell r="D2802"/>
          <cell r="E2802"/>
          <cell r="F2802"/>
          <cell r="G2802">
            <v>1.17E-2</v>
          </cell>
          <cell r="H2802"/>
          <cell r="I2802"/>
          <cell r="J2802"/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>
            <v>6.1000000000000004E-3</v>
          </cell>
        </row>
        <row r="2803">
          <cell r="A2803" t="str">
            <v>51747-10300000A0LF</v>
          </cell>
          <cell r="B2803"/>
          <cell r="C2803"/>
          <cell r="D2803"/>
          <cell r="E2803"/>
          <cell r="F2803"/>
          <cell r="G2803">
            <v>1.7999999999999999E-2</v>
          </cell>
          <cell r="H2803"/>
          <cell r="I2803"/>
          <cell r="J2803"/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>
            <v>6.1000000000000004E-3</v>
          </cell>
        </row>
        <row r="2804">
          <cell r="A2804" t="str">
            <v>51747-10400000A0LF</v>
          </cell>
          <cell r="B2804"/>
          <cell r="C2804"/>
          <cell r="D2804"/>
          <cell r="E2804"/>
          <cell r="F2804"/>
          <cell r="G2804">
            <v>2.1999999999999999E-2</v>
          </cell>
          <cell r="H2804"/>
          <cell r="I2804"/>
          <cell r="J2804"/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>
            <v>6.1000000000000004E-3</v>
          </cell>
        </row>
        <row r="2805">
          <cell r="A2805" t="str">
            <v>51747-10400000C0LF</v>
          </cell>
          <cell r="B2805"/>
          <cell r="C2805"/>
          <cell r="D2805"/>
          <cell r="E2805"/>
          <cell r="F2805"/>
          <cell r="G2805">
            <v>2.1000000000000001E-2</v>
          </cell>
          <cell r="H2805"/>
          <cell r="I2805"/>
          <cell r="J2805"/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>
            <v>6.1000000000000004E-3</v>
          </cell>
        </row>
        <row r="2806">
          <cell r="A2806" t="str">
            <v>51747-10900000A0LF</v>
          </cell>
          <cell r="B2806"/>
          <cell r="C2806"/>
          <cell r="D2806"/>
          <cell r="E2806"/>
          <cell r="F2806"/>
          <cell r="G2806">
            <v>2.8000000000000001E-2</v>
          </cell>
          <cell r="H2806"/>
          <cell r="I2806"/>
          <cell r="J2806"/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>
            <v>6.1000000000000004E-3</v>
          </cell>
        </row>
        <row r="2807">
          <cell r="A2807" t="str">
            <v>51747-10900000C0LF</v>
          </cell>
          <cell r="B2807"/>
          <cell r="C2807"/>
          <cell r="D2807"/>
          <cell r="E2807"/>
          <cell r="F2807"/>
          <cell r="G2807">
            <v>2.8000000000000001E-2</v>
          </cell>
          <cell r="H2807"/>
          <cell r="I2807"/>
          <cell r="J2807"/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>
            <v>6.1000000000000004E-3</v>
          </cell>
        </row>
        <row r="2808">
          <cell r="A2808" t="str">
            <v>51747-11100000A0LF</v>
          </cell>
          <cell r="B2808"/>
          <cell r="C2808"/>
          <cell r="D2808"/>
          <cell r="E2808"/>
          <cell r="F2808"/>
          <cell r="G2808">
            <v>2.7099999999999999E-2</v>
          </cell>
          <cell r="H2808"/>
          <cell r="I2808"/>
          <cell r="J2808"/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>
            <v>6.1000000000000004E-3</v>
          </cell>
        </row>
        <row r="2809">
          <cell r="A2809" t="str">
            <v>51747-11100000C0LF</v>
          </cell>
          <cell r="B2809"/>
          <cell r="C2809"/>
          <cell r="D2809"/>
          <cell r="E2809"/>
          <cell r="F2809"/>
          <cell r="G2809">
            <v>2.9000000000000001E-2</v>
          </cell>
          <cell r="H2809"/>
          <cell r="I2809"/>
          <cell r="J2809"/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>
            <v>6.1000000000000004E-3</v>
          </cell>
        </row>
        <row r="2810">
          <cell r="A2810" t="str">
            <v>51750-002LF</v>
          </cell>
          <cell r="B2810"/>
          <cell r="C2810"/>
          <cell r="D2810"/>
          <cell r="E2810"/>
          <cell r="F2810"/>
          <cell r="G2810">
            <v>1.3299999999999999E-2</v>
          </cell>
          <cell r="H2810"/>
          <cell r="I2810"/>
          <cell r="J2810"/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>
            <v>3.0000000000000001E-3</v>
          </cell>
        </row>
        <row r="2811">
          <cell r="A2811" t="str">
            <v>51750-008LF</v>
          </cell>
          <cell r="B2811"/>
          <cell r="C2811"/>
          <cell r="D2811"/>
          <cell r="E2811"/>
          <cell r="F2811"/>
          <cell r="G2811">
            <v>1.83E-2</v>
          </cell>
          <cell r="H2811"/>
          <cell r="I2811"/>
          <cell r="J2811"/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>
            <v>3.0000000000000001E-3</v>
          </cell>
        </row>
        <row r="2812">
          <cell r="A2812" t="str">
            <v>51750-011LF</v>
          </cell>
          <cell r="B2812"/>
          <cell r="C2812"/>
          <cell r="D2812"/>
          <cell r="E2812"/>
          <cell r="F2812"/>
          <cell r="G2812">
            <v>1.21E-2</v>
          </cell>
          <cell r="H2812"/>
          <cell r="I2812"/>
          <cell r="J2812"/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>
            <v>3.0000000000000001E-3</v>
          </cell>
        </row>
        <row r="2813">
          <cell r="A2813" t="str">
            <v>51750-014LF</v>
          </cell>
          <cell r="B2813"/>
          <cell r="C2813"/>
          <cell r="D2813"/>
          <cell r="E2813"/>
          <cell r="F2813"/>
          <cell r="G2813">
            <v>2.1999999999999999E-2</v>
          </cell>
          <cell r="H2813"/>
          <cell r="I2813"/>
          <cell r="J2813"/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>
            <v>5.0000000000000001E-3</v>
          </cell>
        </row>
        <row r="2814">
          <cell r="A2814" t="str">
            <v>51750-022LF</v>
          </cell>
          <cell r="B2814"/>
          <cell r="C2814"/>
          <cell r="D2814"/>
          <cell r="E2814"/>
          <cell r="F2814"/>
          <cell r="G2814">
            <v>2.5999999999999999E-2</v>
          </cell>
          <cell r="H2814"/>
          <cell r="I2814"/>
          <cell r="J2814"/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>
            <v>2E-3</v>
          </cell>
        </row>
        <row r="2815">
          <cell r="A2815" t="str">
            <v>51750-026LF</v>
          </cell>
          <cell r="B2815"/>
          <cell r="C2815"/>
          <cell r="D2815"/>
          <cell r="E2815"/>
          <cell r="F2815"/>
          <cell r="G2815">
            <v>1.6E-2</v>
          </cell>
          <cell r="H2815"/>
          <cell r="I2815"/>
          <cell r="J2815"/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>
            <v>9.1999999999999998E-3</v>
          </cell>
        </row>
        <row r="2816">
          <cell r="A2816" t="str">
            <v>51750-028LF</v>
          </cell>
          <cell r="B2816"/>
          <cell r="C2816"/>
          <cell r="D2816"/>
          <cell r="E2816"/>
          <cell r="F2816"/>
          <cell r="G2816">
            <v>1.06E-2</v>
          </cell>
          <cell r="H2816"/>
          <cell r="I2816"/>
          <cell r="J2816"/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>
            <v>3.0000000000000001E-3</v>
          </cell>
        </row>
        <row r="2817">
          <cell r="A2817" t="str">
            <v>51750-028PGSALF</v>
          </cell>
          <cell r="B2817"/>
          <cell r="C2817"/>
          <cell r="D2817"/>
          <cell r="E2817"/>
          <cell r="F2817"/>
          <cell r="G2817">
            <v>1.06E-2</v>
          </cell>
          <cell r="H2817"/>
          <cell r="I2817"/>
          <cell r="J2817"/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>
            <v>3.0000000000000001E-3</v>
          </cell>
        </row>
        <row r="2818">
          <cell r="A2818" t="str">
            <v>51750-031LF</v>
          </cell>
          <cell r="B2818"/>
          <cell r="C2818"/>
          <cell r="D2818"/>
          <cell r="E2818"/>
          <cell r="F2818"/>
          <cell r="G2818">
            <v>1.09E-2</v>
          </cell>
          <cell r="H2818"/>
          <cell r="I2818"/>
          <cell r="J2818"/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>
            <v>5.0000000000000001E-3</v>
          </cell>
        </row>
        <row r="2819">
          <cell r="A2819" t="str">
            <v>51750-033LF</v>
          </cell>
          <cell r="B2819"/>
          <cell r="C2819"/>
          <cell r="D2819"/>
          <cell r="E2819"/>
          <cell r="F2819"/>
          <cell r="G2819">
            <v>3.4000000000000002E-2</v>
          </cell>
          <cell r="H2819"/>
          <cell r="I2819"/>
          <cell r="J2819"/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>
            <v>8.0000000000000002E-3</v>
          </cell>
        </row>
        <row r="2820">
          <cell r="A2820" t="str">
            <v>51750-036LF</v>
          </cell>
          <cell r="B2820"/>
          <cell r="C2820"/>
          <cell r="D2820"/>
          <cell r="E2820"/>
          <cell r="F2820"/>
          <cell r="G2820">
            <v>8.7589999999999994E-3</v>
          </cell>
          <cell r="H2820"/>
          <cell r="I2820"/>
          <cell r="J2820"/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>
            <v>3.0000000000000001E-3</v>
          </cell>
        </row>
        <row r="2821">
          <cell r="A2821" t="str">
            <v>51750-038LF</v>
          </cell>
          <cell r="B2821"/>
          <cell r="C2821"/>
          <cell r="D2821"/>
          <cell r="E2821"/>
          <cell r="F2821"/>
          <cell r="G2821">
            <v>1.2214236999999999E-2</v>
          </cell>
          <cell r="H2821"/>
          <cell r="I2821"/>
          <cell r="J2821"/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>
            <v>3.0000000000000001E-3</v>
          </cell>
        </row>
        <row r="2822">
          <cell r="A2822" t="str">
            <v>51750-043LF</v>
          </cell>
          <cell r="B2822"/>
          <cell r="C2822"/>
          <cell r="D2822"/>
          <cell r="E2822"/>
          <cell r="F2822"/>
          <cell r="G2822">
            <v>2.7E-2</v>
          </cell>
          <cell r="H2822"/>
          <cell r="I2822"/>
          <cell r="J2822"/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>
            <v>5.0000000000000001E-3</v>
          </cell>
        </row>
        <row r="2823">
          <cell r="A2823" t="str">
            <v>51750-044LF</v>
          </cell>
          <cell r="B2823"/>
          <cell r="C2823"/>
          <cell r="D2823"/>
          <cell r="E2823"/>
          <cell r="F2823"/>
          <cell r="G2823">
            <v>2.4E-2</v>
          </cell>
          <cell r="H2823"/>
          <cell r="I2823"/>
          <cell r="J2823"/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>
            <v>5.0000000000000001E-3</v>
          </cell>
        </row>
        <row r="2824">
          <cell r="A2824" t="str">
            <v>51750-046LF</v>
          </cell>
          <cell r="B2824"/>
          <cell r="C2824"/>
          <cell r="D2824"/>
          <cell r="E2824"/>
          <cell r="F2824"/>
          <cell r="G2824">
            <v>3.7999999999999999E-2</v>
          </cell>
          <cell r="H2824"/>
          <cell r="I2824"/>
          <cell r="J2824"/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>
            <v>3.0000000000000001E-3</v>
          </cell>
        </row>
        <row r="2825">
          <cell r="A2825" t="str">
            <v>51750-047LF</v>
          </cell>
          <cell r="B2825"/>
          <cell r="C2825"/>
          <cell r="D2825"/>
          <cell r="E2825"/>
          <cell r="F2825"/>
          <cell r="G2825">
            <v>2.5000000000000001E-2</v>
          </cell>
          <cell r="H2825"/>
          <cell r="I2825"/>
          <cell r="J2825"/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>
            <v>3.0000000000000001E-3</v>
          </cell>
        </row>
        <row r="2826">
          <cell r="A2826" t="str">
            <v>51750-048LF</v>
          </cell>
          <cell r="B2826"/>
          <cell r="C2826"/>
          <cell r="D2826"/>
          <cell r="E2826"/>
          <cell r="F2826"/>
          <cell r="G2826">
            <v>1.41E-2</v>
          </cell>
          <cell r="H2826"/>
          <cell r="I2826"/>
          <cell r="J2826"/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>
            <v>2E-3</v>
          </cell>
        </row>
        <row r="2827">
          <cell r="A2827" t="str">
            <v>51750-049LF</v>
          </cell>
          <cell r="B2827"/>
          <cell r="C2827"/>
          <cell r="D2827"/>
          <cell r="E2827"/>
          <cell r="F2827"/>
          <cell r="G2827">
            <v>3.5999999999999997E-2</v>
          </cell>
          <cell r="H2827"/>
          <cell r="I2827"/>
          <cell r="J2827"/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>
            <v>5.0000000000000001E-3</v>
          </cell>
        </row>
        <row r="2828">
          <cell r="A2828" t="str">
            <v>51750-052LF</v>
          </cell>
          <cell r="B2828"/>
          <cell r="C2828"/>
          <cell r="D2828"/>
          <cell r="E2828"/>
          <cell r="F2828"/>
          <cell r="G2828">
            <v>1.4200000000000001E-2</v>
          </cell>
          <cell r="H2828"/>
          <cell r="I2828"/>
          <cell r="J2828"/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>
            <v>8.0000000000000002E-3</v>
          </cell>
        </row>
        <row r="2829">
          <cell r="A2829" t="str">
            <v>51750-056LF</v>
          </cell>
          <cell r="B2829"/>
          <cell r="C2829"/>
          <cell r="D2829"/>
          <cell r="E2829"/>
          <cell r="F2829"/>
          <cell r="G2829">
            <v>3.9E-2</v>
          </cell>
          <cell r="H2829"/>
          <cell r="I2829"/>
          <cell r="J2829"/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>
            <v>6.0000000000000001E-3</v>
          </cell>
        </row>
        <row r="2830">
          <cell r="A2830" t="str">
            <v>51750-057LF</v>
          </cell>
          <cell r="B2830"/>
          <cell r="C2830"/>
          <cell r="D2830"/>
          <cell r="E2830"/>
          <cell r="F2830"/>
          <cell r="G2830">
            <v>2.8000000000000001E-2</v>
          </cell>
          <cell r="H2830"/>
          <cell r="I2830"/>
          <cell r="J2830"/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>
            <v>5.0000000000000001E-3</v>
          </cell>
        </row>
        <row r="2831">
          <cell r="A2831" t="str">
            <v>51750-059LF</v>
          </cell>
          <cell r="B2831"/>
          <cell r="C2831"/>
          <cell r="D2831"/>
          <cell r="E2831"/>
          <cell r="F2831"/>
          <cell r="G2831">
            <v>1.2500000000000001E-2</v>
          </cell>
          <cell r="H2831"/>
          <cell r="I2831"/>
          <cell r="J2831"/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>
            <v>3.0000000000000001E-3</v>
          </cell>
        </row>
        <row r="2832">
          <cell r="A2832" t="str">
            <v>51750-062LF</v>
          </cell>
          <cell r="B2832"/>
          <cell r="C2832"/>
          <cell r="D2832"/>
          <cell r="E2832"/>
          <cell r="F2832"/>
          <cell r="G2832">
            <v>1.8100000000000002E-2</v>
          </cell>
          <cell r="H2832"/>
          <cell r="I2832"/>
          <cell r="J2832"/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>
            <v>4.0000000000000001E-3</v>
          </cell>
        </row>
        <row r="2833">
          <cell r="A2833" t="str">
            <v>51750-066LF</v>
          </cell>
          <cell r="B2833"/>
          <cell r="C2833"/>
          <cell r="D2833"/>
          <cell r="E2833"/>
          <cell r="F2833"/>
          <cell r="G2833">
            <v>2.5000000000000001E-2</v>
          </cell>
          <cell r="H2833"/>
          <cell r="I2833"/>
          <cell r="J2833"/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>
            <v>3.0000000000000001E-3</v>
          </cell>
        </row>
        <row r="2834">
          <cell r="A2834" t="str">
            <v>51750-067LF</v>
          </cell>
          <cell r="B2834"/>
          <cell r="C2834"/>
          <cell r="D2834"/>
          <cell r="E2834"/>
          <cell r="F2834"/>
          <cell r="G2834">
            <v>2.3E-2</v>
          </cell>
          <cell r="H2834"/>
          <cell r="I2834"/>
          <cell r="J2834"/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>
            <v>3.0000000000000001E-3</v>
          </cell>
        </row>
        <row r="2835">
          <cell r="A2835" t="str">
            <v>51750-070LF</v>
          </cell>
          <cell r="B2835"/>
          <cell r="C2835"/>
          <cell r="D2835"/>
          <cell r="E2835"/>
          <cell r="F2835"/>
          <cell r="G2835">
            <v>1.21E-2</v>
          </cell>
          <cell r="H2835"/>
          <cell r="I2835"/>
          <cell r="J2835"/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>
            <v>4.0000000000000001E-3</v>
          </cell>
        </row>
        <row r="2836">
          <cell r="A2836" t="str">
            <v>51750-071LF</v>
          </cell>
          <cell r="B2836"/>
          <cell r="C2836"/>
          <cell r="D2836"/>
          <cell r="E2836"/>
          <cell r="F2836"/>
          <cell r="G2836">
            <v>2.3E-2</v>
          </cell>
          <cell r="H2836"/>
          <cell r="I2836"/>
          <cell r="J2836"/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>
            <v>2E-3</v>
          </cell>
        </row>
        <row r="2837">
          <cell r="A2837" t="str">
            <v>51750-072LF</v>
          </cell>
          <cell r="B2837"/>
          <cell r="C2837"/>
          <cell r="D2837"/>
          <cell r="E2837"/>
          <cell r="F2837"/>
          <cell r="G2837">
            <v>2.1999999999999999E-2</v>
          </cell>
          <cell r="H2837"/>
          <cell r="I2837"/>
          <cell r="J2837"/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>
            <v>3.0000000000000001E-3</v>
          </cell>
        </row>
        <row r="2838">
          <cell r="A2838" t="str">
            <v>51750-073LF</v>
          </cell>
          <cell r="B2838"/>
          <cell r="C2838"/>
          <cell r="D2838"/>
          <cell r="E2838"/>
          <cell r="F2838"/>
          <cell r="G2838">
            <v>1.3899999999999999E-2</v>
          </cell>
          <cell r="H2838"/>
          <cell r="I2838"/>
          <cell r="J2838"/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>
            <v>3.0000000000000001E-3</v>
          </cell>
        </row>
        <row r="2839">
          <cell r="A2839" t="str">
            <v>51750-075LF</v>
          </cell>
          <cell r="B2839"/>
          <cell r="C2839"/>
          <cell r="D2839"/>
          <cell r="E2839"/>
          <cell r="F2839"/>
          <cell r="G2839">
            <v>2.5000000000000001E-2</v>
          </cell>
          <cell r="H2839"/>
          <cell r="I2839"/>
          <cell r="J2839"/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>
            <v>3.0000000000000001E-3</v>
          </cell>
        </row>
        <row r="2840">
          <cell r="A2840" t="str">
            <v>51750-077LF</v>
          </cell>
          <cell r="B2840"/>
          <cell r="C2840"/>
          <cell r="D2840"/>
          <cell r="E2840"/>
          <cell r="F2840"/>
          <cell r="G2840">
            <v>7.7999999999999996E-3</v>
          </cell>
          <cell r="H2840"/>
          <cell r="I2840"/>
          <cell r="J2840"/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>
            <v>3.0000000000000001E-3</v>
          </cell>
        </row>
        <row r="2841">
          <cell r="A2841" t="str">
            <v>51750-078LF</v>
          </cell>
          <cell r="B2841"/>
          <cell r="C2841"/>
          <cell r="D2841"/>
          <cell r="E2841"/>
          <cell r="F2841"/>
          <cell r="G2841">
            <v>1.8800000000000001E-2</v>
          </cell>
          <cell r="H2841"/>
          <cell r="I2841"/>
          <cell r="J2841"/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>
            <v>3.0000000000000001E-3</v>
          </cell>
        </row>
        <row r="2842">
          <cell r="A2842" t="str">
            <v>51750-079LF</v>
          </cell>
          <cell r="B2842"/>
          <cell r="C2842"/>
          <cell r="D2842"/>
          <cell r="E2842"/>
          <cell r="F2842"/>
          <cell r="G2842">
            <v>1.2999999999999999E-2</v>
          </cell>
          <cell r="H2842"/>
          <cell r="I2842"/>
          <cell r="J2842"/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>
            <v>3.0000000000000001E-3</v>
          </cell>
        </row>
        <row r="2843">
          <cell r="A2843" t="str">
            <v>51750-080LF</v>
          </cell>
          <cell r="B2843"/>
          <cell r="C2843"/>
          <cell r="D2843"/>
          <cell r="E2843"/>
          <cell r="F2843"/>
          <cell r="G2843">
            <v>2.8000000000000001E-2</v>
          </cell>
          <cell r="H2843"/>
          <cell r="I2843"/>
          <cell r="J2843"/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>
            <v>3.0000000000000001E-3</v>
          </cell>
        </row>
        <row r="2844">
          <cell r="A2844" t="str">
            <v>51750-081LF</v>
          </cell>
          <cell r="B2844"/>
          <cell r="C2844"/>
          <cell r="D2844"/>
          <cell r="E2844"/>
          <cell r="F2844"/>
          <cell r="G2844">
            <v>3.1E-2</v>
          </cell>
          <cell r="H2844"/>
          <cell r="I2844"/>
          <cell r="J2844"/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>
            <v>4.0000000000000001E-3</v>
          </cell>
        </row>
        <row r="2845">
          <cell r="A2845" t="str">
            <v>51750-083LF</v>
          </cell>
          <cell r="B2845"/>
          <cell r="C2845"/>
          <cell r="D2845"/>
          <cell r="E2845"/>
          <cell r="F2845"/>
          <cell r="G2845">
            <v>2.12E-2</v>
          </cell>
          <cell r="H2845"/>
          <cell r="I2845"/>
          <cell r="J2845"/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>
            <v>3.0000000000000001E-3</v>
          </cell>
        </row>
        <row r="2846">
          <cell r="A2846" t="str">
            <v>51750-084LF</v>
          </cell>
          <cell r="B2846"/>
          <cell r="C2846"/>
          <cell r="D2846"/>
          <cell r="E2846"/>
          <cell r="F2846"/>
          <cell r="G2846">
            <v>3.4000000000000002E-2</v>
          </cell>
          <cell r="H2846"/>
          <cell r="I2846"/>
          <cell r="J2846"/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>
            <v>3.0000000000000001E-3</v>
          </cell>
        </row>
        <row r="2847">
          <cell r="A2847" t="str">
            <v>51750-089LF</v>
          </cell>
          <cell r="B2847"/>
          <cell r="C2847"/>
          <cell r="D2847"/>
          <cell r="E2847"/>
          <cell r="F2847"/>
          <cell r="G2847">
            <v>2.4199999999999999E-2</v>
          </cell>
          <cell r="H2847"/>
          <cell r="I2847"/>
          <cell r="J2847"/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>
            <v>3.0000000000000001E-3</v>
          </cell>
        </row>
        <row r="2848">
          <cell r="A2848" t="str">
            <v>51750-089PGSALF</v>
          </cell>
          <cell r="B2848"/>
          <cell r="C2848"/>
          <cell r="D2848"/>
          <cell r="E2848"/>
          <cell r="F2848"/>
          <cell r="G2848">
            <v>2.1999999999999999E-2</v>
          </cell>
          <cell r="H2848"/>
          <cell r="I2848"/>
          <cell r="J2848"/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>
            <v>3.0000000000000001E-3</v>
          </cell>
        </row>
        <row r="2849">
          <cell r="A2849" t="str">
            <v>51750-092LF</v>
          </cell>
          <cell r="B2849"/>
          <cell r="C2849"/>
          <cell r="D2849"/>
          <cell r="E2849"/>
          <cell r="F2849"/>
          <cell r="G2849">
            <v>2.4E-2</v>
          </cell>
          <cell r="H2849"/>
          <cell r="I2849"/>
          <cell r="J2849"/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>
            <v>4.0000000000000001E-3</v>
          </cell>
        </row>
        <row r="2850">
          <cell r="A2850" t="str">
            <v>51750-095LF</v>
          </cell>
          <cell r="B2850"/>
          <cell r="C2850"/>
          <cell r="D2850"/>
          <cell r="E2850"/>
          <cell r="F2850"/>
          <cell r="G2850">
            <v>2.8000000000000001E-2</v>
          </cell>
          <cell r="H2850"/>
          <cell r="I2850"/>
          <cell r="J2850"/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>
            <v>3.0000000000000001E-3</v>
          </cell>
        </row>
        <row r="2851">
          <cell r="A2851" t="str">
            <v>51750-096LF</v>
          </cell>
          <cell r="B2851"/>
          <cell r="C2851"/>
          <cell r="D2851"/>
          <cell r="E2851"/>
          <cell r="F2851"/>
          <cell r="G2851">
            <v>2.8000000000000001E-2</v>
          </cell>
          <cell r="H2851"/>
          <cell r="I2851"/>
          <cell r="J2851"/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>
            <v>3.0000000000000001E-3</v>
          </cell>
        </row>
        <row r="2852">
          <cell r="A2852" t="str">
            <v>51750-097LF</v>
          </cell>
          <cell r="B2852"/>
          <cell r="C2852"/>
          <cell r="D2852"/>
          <cell r="E2852"/>
          <cell r="F2852"/>
          <cell r="G2852">
            <v>2.3E-2</v>
          </cell>
          <cell r="H2852"/>
          <cell r="I2852"/>
          <cell r="J2852"/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>
            <v>2E-3</v>
          </cell>
        </row>
        <row r="2853">
          <cell r="A2853" t="str">
            <v>51750-098LF</v>
          </cell>
          <cell r="B2853"/>
          <cell r="C2853"/>
          <cell r="D2853"/>
          <cell r="E2853"/>
          <cell r="F2853"/>
          <cell r="G2853">
            <v>2.9000000000000001E-2</v>
          </cell>
          <cell r="H2853"/>
          <cell r="I2853"/>
          <cell r="J2853"/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>
            <v>3.0000000000000001E-3</v>
          </cell>
        </row>
        <row r="2854">
          <cell r="A2854" t="str">
            <v>51750-099LF</v>
          </cell>
          <cell r="B2854"/>
          <cell r="C2854"/>
          <cell r="D2854"/>
          <cell r="E2854"/>
          <cell r="F2854"/>
          <cell r="G2854">
            <v>2.5000000000000001E-2</v>
          </cell>
          <cell r="H2854"/>
          <cell r="I2854"/>
          <cell r="J2854"/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>
            <v>3.0000000000000001E-3</v>
          </cell>
        </row>
        <row r="2855">
          <cell r="A2855" t="str">
            <v>51750-101LF</v>
          </cell>
          <cell r="B2855"/>
          <cell r="C2855"/>
          <cell r="D2855"/>
          <cell r="E2855"/>
          <cell r="F2855"/>
          <cell r="G2855">
            <v>2.7E-2</v>
          </cell>
          <cell r="H2855"/>
          <cell r="I2855"/>
          <cell r="J2855"/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>
            <v>2E-3</v>
          </cell>
        </row>
        <row r="2856">
          <cell r="A2856" t="str">
            <v>51750-102LF</v>
          </cell>
          <cell r="B2856"/>
          <cell r="C2856"/>
          <cell r="D2856"/>
          <cell r="E2856"/>
          <cell r="F2856"/>
          <cell r="G2856">
            <v>0.03</v>
          </cell>
          <cell r="H2856"/>
          <cell r="I2856"/>
          <cell r="J2856"/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>
            <v>3.0000000000000001E-3</v>
          </cell>
        </row>
        <row r="2857">
          <cell r="A2857" t="str">
            <v>51750-104LF</v>
          </cell>
          <cell r="B2857"/>
          <cell r="C2857"/>
          <cell r="D2857"/>
          <cell r="E2857"/>
          <cell r="F2857"/>
          <cell r="G2857">
            <v>0.04</v>
          </cell>
          <cell r="H2857"/>
          <cell r="I2857"/>
          <cell r="J2857"/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>
            <v>7.0000000000000001E-3</v>
          </cell>
        </row>
        <row r="2858">
          <cell r="A2858" t="str">
            <v>51750-105LF</v>
          </cell>
          <cell r="B2858"/>
          <cell r="C2858"/>
          <cell r="D2858"/>
          <cell r="E2858"/>
          <cell r="F2858"/>
          <cell r="G2858">
            <v>2.3400000000000001E-2</v>
          </cell>
          <cell r="H2858"/>
          <cell r="I2858"/>
          <cell r="J2858"/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>
            <v>3.0000000000000001E-3</v>
          </cell>
        </row>
        <row r="2859">
          <cell r="A2859" t="str">
            <v>51750-106LF</v>
          </cell>
          <cell r="B2859"/>
          <cell r="C2859"/>
          <cell r="D2859"/>
          <cell r="E2859"/>
          <cell r="F2859"/>
          <cell r="G2859">
            <v>2.8000000000000001E-2</v>
          </cell>
          <cell r="H2859"/>
          <cell r="I2859"/>
          <cell r="J2859"/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>
            <v>3.0000000000000001E-3</v>
          </cell>
        </row>
        <row r="2860">
          <cell r="A2860" t="str">
            <v>51750-108LF</v>
          </cell>
          <cell r="B2860"/>
          <cell r="C2860"/>
          <cell r="D2860"/>
          <cell r="E2860"/>
          <cell r="F2860"/>
          <cell r="G2860">
            <v>2.5999999999999999E-2</v>
          </cell>
          <cell r="H2860"/>
          <cell r="I2860"/>
          <cell r="J2860"/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>
            <v>2E-3</v>
          </cell>
        </row>
        <row r="2861">
          <cell r="A2861" t="str">
            <v>51750-109LF</v>
          </cell>
          <cell r="B2861"/>
          <cell r="C2861"/>
          <cell r="D2861"/>
          <cell r="E2861"/>
          <cell r="F2861"/>
          <cell r="G2861">
            <v>3.3000000000000002E-2</v>
          </cell>
          <cell r="H2861"/>
          <cell r="I2861"/>
          <cell r="J2861"/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>
            <v>3.0000000000000001E-3</v>
          </cell>
        </row>
        <row r="2862">
          <cell r="A2862" t="str">
            <v>51750-110LF</v>
          </cell>
          <cell r="B2862"/>
          <cell r="C2862"/>
          <cell r="D2862"/>
          <cell r="E2862"/>
          <cell r="F2862"/>
          <cell r="G2862">
            <v>3.2000000000000001E-2</v>
          </cell>
          <cell r="H2862"/>
          <cell r="I2862"/>
          <cell r="J2862"/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>
            <v>3.0000000000000001E-3</v>
          </cell>
        </row>
        <row r="2863">
          <cell r="A2863" t="str">
            <v>51750-111LF</v>
          </cell>
          <cell r="B2863"/>
          <cell r="C2863"/>
          <cell r="D2863"/>
          <cell r="E2863"/>
          <cell r="F2863"/>
          <cell r="G2863">
            <v>3.3000000000000002E-2</v>
          </cell>
          <cell r="H2863"/>
          <cell r="I2863"/>
          <cell r="J2863"/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>
            <v>4.0000000000000001E-3</v>
          </cell>
        </row>
        <row r="2864">
          <cell r="A2864" t="str">
            <v>51750-112LF</v>
          </cell>
          <cell r="B2864"/>
          <cell r="C2864"/>
          <cell r="D2864"/>
          <cell r="E2864"/>
          <cell r="F2864"/>
          <cell r="G2864">
            <v>3.4000000000000002E-2</v>
          </cell>
          <cell r="H2864"/>
          <cell r="I2864"/>
          <cell r="J2864"/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>
            <v>6.0000000000000001E-3</v>
          </cell>
        </row>
        <row r="2865">
          <cell r="A2865" t="str">
            <v>51750-114LF</v>
          </cell>
          <cell r="B2865"/>
          <cell r="C2865"/>
          <cell r="D2865"/>
          <cell r="E2865"/>
          <cell r="F2865"/>
          <cell r="G2865">
            <v>2.4E-2</v>
          </cell>
          <cell r="H2865"/>
          <cell r="I2865"/>
          <cell r="J2865"/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>
            <v>3.0000000000000001E-3</v>
          </cell>
        </row>
        <row r="2866">
          <cell r="A2866" t="str">
            <v>51750-115LF</v>
          </cell>
          <cell r="B2866"/>
          <cell r="C2866"/>
          <cell r="D2866"/>
          <cell r="E2866"/>
          <cell r="F2866"/>
          <cell r="G2866">
            <v>2.5999999999999999E-2</v>
          </cell>
          <cell r="H2866"/>
          <cell r="I2866"/>
          <cell r="J2866"/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>
            <v>3.0000000000000001E-3</v>
          </cell>
        </row>
        <row r="2867">
          <cell r="A2867" t="str">
            <v>51750-116LF</v>
          </cell>
          <cell r="B2867"/>
          <cell r="C2867"/>
          <cell r="D2867"/>
          <cell r="E2867"/>
          <cell r="F2867"/>
          <cell r="G2867">
            <v>2.5000000000000001E-2</v>
          </cell>
          <cell r="H2867"/>
          <cell r="I2867"/>
          <cell r="J2867"/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>
            <v>3.0000000000000001E-3</v>
          </cell>
        </row>
        <row r="2868">
          <cell r="A2868" t="str">
            <v>51750-118LF</v>
          </cell>
          <cell r="B2868"/>
          <cell r="C2868"/>
          <cell r="D2868"/>
          <cell r="E2868"/>
          <cell r="F2868"/>
          <cell r="G2868">
            <v>2.5000000000000001E-2</v>
          </cell>
          <cell r="H2868"/>
          <cell r="I2868"/>
          <cell r="J2868"/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>
            <v>3.0000000000000001E-3</v>
          </cell>
        </row>
        <row r="2869">
          <cell r="A2869" t="str">
            <v>51750-119LF</v>
          </cell>
          <cell r="B2869"/>
          <cell r="C2869"/>
          <cell r="D2869"/>
          <cell r="E2869"/>
          <cell r="F2869"/>
          <cell r="G2869">
            <v>0.06</v>
          </cell>
          <cell r="H2869"/>
          <cell r="I2869"/>
          <cell r="J2869"/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>
            <v>5.0000000000000001E-3</v>
          </cell>
        </row>
        <row r="2870">
          <cell r="A2870" t="str">
            <v>51750-121LF</v>
          </cell>
          <cell r="B2870"/>
          <cell r="C2870"/>
          <cell r="D2870"/>
          <cell r="E2870"/>
          <cell r="F2870"/>
          <cell r="G2870">
            <v>0.03</v>
          </cell>
          <cell r="H2870"/>
          <cell r="I2870"/>
          <cell r="J2870"/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>
            <v>2E-3</v>
          </cell>
        </row>
        <row r="2871">
          <cell r="A2871" t="str">
            <v>51750-122LF</v>
          </cell>
          <cell r="B2871"/>
          <cell r="C2871"/>
          <cell r="D2871"/>
          <cell r="E2871"/>
          <cell r="F2871"/>
          <cell r="G2871">
            <v>2.5999999999999999E-2</v>
          </cell>
          <cell r="H2871"/>
          <cell r="I2871"/>
          <cell r="J2871"/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>
            <v>3.0000000000000001E-3</v>
          </cell>
        </row>
        <row r="2872">
          <cell r="A2872" t="str">
            <v>51750-133LF</v>
          </cell>
          <cell r="B2872"/>
          <cell r="C2872"/>
          <cell r="D2872"/>
          <cell r="E2872"/>
          <cell r="F2872"/>
          <cell r="G2872">
            <v>2.1999999999999999E-2</v>
          </cell>
          <cell r="H2872"/>
          <cell r="I2872"/>
          <cell r="J2872"/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>
            <v>2E-3</v>
          </cell>
        </row>
        <row r="2873">
          <cell r="A2873" t="str">
            <v>51750-134LF</v>
          </cell>
          <cell r="B2873"/>
          <cell r="C2873"/>
          <cell r="D2873"/>
          <cell r="E2873"/>
          <cell r="F2873"/>
          <cell r="G2873">
            <v>0.03</v>
          </cell>
          <cell r="H2873"/>
          <cell r="I2873"/>
          <cell r="J2873"/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>
            <v>5.0000000000000001E-3</v>
          </cell>
        </row>
        <row r="2874">
          <cell r="A2874" t="str">
            <v>51750-135LF</v>
          </cell>
          <cell r="B2874"/>
          <cell r="C2874"/>
          <cell r="D2874"/>
          <cell r="E2874"/>
          <cell r="F2874"/>
          <cell r="G2874">
            <v>2.5000000000000001E-2</v>
          </cell>
          <cell r="H2874"/>
          <cell r="I2874"/>
          <cell r="J2874"/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>
            <v>3.0000000000000001E-3</v>
          </cell>
        </row>
        <row r="2875">
          <cell r="A2875" t="str">
            <v>51750-136LF</v>
          </cell>
          <cell r="B2875"/>
          <cell r="C2875"/>
          <cell r="D2875"/>
          <cell r="E2875"/>
          <cell r="F2875"/>
          <cell r="G2875">
            <v>1.0717783E-2</v>
          </cell>
          <cell r="H2875"/>
          <cell r="I2875"/>
          <cell r="J2875"/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>
            <v>2.7271999999999999E-3</v>
          </cell>
        </row>
        <row r="2876">
          <cell r="A2876" t="str">
            <v>51750-137LF</v>
          </cell>
          <cell r="B2876"/>
          <cell r="C2876"/>
          <cell r="D2876"/>
          <cell r="E2876"/>
          <cell r="F2876"/>
          <cell r="G2876">
            <v>2.1999999999999999E-2</v>
          </cell>
          <cell r="H2876"/>
          <cell r="I2876"/>
          <cell r="J2876"/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>
            <v>3.0000000000000001E-3</v>
          </cell>
        </row>
        <row r="2877">
          <cell r="A2877" t="str">
            <v>51750-139LF</v>
          </cell>
          <cell r="B2877"/>
          <cell r="C2877"/>
          <cell r="D2877"/>
          <cell r="E2877"/>
          <cell r="F2877"/>
          <cell r="G2877">
            <v>2.7099999999999999E-2</v>
          </cell>
          <cell r="H2877"/>
          <cell r="I2877"/>
          <cell r="J2877"/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>
            <v>3.0000000000000001E-3</v>
          </cell>
        </row>
        <row r="2878">
          <cell r="A2878" t="str">
            <v>51750-141LF</v>
          </cell>
          <cell r="B2878"/>
          <cell r="C2878"/>
          <cell r="D2878"/>
          <cell r="E2878"/>
          <cell r="F2878"/>
          <cell r="G2878">
            <v>0.02</v>
          </cell>
          <cell r="H2878"/>
          <cell r="I2878"/>
          <cell r="J2878"/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>
            <v>6.1000000000000004E-3</v>
          </cell>
        </row>
        <row r="2879">
          <cell r="A2879" t="str">
            <v>51750-143LF</v>
          </cell>
          <cell r="B2879"/>
          <cell r="C2879"/>
          <cell r="D2879"/>
          <cell r="E2879"/>
          <cell r="F2879"/>
          <cell r="G2879">
            <v>2.3E-2</v>
          </cell>
          <cell r="H2879"/>
          <cell r="I2879"/>
          <cell r="J2879"/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>
            <v>2E-3</v>
          </cell>
        </row>
        <row r="2880">
          <cell r="A2880" t="str">
            <v>51750-145LF</v>
          </cell>
          <cell r="B2880"/>
          <cell r="C2880"/>
          <cell r="D2880"/>
          <cell r="E2880"/>
          <cell r="F2880"/>
          <cell r="G2880">
            <v>2.3E-2</v>
          </cell>
          <cell r="H2880"/>
          <cell r="I2880"/>
          <cell r="J2880"/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>
            <v>2E-3</v>
          </cell>
        </row>
        <row r="2881">
          <cell r="A2881" t="str">
            <v>51750-146LF</v>
          </cell>
          <cell r="B2881"/>
          <cell r="C2881"/>
          <cell r="D2881"/>
          <cell r="E2881"/>
          <cell r="F2881"/>
          <cell r="G2881">
            <v>2.5000000000000001E-2</v>
          </cell>
          <cell r="H2881"/>
          <cell r="I2881"/>
          <cell r="J2881"/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>
            <v>2E-3</v>
          </cell>
        </row>
        <row r="2882">
          <cell r="A2882" t="str">
            <v>51750-147LF</v>
          </cell>
          <cell r="B2882"/>
          <cell r="C2882"/>
          <cell r="D2882"/>
          <cell r="E2882"/>
          <cell r="F2882"/>
          <cell r="G2882">
            <v>2.5000000000000001E-2</v>
          </cell>
          <cell r="H2882"/>
          <cell r="I2882"/>
          <cell r="J2882"/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>
            <v>2E-3</v>
          </cell>
        </row>
        <row r="2883">
          <cell r="A2883" t="str">
            <v>51750-148LF</v>
          </cell>
          <cell r="B2883"/>
          <cell r="C2883"/>
          <cell r="D2883"/>
          <cell r="E2883"/>
          <cell r="F2883"/>
          <cell r="G2883">
            <v>2.5000000000000001E-2</v>
          </cell>
          <cell r="H2883"/>
          <cell r="I2883"/>
          <cell r="J2883"/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>
            <v>2E-3</v>
          </cell>
        </row>
        <row r="2884">
          <cell r="A2884" t="str">
            <v>51750-149LF</v>
          </cell>
          <cell r="B2884"/>
          <cell r="C2884"/>
          <cell r="D2884"/>
          <cell r="E2884"/>
          <cell r="F2884"/>
          <cell r="G2884">
            <v>2.1000000000000001E-2</v>
          </cell>
          <cell r="H2884"/>
          <cell r="I2884"/>
          <cell r="J2884"/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>
            <v>6.1000000000000004E-3</v>
          </cell>
        </row>
        <row r="2885">
          <cell r="A2885" t="str">
            <v>51750-150LF</v>
          </cell>
          <cell r="B2885"/>
          <cell r="C2885"/>
          <cell r="D2885"/>
          <cell r="E2885"/>
          <cell r="F2885"/>
          <cell r="G2885">
            <v>2.5000000000000001E-2</v>
          </cell>
          <cell r="H2885"/>
          <cell r="I2885"/>
          <cell r="J2885"/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>
            <v>2E-3</v>
          </cell>
        </row>
        <row r="2886">
          <cell r="A2886" t="str">
            <v>51750-151LF</v>
          </cell>
          <cell r="B2886"/>
          <cell r="C2886"/>
          <cell r="D2886"/>
          <cell r="E2886"/>
          <cell r="F2886"/>
          <cell r="G2886">
            <v>2.5000000000000001E-2</v>
          </cell>
          <cell r="H2886"/>
          <cell r="I2886"/>
          <cell r="J2886"/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>
            <v>2E-3</v>
          </cell>
        </row>
        <row r="2887">
          <cell r="A2887" t="str">
            <v>51750-152LF</v>
          </cell>
          <cell r="B2887"/>
          <cell r="C2887"/>
          <cell r="D2887"/>
          <cell r="E2887"/>
          <cell r="F2887"/>
          <cell r="G2887">
            <v>2.5000000000000001E-2</v>
          </cell>
          <cell r="H2887"/>
          <cell r="I2887"/>
          <cell r="J2887"/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>
            <v>2E-3</v>
          </cell>
        </row>
        <row r="2888">
          <cell r="A2888" t="str">
            <v>51751-005LF</v>
          </cell>
          <cell r="B2888"/>
          <cell r="C2888"/>
          <cell r="D2888"/>
          <cell r="E2888"/>
          <cell r="F2888"/>
          <cell r="G2888">
            <v>9.2936919999999992E-3</v>
          </cell>
          <cell r="H2888"/>
          <cell r="I2888"/>
          <cell r="J2888"/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>
            <v>3.0000000000000001E-3</v>
          </cell>
        </row>
        <row r="2889">
          <cell r="A2889" t="str">
            <v>51751-007LF</v>
          </cell>
          <cell r="B2889"/>
          <cell r="C2889"/>
          <cell r="D2889"/>
          <cell r="E2889"/>
          <cell r="F2889"/>
          <cell r="G2889">
            <v>3.4000000000000002E-2</v>
          </cell>
          <cell r="H2889"/>
          <cell r="I2889"/>
          <cell r="J2889"/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>
            <v>4.0000000000000001E-3</v>
          </cell>
        </row>
        <row r="2890">
          <cell r="A2890" t="str">
            <v>51751-011LF</v>
          </cell>
          <cell r="B2890"/>
          <cell r="C2890"/>
          <cell r="D2890"/>
          <cell r="E2890"/>
          <cell r="F2890"/>
          <cell r="G2890">
            <v>1.8270999999999999E-2</v>
          </cell>
          <cell r="H2890"/>
          <cell r="I2890"/>
          <cell r="J2890"/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>
            <v>4.0000000000000001E-3</v>
          </cell>
        </row>
        <row r="2891">
          <cell r="A2891" t="str">
            <v>51751-016LF</v>
          </cell>
          <cell r="B2891"/>
          <cell r="C2891"/>
          <cell r="D2891"/>
          <cell r="E2891"/>
          <cell r="F2891"/>
          <cell r="G2891">
            <v>2.1568E-2</v>
          </cell>
          <cell r="H2891"/>
          <cell r="I2891"/>
          <cell r="J2891"/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>
            <v>4.0000000000000001E-3</v>
          </cell>
        </row>
        <row r="2892">
          <cell r="A2892" t="str">
            <v>51751-017LF</v>
          </cell>
          <cell r="B2892"/>
          <cell r="C2892"/>
          <cell r="D2892"/>
          <cell r="E2892"/>
          <cell r="F2892"/>
          <cell r="G2892">
            <v>2.7300000000000001E-2</v>
          </cell>
          <cell r="H2892"/>
          <cell r="I2892"/>
          <cell r="J2892"/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>
            <v>2E-3</v>
          </cell>
        </row>
        <row r="2893">
          <cell r="A2893" t="str">
            <v>51751-018LF</v>
          </cell>
          <cell r="B2893"/>
          <cell r="C2893"/>
          <cell r="D2893"/>
          <cell r="E2893"/>
          <cell r="F2893"/>
          <cell r="G2893">
            <v>8.6999999999999994E-3</v>
          </cell>
          <cell r="H2893"/>
          <cell r="I2893"/>
          <cell r="J2893"/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>
            <v>3.0000000000000001E-3</v>
          </cell>
        </row>
        <row r="2894">
          <cell r="A2894" t="str">
            <v>51751-018PGSALF</v>
          </cell>
          <cell r="B2894"/>
          <cell r="C2894"/>
          <cell r="D2894"/>
          <cell r="E2894"/>
          <cell r="F2894"/>
          <cell r="G2894">
            <v>8.6999999999999994E-3</v>
          </cell>
          <cell r="H2894"/>
          <cell r="I2894"/>
          <cell r="J2894"/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>
            <v>3.0000000000000001E-3</v>
          </cell>
        </row>
        <row r="2895">
          <cell r="A2895" t="str">
            <v>51751-019LF</v>
          </cell>
          <cell r="B2895"/>
          <cell r="C2895"/>
          <cell r="D2895"/>
          <cell r="E2895"/>
          <cell r="F2895"/>
          <cell r="G2895">
            <v>1.0699999999999999E-2</v>
          </cell>
          <cell r="H2895"/>
          <cell r="I2895"/>
          <cell r="J2895"/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>
            <v>3.0000000000000001E-3</v>
          </cell>
        </row>
        <row r="2896">
          <cell r="A2896" t="str">
            <v>51751-020LF</v>
          </cell>
          <cell r="B2896"/>
          <cell r="C2896"/>
          <cell r="D2896"/>
          <cell r="E2896"/>
          <cell r="F2896"/>
          <cell r="G2896">
            <v>3.2000000000000001E-2</v>
          </cell>
          <cell r="H2896"/>
          <cell r="I2896"/>
          <cell r="J2896"/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>
            <v>3.0000000000000001E-3</v>
          </cell>
        </row>
        <row r="2897">
          <cell r="A2897" t="str">
            <v>51751-023LF</v>
          </cell>
          <cell r="B2897"/>
          <cell r="C2897"/>
          <cell r="D2897"/>
          <cell r="E2897"/>
          <cell r="F2897"/>
          <cell r="G2897">
            <v>2.3E-2</v>
          </cell>
          <cell r="H2897"/>
          <cell r="I2897"/>
          <cell r="J2897"/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>
            <v>3.0000000000000001E-3</v>
          </cell>
        </row>
        <row r="2898">
          <cell r="A2898" t="str">
            <v>51751-024LF</v>
          </cell>
          <cell r="B2898"/>
          <cell r="C2898"/>
          <cell r="D2898"/>
          <cell r="E2898"/>
          <cell r="F2898"/>
          <cell r="G2898">
            <v>3.4000000000000002E-2</v>
          </cell>
          <cell r="H2898"/>
          <cell r="I2898"/>
          <cell r="J2898"/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>
            <v>2E-3</v>
          </cell>
        </row>
        <row r="2899">
          <cell r="A2899" t="str">
            <v>51751-028LF</v>
          </cell>
          <cell r="B2899"/>
          <cell r="C2899"/>
          <cell r="D2899"/>
          <cell r="E2899"/>
          <cell r="F2899"/>
          <cell r="G2899">
            <v>2.5000000000000001E-2</v>
          </cell>
          <cell r="H2899"/>
          <cell r="I2899"/>
          <cell r="J2899"/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>
            <v>2E-3</v>
          </cell>
        </row>
        <row r="2900">
          <cell r="A2900" t="str">
            <v>51751-029LF</v>
          </cell>
          <cell r="B2900"/>
          <cell r="C2900"/>
          <cell r="D2900"/>
          <cell r="E2900"/>
          <cell r="F2900"/>
          <cell r="G2900">
            <v>2.4E-2</v>
          </cell>
          <cell r="H2900"/>
          <cell r="I2900"/>
          <cell r="J2900"/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>
            <v>3.0000000000000001E-3</v>
          </cell>
        </row>
        <row r="2901">
          <cell r="A2901" t="str">
            <v>51751-031LF</v>
          </cell>
          <cell r="B2901"/>
          <cell r="C2901"/>
          <cell r="D2901"/>
          <cell r="E2901"/>
          <cell r="F2901"/>
          <cell r="G2901">
            <v>2.3E-2</v>
          </cell>
          <cell r="H2901"/>
          <cell r="I2901"/>
          <cell r="J2901"/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>
            <v>5.0000000000000001E-3</v>
          </cell>
        </row>
        <row r="2902">
          <cell r="A2902" t="str">
            <v>51751-034LF</v>
          </cell>
          <cell r="B2902"/>
          <cell r="C2902"/>
          <cell r="D2902"/>
          <cell r="E2902"/>
          <cell r="F2902"/>
          <cell r="G2902">
            <v>4.2000000000000003E-2</v>
          </cell>
          <cell r="H2902"/>
          <cell r="I2902"/>
          <cell r="J2902"/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>
            <v>4.0000000000000001E-3</v>
          </cell>
        </row>
        <row r="2903">
          <cell r="A2903" t="str">
            <v>51751-037LF</v>
          </cell>
          <cell r="B2903"/>
          <cell r="C2903"/>
          <cell r="D2903"/>
          <cell r="E2903"/>
          <cell r="F2903"/>
          <cell r="G2903">
            <v>2.4E-2</v>
          </cell>
          <cell r="H2903"/>
          <cell r="I2903"/>
          <cell r="J2903"/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>
            <v>3.0000000000000001E-3</v>
          </cell>
        </row>
        <row r="2904">
          <cell r="A2904" t="str">
            <v>51751-038LF</v>
          </cell>
          <cell r="B2904"/>
          <cell r="C2904"/>
          <cell r="D2904"/>
          <cell r="E2904"/>
          <cell r="F2904"/>
          <cell r="G2904">
            <v>4.4999999999999998E-2</v>
          </cell>
          <cell r="H2904"/>
          <cell r="I2904"/>
          <cell r="J2904"/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>
            <v>4.0000000000000001E-3</v>
          </cell>
        </row>
        <row r="2905">
          <cell r="A2905" t="str">
            <v>51751-039LF</v>
          </cell>
          <cell r="B2905"/>
          <cell r="C2905"/>
          <cell r="D2905"/>
          <cell r="E2905"/>
          <cell r="F2905"/>
          <cell r="G2905">
            <v>3.4000000000000002E-2</v>
          </cell>
          <cell r="H2905"/>
          <cell r="I2905"/>
          <cell r="J2905"/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>
            <v>8.0000000000000002E-3</v>
          </cell>
        </row>
        <row r="2906">
          <cell r="A2906" t="str">
            <v>51751-041LF</v>
          </cell>
          <cell r="B2906"/>
          <cell r="C2906"/>
          <cell r="D2906"/>
          <cell r="E2906"/>
          <cell r="F2906"/>
          <cell r="G2906">
            <v>3.9E-2</v>
          </cell>
          <cell r="H2906"/>
          <cell r="I2906"/>
          <cell r="J2906"/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>
            <v>6.1000000000000004E-3</v>
          </cell>
        </row>
        <row r="2907">
          <cell r="A2907" t="str">
            <v>51751-042LF</v>
          </cell>
          <cell r="B2907"/>
          <cell r="C2907"/>
          <cell r="D2907"/>
          <cell r="E2907"/>
          <cell r="F2907"/>
          <cell r="G2907">
            <v>4.2000000000000003E-2</v>
          </cell>
          <cell r="H2907"/>
          <cell r="I2907"/>
          <cell r="J2907"/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>
            <v>6.1000000000000004E-3</v>
          </cell>
        </row>
        <row r="2908">
          <cell r="A2908" t="str">
            <v>51751-043LF</v>
          </cell>
          <cell r="B2908"/>
          <cell r="C2908"/>
          <cell r="D2908"/>
          <cell r="E2908"/>
          <cell r="F2908"/>
          <cell r="G2908">
            <v>3.4000000000000002E-2</v>
          </cell>
          <cell r="H2908"/>
          <cell r="I2908"/>
          <cell r="J2908"/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>
            <v>9.4000000000000004E-3</v>
          </cell>
        </row>
        <row r="2909">
          <cell r="A2909" t="str">
            <v>51751-044LF</v>
          </cell>
          <cell r="B2909"/>
          <cell r="C2909"/>
          <cell r="D2909"/>
          <cell r="E2909"/>
          <cell r="F2909"/>
          <cell r="G2909">
            <v>3.4000000000000002E-2</v>
          </cell>
          <cell r="H2909"/>
          <cell r="I2909"/>
          <cell r="J2909"/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>
            <v>9.4000000000000004E-3</v>
          </cell>
        </row>
        <row r="2910">
          <cell r="A2910" t="str">
            <v>51751-045LF</v>
          </cell>
          <cell r="B2910"/>
          <cell r="C2910"/>
          <cell r="D2910"/>
          <cell r="E2910"/>
          <cell r="F2910"/>
          <cell r="G2910">
            <v>2.3E-2</v>
          </cell>
          <cell r="H2910"/>
          <cell r="I2910"/>
          <cell r="J2910"/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>
            <v>8.9999999999999993E-3</v>
          </cell>
        </row>
        <row r="2911">
          <cell r="A2911" t="str">
            <v>51752-004LF</v>
          </cell>
          <cell r="B2911"/>
          <cell r="C2911"/>
          <cell r="D2911"/>
          <cell r="E2911"/>
          <cell r="F2911"/>
          <cell r="G2911">
            <v>3.9E-2</v>
          </cell>
          <cell r="H2911"/>
          <cell r="I2911"/>
          <cell r="J2911"/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>
            <v>4.0000000000000001E-3</v>
          </cell>
        </row>
        <row r="2912">
          <cell r="A2912" t="str">
            <v>51752-006LF</v>
          </cell>
          <cell r="B2912"/>
          <cell r="C2912"/>
          <cell r="D2912"/>
          <cell r="E2912"/>
          <cell r="F2912"/>
          <cell r="G2912">
            <v>2.7E-2</v>
          </cell>
          <cell r="H2912"/>
          <cell r="I2912"/>
          <cell r="J2912"/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>
            <v>3.0000000000000001E-3</v>
          </cell>
        </row>
        <row r="2913">
          <cell r="A2913" t="str">
            <v>51752-006PGSALF</v>
          </cell>
          <cell r="B2913"/>
          <cell r="C2913"/>
          <cell r="D2913"/>
          <cell r="E2913"/>
          <cell r="F2913"/>
          <cell r="G2913">
            <v>2.7E-2</v>
          </cell>
          <cell r="H2913"/>
          <cell r="I2913"/>
          <cell r="J2913"/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>
            <v>3.0000000000000001E-3</v>
          </cell>
        </row>
        <row r="2914">
          <cell r="A2914" t="str">
            <v>51752-010LF</v>
          </cell>
          <cell r="B2914"/>
          <cell r="C2914"/>
          <cell r="D2914"/>
          <cell r="E2914"/>
          <cell r="F2914"/>
          <cell r="G2914">
            <v>2.0799999999999999E-2</v>
          </cell>
          <cell r="H2914"/>
          <cell r="I2914"/>
          <cell r="J2914"/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>
            <v>8.9999999999999993E-3</v>
          </cell>
        </row>
        <row r="2915">
          <cell r="A2915" t="str">
            <v>51752-011LF</v>
          </cell>
          <cell r="B2915"/>
          <cell r="C2915"/>
          <cell r="D2915"/>
          <cell r="E2915"/>
          <cell r="F2915"/>
          <cell r="G2915">
            <v>9.7000000000000003E-3</v>
          </cell>
          <cell r="H2915"/>
          <cell r="I2915"/>
          <cell r="J2915"/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>
            <v>6.3E-3</v>
          </cell>
        </row>
        <row r="2916">
          <cell r="A2916" t="str">
            <v>51752-012LF</v>
          </cell>
          <cell r="B2916"/>
          <cell r="C2916"/>
          <cell r="D2916"/>
          <cell r="E2916"/>
          <cell r="F2916"/>
          <cell r="G2916">
            <v>1.9E-2</v>
          </cell>
          <cell r="H2916"/>
          <cell r="I2916"/>
          <cell r="J2916"/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>
            <v>4.0000000000000001E-3</v>
          </cell>
        </row>
        <row r="2917">
          <cell r="A2917" t="str">
            <v>51752-013LF</v>
          </cell>
          <cell r="B2917"/>
          <cell r="C2917"/>
          <cell r="D2917"/>
          <cell r="E2917"/>
          <cell r="F2917"/>
          <cell r="G2917">
            <v>1.5312846E-2</v>
          </cell>
          <cell r="H2917"/>
          <cell r="I2917"/>
          <cell r="J2917"/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>
            <v>4.0000000000000001E-3</v>
          </cell>
        </row>
        <row r="2918">
          <cell r="A2918" t="str">
            <v>51752-017LF</v>
          </cell>
          <cell r="B2918"/>
          <cell r="C2918"/>
          <cell r="D2918"/>
          <cell r="E2918"/>
          <cell r="F2918"/>
          <cell r="G2918">
            <v>3.1E-2</v>
          </cell>
          <cell r="H2918"/>
          <cell r="I2918"/>
          <cell r="J2918"/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>
            <v>3.0000000000000001E-3</v>
          </cell>
        </row>
        <row r="2919">
          <cell r="A2919" t="str">
            <v>51752-017PGSALF</v>
          </cell>
          <cell r="B2919"/>
          <cell r="C2919"/>
          <cell r="D2919"/>
          <cell r="E2919"/>
          <cell r="F2919"/>
          <cell r="G2919">
            <v>3.1E-2</v>
          </cell>
          <cell r="H2919"/>
          <cell r="I2919"/>
          <cell r="J2919"/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>
            <v>3.0000000000000001E-3</v>
          </cell>
        </row>
        <row r="2920">
          <cell r="A2920" t="str">
            <v>51752-018LF</v>
          </cell>
          <cell r="B2920"/>
          <cell r="C2920"/>
          <cell r="D2920"/>
          <cell r="E2920"/>
          <cell r="F2920"/>
          <cell r="G2920">
            <v>2.1999999999999999E-2</v>
          </cell>
          <cell r="H2920"/>
          <cell r="I2920"/>
          <cell r="J2920"/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>
            <v>3.0000000000000001E-3</v>
          </cell>
        </row>
        <row r="2921">
          <cell r="A2921" t="str">
            <v>51752-020LF</v>
          </cell>
          <cell r="B2921"/>
          <cell r="C2921"/>
          <cell r="D2921"/>
          <cell r="E2921"/>
          <cell r="F2921"/>
          <cell r="G2921">
            <v>2.7E-2</v>
          </cell>
          <cell r="H2921"/>
          <cell r="I2921"/>
          <cell r="J2921"/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>
            <v>3.0000000000000001E-3</v>
          </cell>
        </row>
        <row r="2922">
          <cell r="A2922" t="str">
            <v>51752-021LF</v>
          </cell>
          <cell r="B2922"/>
          <cell r="C2922"/>
          <cell r="D2922"/>
          <cell r="E2922"/>
          <cell r="F2922"/>
          <cell r="G2922">
            <v>2.1999999999999999E-2</v>
          </cell>
          <cell r="H2922"/>
          <cell r="I2922"/>
          <cell r="J2922"/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>
            <v>3.0000000000000001E-3</v>
          </cell>
        </row>
        <row r="2923">
          <cell r="A2923" t="str">
            <v>51752-022LF</v>
          </cell>
          <cell r="B2923"/>
          <cell r="C2923"/>
          <cell r="D2923"/>
          <cell r="E2923"/>
          <cell r="F2923"/>
          <cell r="G2923">
            <v>5.1999999999999998E-2</v>
          </cell>
          <cell r="H2923"/>
          <cell r="I2923"/>
          <cell r="J2923"/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>
            <v>3.0000000000000001E-3</v>
          </cell>
        </row>
        <row r="2924">
          <cell r="A2924" t="str">
            <v>51752-024LF</v>
          </cell>
          <cell r="B2924"/>
          <cell r="C2924"/>
          <cell r="D2924"/>
          <cell r="E2924"/>
          <cell r="F2924"/>
          <cell r="G2924">
            <v>3.3000000000000002E-2</v>
          </cell>
          <cell r="H2924"/>
          <cell r="I2924"/>
          <cell r="J2924"/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>
            <v>3.0000000000000001E-3</v>
          </cell>
        </row>
        <row r="2925">
          <cell r="A2925" t="str">
            <v>51752-025LF</v>
          </cell>
          <cell r="B2925"/>
          <cell r="C2925"/>
          <cell r="D2925"/>
          <cell r="E2925"/>
          <cell r="F2925"/>
          <cell r="G2925">
            <v>1.35E-2</v>
          </cell>
          <cell r="H2925"/>
          <cell r="I2925"/>
          <cell r="J2925"/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>
            <v>3.0000000000000001E-3</v>
          </cell>
        </row>
        <row r="2926">
          <cell r="A2926" t="str">
            <v>51752-026LF</v>
          </cell>
          <cell r="B2926"/>
          <cell r="C2926"/>
          <cell r="D2926"/>
          <cell r="E2926"/>
          <cell r="F2926"/>
          <cell r="G2926">
            <v>2.1000000000000001E-2</v>
          </cell>
          <cell r="H2926"/>
          <cell r="I2926"/>
          <cell r="J2926"/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>
            <v>2E-3</v>
          </cell>
        </row>
        <row r="2927">
          <cell r="A2927" t="str">
            <v>51752-027LF</v>
          </cell>
          <cell r="B2927"/>
          <cell r="C2927"/>
          <cell r="D2927"/>
          <cell r="E2927"/>
          <cell r="F2927"/>
          <cell r="G2927">
            <v>2.3E-2</v>
          </cell>
          <cell r="H2927"/>
          <cell r="I2927"/>
          <cell r="J2927"/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>
            <v>2E-3</v>
          </cell>
        </row>
        <row r="2928">
          <cell r="A2928" t="str">
            <v>51752-028ELF</v>
          </cell>
          <cell r="B2928"/>
          <cell r="C2928"/>
          <cell r="D2928"/>
          <cell r="E2928"/>
          <cell r="F2928"/>
          <cell r="G2928">
            <v>2.1999999999999999E-2</v>
          </cell>
          <cell r="H2928"/>
          <cell r="I2928"/>
          <cell r="J2928"/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>
            <v>3.0000000000000001E-3</v>
          </cell>
        </row>
        <row r="2929">
          <cell r="A2929" t="str">
            <v>51752-028LF</v>
          </cell>
          <cell r="B2929"/>
          <cell r="C2929"/>
          <cell r="D2929"/>
          <cell r="E2929"/>
          <cell r="F2929"/>
          <cell r="G2929">
            <v>2.2273000000000001E-2</v>
          </cell>
          <cell r="H2929"/>
          <cell r="I2929"/>
          <cell r="J2929"/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>
            <v>3.0000000000000001E-3</v>
          </cell>
        </row>
        <row r="2930">
          <cell r="A2930" t="str">
            <v>51752-029LF</v>
          </cell>
          <cell r="B2930"/>
          <cell r="C2930"/>
          <cell r="D2930"/>
          <cell r="E2930"/>
          <cell r="F2930"/>
          <cell r="G2930">
            <v>2.58E-2</v>
          </cell>
          <cell r="H2930"/>
          <cell r="I2930"/>
          <cell r="J2930"/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>
            <v>4.0000000000000001E-3</v>
          </cell>
        </row>
        <row r="2931">
          <cell r="A2931" t="str">
            <v>51752-030LF</v>
          </cell>
          <cell r="B2931"/>
          <cell r="C2931"/>
          <cell r="D2931"/>
          <cell r="E2931"/>
          <cell r="F2931"/>
          <cell r="G2931">
            <v>2.1000000000000001E-2</v>
          </cell>
          <cell r="H2931"/>
          <cell r="I2931"/>
          <cell r="J2931"/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>
            <v>2E-3</v>
          </cell>
        </row>
        <row r="2932">
          <cell r="A2932" t="str">
            <v>51752-032LF</v>
          </cell>
          <cell r="B2932"/>
          <cell r="C2932"/>
          <cell r="D2932"/>
          <cell r="E2932"/>
          <cell r="F2932"/>
          <cell r="G2932">
            <v>2.5999999999999999E-2</v>
          </cell>
          <cell r="H2932"/>
          <cell r="I2932"/>
          <cell r="J2932"/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>
            <v>3.0000000000000001E-3</v>
          </cell>
        </row>
        <row r="2933">
          <cell r="A2933" t="str">
            <v>51752-033LF</v>
          </cell>
          <cell r="B2933"/>
          <cell r="C2933"/>
          <cell r="D2933"/>
          <cell r="E2933"/>
          <cell r="F2933"/>
          <cell r="G2933">
            <v>3.1E-2</v>
          </cell>
          <cell r="H2933"/>
          <cell r="I2933"/>
          <cell r="J2933"/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>
            <v>3.0000000000000001E-3</v>
          </cell>
        </row>
        <row r="2934">
          <cell r="A2934" t="str">
            <v>51752-034LF</v>
          </cell>
          <cell r="B2934"/>
          <cell r="C2934"/>
          <cell r="D2934"/>
          <cell r="E2934"/>
          <cell r="F2934"/>
          <cell r="G2934">
            <v>2.7E-2</v>
          </cell>
          <cell r="H2934"/>
          <cell r="I2934"/>
          <cell r="J2934"/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>
            <v>2E-3</v>
          </cell>
        </row>
        <row r="2935">
          <cell r="A2935" t="str">
            <v>51752-035LF</v>
          </cell>
          <cell r="B2935"/>
          <cell r="C2935"/>
          <cell r="D2935"/>
          <cell r="E2935"/>
          <cell r="F2935"/>
          <cell r="G2935">
            <v>2.5999999999999999E-2</v>
          </cell>
          <cell r="H2935"/>
          <cell r="I2935"/>
          <cell r="J2935"/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>
            <v>4.0000000000000001E-3</v>
          </cell>
        </row>
        <row r="2936">
          <cell r="A2936" t="str">
            <v>51752-037LF</v>
          </cell>
          <cell r="B2936"/>
          <cell r="C2936"/>
          <cell r="D2936"/>
          <cell r="E2936"/>
          <cell r="F2936"/>
          <cell r="G2936">
            <v>2.8000000000000001E-2</v>
          </cell>
          <cell r="H2936"/>
          <cell r="I2936"/>
          <cell r="J2936"/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>
            <v>3.0000000000000001E-3</v>
          </cell>
        </row>
        <row r="2937">
          <cell r="A2937" t="str">
            <v>51752-038LF</v>
          </cell>
          <cell r="B2937"/>
          <cell r="C2937"/>
          <cell r="D2937"/>
          <cell r="E2937"/>
          <cell r="F2937"/>
          <cell r="G2937">
            <v>2.5999999999999999E-2</v>
          </cell>
          <cell r="H2937"/>
          <cell r="I2937"/>
          <cell r="J2937"/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>
            <v>3.0000000000000001E-3</v>
          </cell>
        </row>
        <row r="2938">
          <cell r="A2938" t="str">
            <v>51752-039LF</v>
          </cell>
          <cell r="B2938"/>
          <cell r="C2938"/>
          <cell r="D2938"/>
          <cell r="E2938"/>
          <cell r="F2938"/>
          <cell r="G2938">
            <v>2.8000000000000001E-2</v>
          </cell>
          <cell r="H2938"/>
          <cell r="I2938"/>
          <cell r="J2938"/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>
            <v>2E-3</v>
          </cell>
        </row>
        <row r="2939">
          <cell r="A2939" t="str">
            <v>51752-040LF</v>
          </cell>
          <cell r="B2939"/>
          <cell r="C2939"/>
          <cell r="D2939"/>
          <cell r="E2939"/>
          <cell r="F2939"/>
          <cell r="G2939">
            <v>2.8000000000000001E-2</v>
          </cell>
          <cell r="H2939"/>
          <cell r="I2939"/>
          <cell r="J2939"/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>
            <v>2E-3</v>
          </cell>
        </row>
        <row r="2940">
          <cell r="A2940" t="str">
            <v>51752-042LF</v>
          </cell>
          <cell r="B2940"/>
          <cell r="C2940"/>
          <cell r="D2940"/>
          <cell r="E2940"/>
          <cell r="F2940"/>
          <cell r="G2940">
            <v>3.5000000000000003E-2</v>
          </cell>
          <cell r="H2940"/>
          <cell r="I2940"/>
          <cell r="J2940"/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>
            <v>8.0000000000000002E-3</v>
          </cell>
        </row>
        <row r="2941">
          <cell r="A2941" t="str">
            <v>51753-002LF</v>
          </cell>
          <cell r="B2941"/>
          <cell r="C2941"/>
          <cell r="D2941"/>
          <cell r="E2941"/>
          <cell r="F2941"/>
          <cell r="G2941">
            <v>0.02</v>
          </cell>
          <cell r="H2941"/>
          <cell r="I2941"/>
          <cell r="J2941"/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>
            <v>6.1000000000000004E-3</v>
          </cell>
        </row>
        <row r="2942">
          <cell r="A2942" t="str">
            <v>51753-003LF</v>
          </cell>
          <cell r="B2942"/>
          <cell r="C2942"/>
          <cell r="D2942"/>
          <cell r="E2942"/>
          <cell r="F2942"/>
          <cell r="G2942">
            <v>1.1933314E-2</v>
          </cell>
          <cell r="H2942"/>
          <cell r="I2942"/>
          <cell r="J2942"/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>
            <v>6.1000000000000004E-3</v>
          </cell>
        </row>
        <row r="2943">
          <cell r="A2943" t="str">
            <v>51753-004LF</v>
          </cell>
          <cell r="B2943"/>
          <cell r="C2943"/>
          <cell r="D2943"/>
          <cell r="E2943"/>
          <cell r="F2943"/>
          <cell r="G2943">
            <v>0.03</v>
          </cell>
          <cell r="H2943"/>
          <cell r="I2943"/>
          <cell r="J2943"/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>
            <v>6.1000000000000004E-3</v>
          </cell>
        </row>
        <row r="2944">
          <cell r="A2944" t="str">
            <v>51753-005LF</v>
          </cell>
          <cell r="B2944"/>
          <cell r="C2944"/>
          <cell r="D2944"/>
          <cell r="E2944"/>
          <cell r="F2944"/>
          <cell r="G2944">
            <v>0.03</v>
          </cell>
          <cell r="H2944"/>
          <cell r="I2944"/>
          <cell r="J2944"/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>
            <v>6.1000000000000004E-3</v>
          </cell>
        </row>
        <row r="2945">
          <cell r="A2945" t="str">
            <v>51753-010LF</v>
          </cell>
          <cell r="B2945"/>
          <cell r="C2945"/>
          <cell r="D2945"/>
          <cell r="E2945"/>
          <cell r="F2945"/>
          <cell r="G2945">
            <v>0.02</v>
          </cell>
          <cell r="H2945"/>
          <cell r="I2945"/>
          <cell r="J2945"/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>
            <v>2.2222000000000001E-3</v>
          </cell>
        </row>
        <row r="2946">
          <cell r="A2946" t="str">
            <v>51754-002lf</v>
          </cell>
          <cell r="B2946"/>
          <cell r="C2946"/>
          <cell r="D2946"/>
          <cell r="E2946"/>
          <cell r="F2946"/>
          <cell r="G2946">
            <v>9.9000000000000008E-3</v>
          </cell>
          <cell r="H2946"/>
          <cell r="I2946"/>
          <cell r="J2946"/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>
            <v>6.0000000000000001E-3</v>
          </cell>
        </row>
        <row r="2947">
          <cell r="A2947" t="str">
            <v>51756-001LF</v>
          </cell>
          <cell r="B2947"/>
          <cell r="C2947"/>
          <cell r="D2947"/>
          <cell r="E2947"/>
          <cell r="F2947"/>
          <cell r="G2947">
            <v>2.3E-2</v>
          </cell>
          <cell r="H2947"/>
          <cell r="I2947"/>
          <cell r="J2947"/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>
            <v>3.0000000000000001E-3</v>
          </cell>
        </row>
        <row r="2948">
          <cell r="A2948" t="str">
            <v>51783-001LF</v>
          </cell>
          <cell r="B2948"/>
          <cell r="C2948"/>
          <cell r="D2948"/>
          <cell r="E2948"/>
          <cell r="F2948"/>
          <cell r="G2948">
            <v>3.6499999999999998E-2</v>
          </cell>
          <cell r="H2948"/>
          <cell r="I2948"/>
          <cell r="J2948"/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>
            <v>2.0999999999999999E-3</v>
          </cell>
        </row>
        <row r="2949">
          <cell r="A2949" t="str">
            <v>51783-002LF</v>
          </cell>
          <cell r="B2949"/>
          <cell r="C2949"/>
          <cell r="D2949"/>
          <cell r="E2949"/>
          <cell r="F2949"/>
          <cell r="G2949">
            <v>1.8700000000000001E-2</v>
          </cell>
          <cell r="H2949"/>
          <cell r="I2949"/>
          <cell r="J2949"/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>
            <v>1.9E-3</v>
          </cell>
        </row>
        <row r="2950">
          <cell r="A2950" t="str">
            <v>51784-002LF</v>
          </cell>
          <cell r="B2950"/>
          <cell r="C2950"/>
          <cell r="D2950"/>
          <cell r="E2950"/>
          <cell r="F2950"/>
          <cell r="G2950">
            <v>1.0994118000000001E-2</v>
          </cell>
          <cell r="H2950"/>
          <cell r="I2950"/>
          <cell r="J2950"/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>
            <v>2E-3</v>
          </cell>
        </row>
        <row r="2951">
          <cell r="A2951" t="str">
            <v>51786-001LF</v>
          </cell>
          <cell r="B2951"/>
          <cell r="C2951"/>
          <cell r="D2951"/>
          <cell r="E2951"/>
          <cell r="F2951"/>
          <cell r="G2951">
            <v>3.09E-2</v>
          </cell>
          <cell r="H2951"/>
          <cell r="I2951"/>
          <cell r="J2951"/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>
            <v>1.6000000000000001E-3</v>
          </cell>
        </row>
        <row r="2952">
          <cell r="A2952" t="str">
            <v>51786-003LF</v>
          </cell>
          <cell r="B2952"/>
          <cell r="C2952"/>
          <cell r="D2952"/>
          <cell r="E2952"/>
          <cell r="F2952"/>
          <cell r="G2952">
            <v>2.9899999999999999E-2</v>
          </cell>
          <cell r="H2952"/>
          <cell r="I2952"/>
          <cell r="J2952"/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>
            <v>1.9E-3</v>
          </cell>
        </row>
        <row r="2953">
          <cell r="A2953" t="str">
            <v>51792-001LF</v>
          </cell>
          <cell r="B2953"/>
          <cell r="C2953"/>
          <cell r="D2953"/>
          <cell r="E2953"/>
          <cell r="F2953"/>
          <cell r="G2953">
            <v>3.0700000000000002E-2</v>
          </cell>
          <cell r="H2953"/>
          <cell r="I2953"/>
          <cell r="J2953"/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>
            <v>1.9E-3</v>
          </cell>
        </row>
        <row r="2954">
          <cell r="A2954" t="str">
            <v>51796-001LF</v>
          </cell>
          <cell r="B2954"/>
          <cell r="C2954"/>
          <cell r="D2954"/>
          <cell r="E2954"/>
          <cell r="F2954"/>
          <cell r="G2954">
            <v>3.0200000000000001E-2</v>
          </cell>
          <cell r="H2954"/>
          <cell r="I2954"/>
          <cell r="J2954"/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>
            <v>1.6000000000000001E-3</v>
          </cell>
        </row>
        <row r="2955">
          <cell r="A2955" t="str">
            <v>51797-001LF</v>
          </cell>
          <cell r="B2955"/>
          <cell r="C2955"/>
          <cell r="D2955"/>
          <cell r="E2955"/>
          <cell r="F2955"/>
          <cell r="G2955">
            <v>8.6728499999999993E-3</v>
          </cell>
          <cell r="H2955"/>
          <cell r="I2955"/>
          <cell r="J2955"/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>
            <v>3.0000000000000001E-3</v>
          </cell>
        </row>
        <row r="2956">
          <cell r="A2956" t="str">
            <v>51812-001LF</v>
          </cell>
          <cell r="B2956"/>
          <cell r="C2956"/>
          <cell r="D2956"/>
          <cell r="E2956"/>
          <cell r="F2956"/>
          <cell r="G2956">
            <v>1.061995E-2</v>
          </cell>
          <cell r="H2956"/>
          <cell r="I2956"/>
          <cell r="J2956"/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>
            <v>6.1000000000000004E-3</v>
          </cell>
        </row>
        <row r="2957">
          <cell r="A2957" t="str">
            <v>51812-002LF</v>
          </cell>
          <cell r="B2957"/>
          <cell r="C2957"/>
          <cell r="D2957"/>
          <cell r="E2957"/>
          <cell r="F2957"/>
          <cell r="G2957">
            <v>0.02</v>
          </cell>
          <cell r="H2957"/>
          <cell r="I2957"/>
          <cell r="J2957"/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>
            <v>6.1000000000000004E-3</v>
          </cell>
        </row>
        <row r="2958">
          <cell r="A2958" t="str">
            <v>51812-003LF</v>
          </cell>
          <cell r="B2958"/>
          <cell r="C2958"/>
          <cell r="D2958"/>
          <cell r="E2958"/>
          <cell r="F2958"/>
          <cell r="G2958">
            <v>0.02</v>
          </cell>
          <cell r="H2958"/>
          <cell r="I2958"/>
          <cell r="J2958"/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>
            <v>6.1000000000000004E-3</v>
          </cell>
        </row>
        <row r="2959">
          <cell r="A2959" t="str">
            <v>51812-004LHLF</v>
          </cell>
          <cell r="B2959"/>
          <cell r="C2959"/>
          <cell r="D2959"/>
          <cell r="E2959"/>
          <cell r="F2959"/>
          <cell r="G2959">
            <v>1.4999999999999999E-2</v>
          </cell>
          <cell r="H2959"/>
          <cell r="I2959"/>
          <cell r="J2959"/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>
            <v>6.1000000000000004E-3</v>
          </cell>
        </row>
        <row r="2960">
          <cell r="A2960" t="str">
            <v>51812-10300000AALF</v>
          </cell>
          <cell r="B2960"/>
          <cell r="C2960"/>
          <cell r="D2960"/>
          <cell r="E2960"/>
          <cell r="F2960"/>
          <cell r="G2960">
            <v>1.5900000000000001E-2</v>
          </cell>
          <cell r="H2960"/>
          <cell r="I2960"/>
          <cell r="J2960"/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>
            <v>6.1000000000000004E-3</v>
          </cell>
        </row>
        <row r="2961">
          <cell r="A2961" t="str">
            <v>51812-10400000AALF</v>
          </cell>
          <cell r="B2961"/>
          <cell r="C2961"/>
          <cell r="D2961"/>
          <cell r="E2961"/>
          <cell r="F2961"/>
          <cell r="G2961">
            <v>1.8700000000000001E-2</v>
          </cell>
          <cell r="H2961"/>
          <cell r="I2961"/>
          <cell r="J2961"/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>
            <v>6.1000000000000004E-3</v>
          </cell>
        </row>
        <row r="2962">
          <cell r="A2962" t="str">
            <v>51812-10800000ABLF</v>
          </cell>
          <cell r="B2962"/>
          <cell r="C2962"/>
          <cell r="D2962"/>
          <cell r="E2962"/>
          <cell r="F2962"/>
          <cell r="G2962">
            <v>1.9599999999999999E-2</v>
          </cell>
          <cell r="H2962"/>
          <cell r="I2962"/>
          <cell r="J2962"/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>
            <v>6.1000000000000004E-3</v>
          </cell>
        </row>
        <row r="2963">
          <cell r="A2963" t="str">
            <v>51812-10900000AALF</v>
          </cell>
          <cell r="B2963"/>
          <cell r="C2963"/>
          <cell r="D2963"/>
          <cell r="E2963"/>
          <cell r="F2963"/>
          <cell r="G2963">
            <v>1.3849432E-2</v>
          </cell>
          <cell r="H2963"/>
          <cell r="I2963"/>
          <cell r="J2963"/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>
            <v>6.1000000000000004E-3</v>
          </cell>
        </row>
        <row r="2964">
          <cell r="A2964" t="str">
            <v>51816-001LF</v>
          </cell>
          <cell r="B2964"/>
          <cell r="C2964"/>
          <cell r="D2964"/>
          <cell r="E2964"/>
          <cell r="F2964"/>
          <cell r="G2964">
            <v>1.7600000000000001E-2</v>
          </cell>
          <cell r="H2964"/>
          <cell r="I2964"/>
          <cell r="J2964"/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>
            <v>6.1000000000000004E-3</v>
          </cell>
        </row>
        <row r="2965">
          <cell r="A2965" t="str">
            <v>51816-10300000AALF</v>
          </cell>
          <cell r="B2965"/>
          <cell r="C2965"/>
          <cell r="D2965"/>
          <cell r="E2965"/>
          <cell r="F2965"/>
          <cell r="G2965">
            <v>2.3E-2</v>
          </cell>
          <cell r="H2965"/>
          <cell r="I2965"/>
          <cell r="J2965"/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>
            <v>6.1000000000000004E-3</v>
          </cell>
        </row>
        <row r="2966">
          <cell r="A2966" t="str">
            <v>51816-10400000AALF</v>
          </cell>
          <cell r="B2966"/>
          <cell r="C2966"/>
          <cell r="D2966"/>
          <cell r="E2966"/>
          <cell r="F2966"/>
          <cell r="G2966">
            <v>2.3E-2</v>
          </cell>
          <cell r="H2966"/>
          <cell r="I2966"/>
          <cell r="J2966"/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>
            <v>6.1000000000000004E-3</v>
          </cell>
        </row>
        <row r="2967">
          <cell r="A2967" t="str">
            <v>51824-002LF</v>
          </cell>
          <cell r="B2967"/>
          <cell r="C2967"/>
          <cell r="D2967"/>
          <cell r="E2967"/>
          <cell r="F2967"/>
          <cell r="G2967">
            <v>2.6200000000000001E-2</v>
          </cell>
          <cell r="H2967"/>
          <cell r="I2967"/>
          <cell r="J2967"/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>
            <v>1.6000000000000001E-3</v>
          </cell>
        </row>
        <row r="2968">
          <cell r="A2968" t="str">
            <v>51824-003LF</v>
          </cell>
          <cell r="B2968"/>
          <cell r="C2968"/>
          <cell r="D2968"/>
          <cell r="E2968"/>
          <cell r="F2968"/>
          <cell r="G2968">
            <v>1.5896172E-2</v>
          </cell>
          <cell r="H2968"/>
          <cell r="I2968"/>
          <cell r="J2968"/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>
            <v>2.8E-3</v>
          </cell>
        </row>
        <row r="2969">
          <cell r="A2969" t="str">
            <v>51824-004LF</v>
          </cell>
          <cell r="B2969"/>
          <cell r="C2969"/>
          <cell r="D2969"/>
          <cell r="E2969"/>
          <cell r="F2969"/>
          <cell r="G2969">
            <v>8.2400000000000001E-2</v>
          </cell>
          <cell r="H2969"/>
          <cell r="I2969"/>
          <cell r="J2969"/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>
            <v>1.9E-3</v>
          </cell>
        </row>
        <row r="2970">
          <cell r="A2970" t="str">
            <v>51824-005LF</v>
          </cell>
          <cell r="B2970"/>
          <cell r="C2970"/>
          <cell r="D2970"/>
          <cell r="E2970"/>
          <cell r="F2970"/>
          <cell r="G2970">
            <v>2.01E-2</v>
          </cell>
          <cell r="H2970"/>
          <cell r="I2970"/>
          <cell r="J2970"/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>
            <v>1.9E-3</v>
          </cell>
        </row>
        <row r="2971">
          <cell r="A2971" t="str">
            <v>51856-001LF</v>
          </cell>
          <cell r="B2971"/>
          <cell r="C2971"/>
          <cell r="D2971"/>
          <cell r="E2971"/>
          <cell r="F2971"/>
          <cell r="G2971">
            <v>2.0279199000000001E-2</v>
          </cell>
          <cell r="H2971"/>
          <cell r="I2971"/>
          <cell r="J2971"/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>
            <v>3.7000000000000002E-3</v>
          </cell>
        </row>
        <row r="2972">
          <cell r="A2972" t="str">
            <v>51856-001LF-SA</v>
          </cell>
          <cell r="B2972"/>
          <cell r="C2972"/>
          <cell r="D2972"/>
          <cell r="E2972"/>
          <cell r="F2972"/>
          <cell r="G2972">
            <v>2.6800000000000001E-2</v>
          </cell>
          <cell r="H2972"/>
          <cell r="I2972"/>
          <cell r="J2972"/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>
            <v>3.7000000000000002E-3</v>
          </cell>
        </row>
        <row r="2973">
          <cell r="A2973" t="str">
            <v>51856-001PGSALF</v>
          </cell>
          <cell r="B2973"/>
          <cell r="C2973"/>
          <cell r="D2973"/>
          <cell r="E2973"/>
          <cell r="F2973"/>
          <cell r="G2973">
            <v>2.98E-2</v>
          </cell>
          <cell r="H2973"/>
          <cell r="I2973"/>
          <cell r="J2973"/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>
            <v>3.7000000000000002E-3</v>
          </cell>
        </row>
        <row r="2974">
          <cell r="A2974" t="str">
            <v>51857-001LF</v>
          </cell>
          <cell r="B2974"/>
          <cell r="C2974"/>
          <cell r="D2974"/>
          <cell r="E2974"/>
          <cell r="F2974"/>
          <cell r="G2974">
            <v>1.5699999999999999E-2</v>
          </cell>
          <cell r="H2974"/>
          <cell r="I2974"/>
          <cell r="J2974"/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>
            <v>3.0000000000000001E-3</v>
          </cell>
        </row>
        <row r="2975">
          <cell r="A2975" t="str">
            <v>51857-002LF</v>
          </cell>
          <cell r="B2975"/>
          <cell r="C2975"/>
          <cell r="D2975"/>
          <cell r="E2975"/>
          <cell r="F2975"/>
          <cell r="G2975">
            <v>1.8249999999999999E-2</v>
          </cell>
          <cell r="H2975"/>
          <cell r="I2975"/>
          <cell r="J2975"/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>
            <v>3.0000000000000001E-3</v>
          </cell>
        </row>
        <row r="2976">
          <cell r="A2976" t="str">
            <v>51862-001LF</v>
          </cell>
          <cell r="B2976"/>
          <cell r="C2976"/>
          <cell r="D2976"/>
          <cell r="E2976"/>
          <cell r="F2976"/>
          <cell r="G2976">
            <v>3.1E-2</v>
          </cell>
          <cell r="H2976"/>
          <cell r="I2976"/>
          <cell r="J2976"/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>
            <v>2E-3</v>
          </cell>
        </row>
        <row r="2977">
          <cell r="A2977" t="str">
            <v>51862-002LF</v>
          </cell>
          <cell r="B2977"/>
          <cell r="C2977"/>
          <cell r="D2977"/>
          <cell r="E2977"/>
          <cell r="F2977"/>
          <cell r="G2977">
            <v>3.1800000000000002E-2</v>
          </cell>
          <cell r="H2977"/>
          <cell r="I2977"/>
          <cell r="J2977"/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>
            <v>1.6000000000000001E-3</v>
          </cell>
        </row>
        <row r="2978">
          <cell r="A2978" t="str">
            <v>51863-001LF</v>
          </cell>
          <cell r="B2978"/>
          <cell r="C2978"/>
          <cell r="D2978"/>
          <cell r="E2978"/>
          <cell r="F2978"/>
          <cell r="G2978">
            <v>2.4625749999999998E-2</v>
          </cell>
          <cell r="H2978"/>
          <cell r="I2978"/>
          <cell r="J2978"/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>
            <v>3.0599999999999998E-3</v>
          </cell>
        </row>
        <row r="2979">
          <cell r="A2979" t="str">
            <v>51870-001LF</v>
          </cell>
          <cell r="B2979"/>
          <cell r="C2979"/>
          <cell r="D2979"/>
          <cell r="E2979"/>
          <cell r="F2979"/>
          <cell r="G2979">
            <v>1.8700000000000001E-2</v>
          </cell>
          <cell r="H2979"/>
          <cell r="I2979"/>
          <cell r="J2979"/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>
            <v>6.1000000000000004E-3</v>
          </cell>
        </row>
        <row r="2980">
          <cell r="A2980" t="str">
            <v>51874-001LF</v>
          </cell>
          <cell r="B2980"/>
          <cell r="C2980"/>
          <cell r="D2980"/>
          <cell r="E2980"/>
          <cell r="F2980"/>
          <cell r="G2980">
            <v>2.52E-2</v>
          </cell>
          <cell r="H2980"/>
          <cell r="I2980"/>
          <cell r="J2980"/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>
            <v>1.6000000000000001E-3</v>
          </cell>
        </row>
        <row r="2981">
          <cell r="A2981" t="str">
            <v>51882-001LF</v>
          </cell>
          <cell r="B2981"/>
          <cell r="C2981"/>
          <cell r="D2981"/>
          <cell r="E2981"/>
          <cell r="F2981"/>
          <cell r="G2981">
            <v>2.4299999999999999E-2</v>
          </cell>
          <cell r="H2981"/>
          <cell r="I2981"/>
          <cell r="J2981"/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>
            <v>1.9E-3</v>
          </cell>
        </row>
        <row r="2982">
          <cell r="A2982" t="str">
            <v>51890-002LF</v>
          </cell>
          <cell r="B2982"/>
          <cell r="C2982"/>
          <cell r="D2982"/>
          <cell r="E2982"/>
          <cell r="F2982"/>
          <cell r="G2982">
            <v>3.9300000000000002E-2</v>
          </cell>
          <cell r="H2982"/>
          <cell r="I2982"/>
          <cell r="J2982"/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>
            <v>2.0999999999999999E-3</v>
          </cell>
        </row>
        <row r="2983">
          <cell r="A2983" t="str">
            <v>51897-003LF</v>
          </cell>
          <cell r="B2983"/>
          <cell r="C2983"/>
          <cell r="D2983"/>
          <cell r="E2983"/>
          <cell r="F2983"/>
          <cell r="G2983">
            <v>0.04</v>
          </cell>
          <cell r="H2983"/>
          <cell r="I2983"/>
          <cell r="J2983"/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>
            <v>3.0000000000000001E-3</v>
          </cell>
        </row>
        <row r="2984">
          <cell r="A2984" t="str">
            <v>51897-005LF</v>
          </cell>
          <cell r="B2984"/>
          <cell r="C2984"/>
          <cell r="D2984"/>
          <cell r="E2984"/>
          <cell r="F2984"/>
          <cell r="G2984">
            <v>3.2000000000000001E-2</v>
          </cell>
          <cell r="H2984"/>
          <cell r="I2984"/>
          <cell r="J2984"/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>
            <v>3.0000000000000001E-3</v>
          </cell>
        </row>
        <row r="2985">
          <cell r="A2985" t="str">
            <v>51897-008LF</v>
          </cell>
          <cell r="B2985"/>
          <cell r="C2985"/>
          <cell r="D2985"/>
          <cell r="E2985"/>
          <cell r="F2985"/>
          <cell r="G2985">
            <v>9.4999999999999998E-3</v>
          </cell>
          <cell r="H2985"/>
          <cell r="I2985"/>
          <cell r="J2985"/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</row>
        <row r="2986">
          <cell r="A2986" t="str">
            <v>51897-014LF</v>
          </cell>
          <cell r="B2986"/>
          <cell r="C2986"/>
          <cell r="D2986"/>
          <cell r="E2986"/>
          <cell r="F2986"/>
          <cell r="G2986">
            <v>5.3999999999999999E-2</v>
          </cell>
          <cell r="H2986"/>
          <cell r="I2986"/>
          <cell r="J2986"/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>
            <v>4.0000000000000001E-3</v>
          </cell>
        </row>
        <row r="2987">
          <cell r="A2987" t="str">
            <v>51897-016LF</v>
          </cell>
          <cell r="B2987"/>
          <cell r="C2987"/>
          <cell r="D2987"/>
          <cell r="E2987"/>
          <cell r="F2987"/>
          <cell r="G2987">
            <v>3.7999999999999999E-2</v>
          </cell>
          <cell r="H2987"/>
          <cell r="I2987"/>
          <cell r="J2987"/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>
            <v>9.4000000000000004E-3</v>
          </cell>
        </row>
        <row r="2988">
          <cell r="A2988" t="str">
            <v>51897-017LF</v>
          </cell>
          <cell r="B2988"/>
          <cell r="C2988"/>
          <cell r="D2988"/>
          <cell r="E2988"/>
          <cell r="F2988"/>
          <cell r="G2988">
            <v>1.41E-2</v>
          </cell>
          <cell r="H2988"/>
          <cell r="I2988"/>
          <cell r="J2988"/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>
            <v>3.0000000000000001E-3</v>
          </cell>
        </row>
        <row r="2989">
          <cell r="A2989" t="str">
            <v>51907-001LF</v>
          </cell>
          <cell r="B2989"/>
          <cell r="C2989"/>
          <cell r="D2989"/>
          <cell r="E2989"/>
          <cell r="F2989"/>
          <cell r="G2989">
            <v>3.5799999999999998E-2</v>
          </cell>
          <cell r="H2989"/>
          <cell r="I2989"/>
          <cell r="J2989"/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>
            <v>1.9E-3</v>
          </cell>
        </row>
        <row r="2990">
          <cell r="A2990" t="str">
            <v>51907-002LF</v>
          </cell>
          <cell r="B2990"/>
          <cell r="C2990"/>
          <cell r="D2990"/>
          <cell r="E2990"/>
          <cell r="F2990"/>
          <cell r="G2990">
            <v>2.7099999999999999E-2</v>
          </cell>
          <cell r="H2990"/>
          <cell r="I2990"/>
          <cell r="J2990"/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>
            <v>1.6000000000000001E-3</v>
          </cell>
        </row>
        <row r="2991">
          <cell r="A2991" t="str">
            <v>51907-003LF</v>
          </cell>
          <cell r="B2991"/>
          <cell r="C2991"/>
          <cell r="D2991"/>
          <cell r="E2991"/>
          <cell r="F2991"/>
          <cell r="G2991">
            <v>3.4299999999999997E-2</v>
          </cell>
          <cell r="H2991"/>
          <cell r="I2991"/>
          <cell r="J2991"/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>
            <v>1.9E-3</v>
          </cell>
        </row>
        <row r="2992">
          <cell r="A2992" t="str">
            <v>51907-004LF</v>
          </cell>
          <cell r="B2992"/>
          <cell r="C2992"/>
          <cell r="D2992"/>
          <cell r="E2992"/>
          <cell r="F2992"/>
          <cell r="G2992">
            <v>4.4900000000000002E-2</v>
          </cell>
          <cell r="H2992"/>
          <cell r="I2992"/>
          <cell r="J2992"/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>
            <v>1.9E-3</v>
          </cell>
        </row>
        <row r="2993">
          <cell r="A2993" t="str">
            <v>51907-005LF</v>
          </cell>
          <cell r="B2993"/>
          <cell r="C2993"/>
          <cell r="D2993"/>
          <cell r="E2993"/>
          <cell r="F2993"/>
          <cell r="G2993">
            <v>2.6200000000000001E-2</v>
          </cell>
          <cell r="H2993"/>
          <cell r="I2993"/>
          <cell r="J2993"/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>
            <v>1.9E-3</v>
          </cell>
        </row>
        <row r="2994">
          <cell r="A2994" t="str">
            <v>51907-006LF</v>
          </cell>
          <cell r="B2994"/>
          <cell r="C2994"/>
          <cell r="D2994"/>
          <cell r="E2994"/>
          <cell r="F2994"/>
          <cell r="G2994">
            <v>5.6000000000000001E-2</v>
          </cell>
          <cell r="H2994"/>
          <cell r="I2994"/>
          <cell r="J2994"/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>
            <v>6.1000000000000004E-3</v>
          </cell>
        </row>
        <row r="2995">
          <cell r="A2995" t="str">
            <v>51908-006LF</v>
          </cell>
          <cell r="B2995"/>
          <cell r="C2995"/>
          <cell r="D2995"/>
          <cell r="E2995"/>
          <cell r="F2995"/>
          <cell r="G2995">
            <v>1.7999999999999999E-2</v>
          </cell>
          <cell r="H2995"/>
          <cell r="I2995"/>
          <cell r="J2995"/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>
            <v>6.1000000000000004E-3</v>
          </cell>
        </row>
        <row r="2996">
          <cell r="A2996" t="str">
            <v>51925-001LF</v>
          </cell>
          <cell r="B2996"/>
          <cell r="C2996"/>
          <cell r="D2996"/>
          <cell r="E2996"/>
          <cell r="F2996"/>
          <cell r="G2996">
            <v>1.4999999999999999E-2</v>
          </cell>
          <cell r="H2996"/>
          <cell r="I2996"/>
          <cell r="J2996"/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>
            <v>6.1000000000000004E-3</v>
          </cell>
        </row>
        <row r="2997">
          <cell r="A2997" t="str">
            <v>51927-002LF</v>
          </cell>
          <cell r="B2997"/>
          <cell r="C2997"/>
          <cell r="D2997"/>
          <cell r="E2997"/>
          <cell r="F2997"/>
          <cell r="G2997">
            <v>1.6500000000000001E-2</v>
          </cell>
          <cell r="H2997"/>
          <cell r="I2997"/>
          <cell r="J2997"/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>
            <v>3.0000000000000001E-3</v>
          </cell>
        </row>
        <row r="2998">
          <cell r="A2998" t="str">
            <v>51927-007LF</v>
          </cell>
          <cell r="B2998"/>
          <cell r="C2998"/>
          <cell r="D2998"/>
          <cell r="E2998"/>
          <cell r="F2998"/>
          <cell r="G2998">
            <v>0.02</v>
          </cell>
          <cell r="H2998"/>
          <cell r="I2998"/>
          <cell r="J2998"/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>
            <v>3.0000000000000001E-3</v>
          </cell>
        </row>
        <row r="2999">
          <cell r="A2999" t="str">
            <v>51927-008LF</v>
          </cell>
          <cell r="B2999"/>
          <cell r="C2999"/>
          <cell r="D2999"/>
          <cell r="E2999"/>
          <cell r="F2999"/>
          <cell r="G2999">
            <v>3.1300000000000001E-2</v>
          </cell>
          <cell r="H2999"/>
          <cell r="I2999"/>
          <cell r="J2999"/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>
            <v>3.0000000000000001E-3</v>
          </cell>
        </row>
        <row r="3000">
          <cell r="A3000" t="str">
            <v>51927-009LF</v>
          </cell>
          <cell r="B3000"/>
          <cell r="C3000"/>
          <cell r="D3000"/>
          <cell r="E3000"/>
          <cell r="F3000"/>
          <cell r="G3000">
            <v>3.2000000000000001E-2</v>
          </cell>
          <cell r="H3000"/>
          <cell r="I3000"/>
          <cell r="J3000"/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>
            <v>3.0000000000000001E-3</v>
          </cell>
        </row>
        <row r="3001">
          <cell r="A3001" t="str">
            <v>51927-009PGSALF</v>
          </cell>
          <cell r="B3001"/>
          <cell r="C3001"/>
          <cell r="D3001"/>
          <cell r="E3001"/>
          <cell r="F3001"/>
          <cell r="G3001">
            <v>3.2000000000000001E-2</v>
          </cell>
          <cell r="H3001"/>
          <cell r="I3001"/>
          <cell r="J3001"/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>
            <v>3.0000000000000001E-3</v>
          </cell>
        </row>
        <row r="3002">
          <cell r="A3002" t="str">
            <v>51929-001LF</v>
          </cell>
          <cell r="B3002"/>
          <cell r="C3002"/>
          <cell r="D3002"/>
          <cell r="E3002"/>
          <cell r="F3002"/>
          <cell r="G3002">
            <v>1.4999999999999999E-2</v>
          </cell>
          <cell r="H3002"/>
          <cell r="I3002"/>
          <cell r="J3002"/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>
            <v>6.4000000000000003E-3</v>
          </cell>
        </row>
        <row r="3003">
          <cell r="A3003" t="str">
            <v>51929-003LF</v>
          </cell>
          <cell r="B3003"/>
          <cell r="C3003"/>
          <cell r="D3003"/>
          <cell r="E3003"/>
          <cell r="F3003"/>
          <cell r="G3003">
            <v>1.2299549999999999E-2</v>
          </cell>
          <cell r="H3003"/>
          <cell r="I3003"/>
          <cell r="J3003"/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>
            <v>7.0000000000000001E-3</v>
          </cell>
        </row>
        <row r="3004">
          <cell r="A3004" t="str">
            <v>51929-005LF</v>
          </cell>
          <cell r="B3004"/>
          <cell r="C3004"/>
          <cell r="D3004"/>
          <cell r="E3004"/>
          <cell r="F3004"/>
          <cell r="G3004">
            <v>0.03</v>
          </cell>
          <cell r="H3004"/>
          <cell r="I3004"/>
          <cell r="J3004"/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>
            <v>3.0000000000000001E-3</v>
          </cell>
        </row>
        <row r="3005">
          <cell r="A3005" t="str">
            <v>51935-002LF</v>
          </cell>
          <cell r="B3005"/>
          <cell r="C3005"/>
          <cell r="D3005"/>
          <cell r="E3005"/>
          <cell r="F3005"/>
          <cell r="G3005">
            <v>2.8000000000000001E-2</v>
          </cell>
          <cell r="H3005"/>
          <cell r="I3005"/>
          <cell r="J3005"/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>
            <v>2.0999999999999999E-3</v>
          </cell>
        </row>
        <row r="3006">
          <cell r="A3006" t="str">
            <v>51935-003LF</v>
          </cell>
          <cell r="B3006"/>
          <cell r="C3006"/>
          <cell r="D3006"/>
          <cell r="E3006"/>
          <cell r="F3006"/>
          <cell r="G3006">
            <v>4.2000000000000003E-2</v>
          </cell>
          <cell r="H3006"/>
          <cell r="I3006"/>
          <cell r="J3006"/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>
            <v>2E-3</v>
          </cell>
        </row>
        <row r="3007">
          <cell r="A3007" t="str">
            <v>51936-002LF</v>
          </cell>
          <cell r="B3007"/>
          <cell r="C3007"/>
          <cell r="D3007"/>
          <cell r="E3007"/>
          <cell r="F3007"/>
          <cell r="G3007">
            <v>1.7500000000000002E-2</v>
          </cell>
          <cell r="H3007"/>
          <cell r="I3007"/>
          <cell r="J3007"/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>
            <v>3.0000000000000001E-3</v>
          </cell>
        </row>
        <row r="3008">
          <cell r="A3008" t="str">
            <v>51936-003LF</v>
          </cell>
          <cell r="B3008"/>
          <cell r="C3008"/>
          <cell r="D3008"/>
          <cell r="E3008"/>
          <cell r="F3008"/>
          <cell r="G3008">
            <v>2.9399999999999999E-2</v>
          </cell>
          <cell r="H3008"/>
          <cell r="I3008"/>
          <cell r="J3008"/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>
            <v>3.0000000000000001E-3</v>
          </cell>
        </row>
        <row r="3009">
          <cell r="A3009" t="str">
            <v>51939-002LF</v>
          </cell>
          <cell r="B3009"/>
          <cell r="C3009"/>
          <cell r="D3009"/>
          <cell r="E3009"/>
          <cell r="F3009"/>
          <cell r="G3009">
            <v>4.1099999999999998E-2</v>
          </cell>
          <cell r="H3009"/>
          <cell r="I3009"/>
          <cell r="J3009"/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>
            <v>2E-3</v>
          </cell>
        </row>
        <row r="3010">
          <cell r="A3010" t="str">
            <v>51939-003LF</v>
          </cell>
          <cell r="B3010"/>
          <cell r="C3010"/>
          <cell r="D3010"/>
          <cell r="E3010"/>
          <cell r="F3010"/>
          <cell r="G3010">
            <v>4.5600000000000002E-2</v>
          </cell>
          <cell r="H3010"/>
          <cell r="I3010"/>
          <cell r="J3010"/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>
            <v>2E-3</v>
          </cell>
        </row>
        <row r="3011">
          <cell r="A3011" t="str">
            <v>51939-004LF</v>
          </cell>
          <cell r="B3011"/>
          <cell r="C3011"/>
          <cell r="D3011"/>
          <cell r="E3011"/>
          <cell r="F3011"/>
          <cell r="G3011">
            <v>2.9000000000000001E-2</v>
          </cell>
          <cell r="H3011"/>
          <cell r="I3011"/>
          <cell r="J3011"/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>
            <v>1.6000000000000001E-3</v>
          </cell>
        </row>
        <row r="3012">
          <cell r="A3012" t="str">
            <v>51939-005LF</v>
          </cell>
          <cell r="B3012"/>
          <cell r="C3012"/>
          <cell r="D3012"/>
          <cell r="E3012"/>
          <cell r="F3012"/>
          <cell r="G3012">
            <v>1.6234999999999999E-2</v>
          </cell>
          <cell r="H3012"/>
          <cell r="I3012"/>
          <cell r="J3012"/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>
            <v>2.0999999999999999E-3</v>
          </cell>
        </row>
        <row r="3013">
          <cell r="A3013" t="str">
            <v>51939-006LF</v>
          </cell>
          <cell r="B3013"/>
          <cell r="C3013"/>
          <cell r="D3013"/>
          <cell r="E3013"/>
          <cell r="F3013"/>
          <cell r="G3013">
            <v>4.58E-2</v>
          </cell>
          <cell r="H3013"/>
          <cell r="I3013"/>
          <cell r="J3013"/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>
            <v>2E-3</v>
          </cell>
        </row>
        <row r="3014">
          <cell r="A3014" t="str">
            <v>51939-011LF</v>
          </cell>
          <cell r="B3014"/>
          <cell r="C3014"/>
          <cell r="D3014"/>
          <cell r="E3014"/>
          <cell r="F3014"/>
          <cell r="G3014">
            <v>3.1800000000000002E-2</v>
          </cell>
          <cell r="H3014"/>
          <cell r="I3014"/>
          <cell r="J3014"/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>
            <v>1.9E-3</v>
          </cell>
        </row>
        <row r="3015">
          <cell r="A3015" t="str">
            <v>51939-012LF</v>
          </cell>
          <cell r="B3015"/>
          <cell r="C3015"/>
          <cell r="D3015"/>
          <cell r="E3015"/>
          <cell r="F3015"/>
          <cell r="G3015">
            <v>2.7099999999999999E-2</v>
          </cell>
          <cell r="H3015"/>
          <cell r="I3015"/>
          <cell r="J3015"/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>
            <v>1.6000000000000001E-3</v>
          </cell>
        </row>
        <row r="3016">
          <cell r="A3016" t="str">
            <v>51939-014LF</v>
          </cell>
          <cell r="B3016"/>
          <cell r="C3016"/>
          <cell r="D3016"/>
          <cell r="E3016"/>
          <cell r="F3016"/>
          <cell r="G3016">
            <v>3.7100000000000001E-2</v>
          </cell>
          <cell r="H3016"/>
          <cell r="I3016"/>
          <cell r="J3016"/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>
            <v>2E-3</v>
          </cell>
        </row>
        <row r="3017">
          <cell r="A3017" t="str">
            <v>51939-015LF</v>
          </cell>
          <cell r="B3017"/>
          <cell r="C3017"/>
          <cell r="D3017"/>
          <cell r="E3017"/>
          <cell r="F3017"/>
          <cell r="G3017">
            <v>4.2099999999999999E-2</v>
          </cell>
          <cell r="H3017"/>
          <cell r="I3017"/>
          <cell r="J3017"/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>
            <v>2.2000000000000001E-3</v>
          </cell>
        </row>
        <row r="3018">
          <cell r="A3018" t="str">
            <v>51939-016LF</v>
          </cell>
          <cell r="B3018"/>
          <cell r="C3018"/>
          <cell r="D3018"/>
          <cell r="E3018"/>
          <cell r="F3018"/>
          <cell r="G3018">
            <v>2.1171221E-2</v>
          </cell>
          <cell r="H3018"/>
          <cell r="I3018"/>
          <cell r="J3018"/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>
            <v>1.9E-3</v>
          </cell>
        </row>
        <row r="3019">
          <cell r="A3019" t="str">
            <v>51939-021LF</v>
          </cell>
          <cell r="B3019"/>
          <cell r="C3019"/>
          <cell r="D3019"/>
          <cell r="E3019"/>
          <cell r="F3019"/>
          <cell r="G3019">
            <v>1.67E-2</v>
          </cell>
          <cell r="H3019"/>
          <cell r="I3019"/>
          <cell r="J3019"/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>
            <v>6.1000000000000004E-3</v>
          </cell>
        </row>
        <row r="3020">
          <cell r="A3020" t="str">
            <v>51939-022LF</v>
          </cell>
          <cell r="B3020"/>
          <cell r="C3020"/>
          <cell r="D3020"/>
          <cell r="E3020"/>
          <cell r="F3020"/>
          <cell r="G3020">
            <v>1.6199999999999999E-2</v>
          </cell>
          <cell r="H3020"/>
          <cell r="I3020"/>
          <cell r="J3020"/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>
            <v>1.9E-3</v>
          </cell>
        </row>
        <row r="3021">
          <cell r="A3021" t="str">
            <v>51939-023LF</v>
          </cell>
          <cell r="B3021"/>
          <cell r="C3021"/>
          <cell r="D3021"/>
          <cell r="E3021"/>
          <cell r="F3021"/>
          <cell r="G3021">
            <v>3.15E-2</v>
          </cell>
          <cell r="H3021"/>
          <cell r="I3021"/>
          <cell r="J3021"/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>
            <v>1.6000000000000001E-3</v>
          </cell>
        </row>
        <row r="3022">
          <cell r="A3022" t="str">
            <v>51939-025LF</v>
          </cell>
          <cell r="B3022"/>
          <cell r="C3022"/>
          <cell r="D3022"/>
          <cell r="E3022"/>
          <cell r="F3022"/>
          <cell r="G3022">
            <v>3.9300000000000002E-2</v>
          </cell>
          <cell r="H3022"/>
          <cell r="I3022"/>
          <cell r="J3022"/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>
            <v>2E-3</v>
          </cell>
        </row>
        <row r="3023">
          <cell r="A3023" t="str">
            <v>51939-026LF</v>
          </cell>
          <cell r="B3023"/>
          <cell r="C3023"/>
          <cell r="D3023"/>
          <cell r="E3023"/>
          <cell r="F3023"/>
          <cell r="G3023">
            <v>4.2999999999999997E-2</v>
          </cell>
          <cell r="H3023"/>
          <cell r="I3023"/>
          <cell r="J3023"/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>
            <v>2E-3</v>
          </cell>
        </row>
        <row r="3024">
          <cell r="A3024" t="str">
            <v>51939-030LF</v>
          </cell>
          <cell r="B3024"/>
          <cell r="C3024"/>
          <cell r="D3024"/>
          <cell r="E3024"/>
          <cell r="F3024"/>
          <cell r="G3024">
            <v>2.8645E-2</v>
          </cell>
          <cell r="H3024"/>
          <cell r="I3024"/>
          <cell r="J3024"/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>
            <v>1.6000000000000001E-3</v>
          </cell>
        </row>
        <row r="3025">
          <cell r="A3025" t="str">
            <v>51939-031LF</v>
          </cell>
          <cell r="B3025"/>
          <cell r="C3025"/>
          <cell r="D3025"/>
          <cell r="E3025"/>
          <cell r="F3025"/>
          <cell r="G3025">
            <v>6.3600000000000004E-2</v>
          </cell>
          <cell r="H3025"/>
          <cell r="I3025"/>
          <cell r="J3025"/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>
            <v>3.3E-3</v>
          </cell>
        </row>
        <row r="3026">
          <cell r="A3026" t="str">
            <v>51939-037LF</v>
          </cell>
          <cell r="B3026"/>
          <cell r="C3026"/>
          <cell r="D3026"/>
          <cell r="E3026"/>
          <cell r="F3026"/>
          <cell r="G3026">
            <v>3.6499999999999998E-2</v>
          </cell>
          <cell r="H3026"/>
          <cell r="I3026"/>
          <cell r="J3026"/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>
            <v>1.9E-3</v>
          </cell>
        </row>
        <row r="3027">
          <cell r="A3027" t="str">
            <v>51939-040LF</v>
          </cell>
          <cell r="B3027"/>
          <cell r="C3027"/>
          <cell r="D3027"/>
          <cell r="E3027"/>
          <cell r="F3027"/>
          <cell r="G3027">
            <v>1.77E-2</v>
          </cell>
          <cell r="H3027"/>
          <cell r="I3027"/>
          <cell r="J3027"/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>
            <v>6.1000000000000004E-3</v>
          </cell>
        </row>
        <row r="3028">
          <cell r="A3028" t="str">
            <v>51939-041LF</v>
          </cell>
          <cell r="B3028"/>
          <cell r="C3028"/>
          <cell r="D3028"/>
          <cell r="E3028"/>
          <cell r="F3028"/>
          <cell r="G3028">
            <v>2.1700000000000001E-2</v>
          </cell>
          <cell r="H3028"/>
          <cell r="I3028"/>
          <cell r="J3028"/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>
            <v>1.9E-3</v>
          </cell>
        </row>
        <row r="3029">
          <cell r="A3029" t="str">
            <v>51939-042LF</v>
          </cell>
          <cell r="B3029"/>
          <cell r="C3029"/>
          <cell r="D3029"/>
          <cell r="E3029"/>
          <cell r="F3029"/>
          <cell r="G3029">
            <v>3.3700000000000001E-2</v>
          </cell>
          <cell r="H3029"/>
          <cell r="I3029"/>
          <cell r="J3029"/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>
            <v>1.6000000000000001E-3</v>
          </cell>
        </row>
        <row r="3030">
          <cell r="A3030" t="str">
            <v>51939-043LF</v>
          </cell>
          <cell r="B3030"/>
          <cell r="C3030"/>
          <cell r="D3030"/>
          <cell r="E3030"/>
          <cell r="F3030"/>
          <cell r="G3030">
            <v>2.24E-2</v>
          </cell>
          <cell r="H3030"/>
          <cell r="I3030"/>
          <cell r="J3030"/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>
            <v>1.6000000000000001E-3</v>
          </cell>
        </row>
        <row r="3031">
          <cell r="A3031" t="str">
            <v>51939-044LF</v>
          </cell>
          <cell r="B3031"/>
          <cell r="C3031"/>
          <cell r="D3031"/>
          <cell r="E3031"/>
          <cell r="F3031"/>
          <cell r="G3031">
            <v>3.9300000000000002E-2</v>
          </cell>
          <cell r="H3031"/>
          <cell r="I3031"/>
          <cell r="J3031"/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>
            <v>1.9E-3</v>
          </cell>
        </row>
        <row r="3032">
          <cell r="A3032" t="str">
            <v>51939-045LF</v>
          </cell>
          <cell r="B3032"/>
          <cell r="C3032"/>
          <cell r="D3032"/>
          <cell r="E3032"/>
          <cell r="F3032"/>
          <cell r="G3032">
            <v>4.1099999999999998E-2</v>
          </cell>
          <cell r="H3032"/>
          <cell r="I3032"/>
          <cell r="J3032"/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>
            <v>2E-3</v>
          </cell>
        </row>
        <row r="3033">
          <cell r="A3033" t="str">
            <v>51939-046LF</v>
          </cell>
          <cell r="B3033"/>
          <cell r="C3033"/>
          <cell r="D3033"/>
          <cell r="E3033"/>
          <cell r="F3033"/>
          <cell r="G3033">
            <v>5.0500000000000003E-2</v>
          </cell>
          <cell r="H3033"/>
          <cell r="I3033"/>
          <cell r="J3033"/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>
            <v>2E-3</v>
          </cell>
        </row>
        <row r="3034">
          <cell r="A3034" t="str">
            <v>51939-049LF</v>
          </cell>
          <cell r="B3034"/>
          <cell r="C3034"/>
          <cell r="D3034"/>
          <cell r="E3034"/>
          <cell r="F3034"/>
          <cell r="G3034">
            <v>4.9599999999999998E-2</v>
          </cell>
          <cell r="H3034"/>
          <cell r="I3034"/>
          <cell r="J3034"/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>
            <v>1.9E-3</v>
          </cell>
        </row>
        <row r="3035">
          <cell r="A3035" t="str">
            <v>51939-052LF</v>
          </cell>
          <cell r="B3035"/>
          <cell r="C3035"/>
          <cell r="D3035"/>
          <cell r="E3035"/>
          <cell r="F3035"/>
          <cell r="G3035">
            <v>3.6499999999999998E-2</v>
          </cell>
          <cell r="H3035"/>
          <cell r="I3035"/>
          <cell r="J3035"/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>
            <v>1.9E-3</v>
          </cell>
        </row>
        <row r="3036">
          <cell r="A3036" t="str">
            <v>51939-055LF</v>
          </cell>
          <cell r="B3036"/>
          <cell r="C3036"/>
          <cell r="D3036"/>
          <cell r="E3036"/>
          <cell r="F3036"/>
          <cell r="G3036">
            <v>2.9000000000000001E-2</v>
          </cell>
          <cell r="H3036"/>
          <cell r="I3036"/>
          <cell r="J3036"/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>
            <v>1.9E-3</v>
          </cell>
        </row>
        <row r="3037">
          <cell r="A3037" t="str">
            <v>51939-056LF</v>
          </cell>
          <cell r="B3037"/>
          <cell r="C3037"/>
          <cell r="D3037"/>
          <cell r="E3037"/>
          <cell r="F3037"/>
          <cell r="G3037">
            <v>3.2000000000000001E-2</v>
          </cell>
          <cell r="H3037"/>
          <cell r="I3037"/>
          <cell r="J3037"/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>
            <v>1.9E-3</v>
          </cell>
        </row>
        <row r="3038">
          <cell r="A3038" t="str">
            <v>51939-059LF</v>
          </cell>
          <cell r="B3038"/>
          <cell r="C3038"/>
          <cell r="D3038"/>
          <cell r="E3038"/>
          <cell r="F3038"/>
          <cell r="G3038">
            <v>0.01</v>
          </cell>
          <cell r="H3038"/>
          <cell r="I3038"/>
          <cell r="J3038"/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>
            <v>6.1000000000000004E-3</v>
          </cell>
        </row>
        <row r="3039">
          <cell r="A3039" t="str">
            <v>51939-059LF-SHD</v>
          </cell>
          <cell r="B3039"/>
          <cell r="C3039"/>
          <cell r="D3039"/>
          <cell r="E3039"/>
          <cell r="F3039"/>
          <cell r="G3039">
            <v>1.0950413000000001E-2</v>
          </cell>
          <cell r="H3039"/>
          <cell r="I3039"/>
          <cell r="J3039"/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>
            <v>6.1000000000000004E-3</v>
          </cell>
        </row>
        <row r="3040">
          <cell r="A3040" t="str">
            <v>51939-060LF</v>
          </cell>
          <cell r="B3040"/>
          <cell r="C3040"/>
          <cell r="D3040"/>
          <cell r="E3040"/>
          <cell r="F3040"/>
          <cell r="G3040">
            <v>2.9000000000000001E-2</v>
          </cell>
          <cell r="H3040"/>
          <cell r="I3040"/>
          <cell r="J3040"/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>
            <v>1.9E-3</v>
          </cell>
        </row>
        <row r="3041">
          <cell r="A3041" t="str">
            <v>51939-061LF</v>
          </cell>
          <cell r="B3041"/>
          <cell r="C3041"/>
          <cell r="D3041"/>
          <cell r="E3041"/>
          <cell r="F3041"/>
          <cell r="G3041">
            <v>3.5999999999999997E-2</v>
          </cell>
          <cell r="H3041"/>
          <cell r="I3041"/>
          <cell r="J3041"/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>
            <v>2E-3</v>
          </cell>
        </row>
        <row r="3042">
          <cell r="A3042" t="str">
            <v>51939-062LF</v>
          </cell>
          <cell r="B3042"/>
          <cell r="C3042"/>
          <cell r="D3042"/>
          <cell r="E3042"/>
          <cell r="F3042"/>
          <cell r="G3042">
            <v>4.58E-2</v>
          </cell>
          <cell r="H3042"/>
          <cell r="I3042"/>
          <cell r="J3042"/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>
            <v>1.9E-3</v>
          </cell>
        </row>
        <row r="3043">
          <cell r="A3043" t="str">
            <v>51939-065LF</v>
          </cell>
          <cell r="B3043"/>
          <cell r="C3043"/>
          <cell r="D3043"/>
          <cell r="E3043"/>
          <cell r="F3043"/>
          <cell r="G3043">
            <v>2.92E-2</v>
          </cell>
          <cell r="H3043"/>
          <cell r="I3043"/>
          <cell r="J3043"/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>
            <v>1.9E-3</v>
          </cell>
        </row>
        <row r="3044">
          <cell r="A3044" t="str">
            <v>51939-066LF</v>
          </cell>
          <cell r="B3044"/>
          <cell r="C3044"/>
          <cell r="D3044"/>
          <cell r="E3044"/>
          <cell r="F3044"/>
          <cell r="G3044">
            <v>2.7699999999999999E-2</v>
          </cell>
          <cell r="H3044"/>
          <cell r="I3044"/>
          <cell r="J3044"/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>
            <v>1.9E-3</v>
          </cell>
        </row>
        <row r="3045">
          <cell r="A3045" t="str">
            <v>51939-067LF</v>
          </cell>
          <cell r="B3045"/>
          <cell r="C3045"/>
          <cell r="D3045"/>
          <cell r="E3045"/>
          <cell r="F3045"/>
          <cell r="G3045">
            <v>2.06E-2</v>
          </cell>
          <cell r="H3045"/>
          <cell r="I3045"/>
          <cell r="J3045"/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>
            <v>1.6000000000000001E-3</v>
          </cell>
        </row>
        <row r="3046">
          <cell r="A3046" t="str">
            <v>51939-069LF</v>
          </cell>
          <cell r="B3046"/>
          <cell r="C3046"/>
          <cell r="D3046"/>
          <cell r="E3046"/>
          <cell r="F3046"/>
          <cell r="G3046">
            <v>4.2999999999999997E-2</v>
          </cell>
          <cell r="H3046"/>
          <cell r="I3046"/>
          <cell r="J3046"/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>
            <v>2E-3</v>
          </cell>
        </row>
        <row r="3047">
          <cell r="A3047" t="str">
            <v>51939-070LF</v>
          </cell>
          <cell r="B3047"/>
          <cell r="C3047"/>
          <cell r="D3047"/>
          <cell r="E3047"/>
          <cell r="F3047"/>
          <cell r="G3047">
            <v>2.7699999999999999E-2</v>
          </cell>
          <cell r="H3047"/>
          <cell r="I3047"/>
          <cell r="J3047"/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>
            <v>1.9E-3</v>
          </cell>
        </row>
        <row r="3048">
          <cell r="A3048" t="str">
            <v>51939-072LF</v>
          </cell>
          <cell r="B3048"/>
          <cell r="C3048"/>
          <cell r="D3048"/>
          <cell r="E3048"/>
          <cell r="F3048"/>
          <cell r="G3048">
            <v>2.9899999999999999E-2</v>
          </cell>
          <cell r="H3048"/>
          <cell r="I3048"/>
          <cell r="J3048"/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>
            <v>1.9E-3</v>
          </cell>
        </row>
        <row r="3049">
          <cell r="A3049" t="str">
            <v>51939-074LF</v>
          </cell>
          <cell r="B3049"/>
          <cell r="C3049"/>
          <cell r="D3049"/>
          <cell r="E3049"/>
          <cell r="F3049"/>
          <cell r="G3049">
            <v>3.9300000000000002E-2</v>
          </cell>
          <cell r="H3049"/>
          <cell r="I3049"/>
          <cell r="J3049"/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>
            <v>2E-3</v>
          </cell>
        </row>
        <row r="3050">
          <cell r="A3050" t="str">
            <v>51939-077LF</v>
          </cell>
          <cell r="B3050"/>
          <cell r="C3050"/>
          <cell r="D3050"/>
          <cell r="E3050"/>
          <cell r="F3050"/>
          <cell r="G3050">
            <v>1.4E-2</v>
          </cell>
          <cell r="H3050"/>
          <cell r="I3050"/>
          <cell r="J3050"/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>
            <v>6.1000000000000004E-3</v>
          </cell>
        </row>
        <row r="3051">
          <cell r="A3051" t="str">
            <v>51939-079LF</v>
          </cell>
          <cell r="B3051"/>
          <cell r="C3051"/>
          <cell r="D3051"/>
          <cell r="E3051"/>
          <cell r="F3051"/>
          <cell r="G3051">
            <v>2.9000000000000001E-2</v>
          </cell>
          <cell r="H3051"/>
          <cell r="I3051"/>
          <cell r="J3051"/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>
            <v>1.6000000000000001E-3</v>
          </cell>
        </row>
        <row r="3052">
          <cell r="A3052" t="str">
            <v>51939-081LF</v>
          </cell>
          <cell r="B3052"/>
          <cell r="C3052"/>
          <cell r="D3052"/>
          <cell r="E3052"/>
          <cell r="F3052"/>
          <cell r="G3052">
            <v>1.5900000000000001E-2</v>
          </cell>
          <cell r="H3052"/>
          <cell r="I3052"/>
          <cell r="J3052"/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>
            <v>6.1000000000000004E-3</v>
          </cell>
        </row>
        <row r="3053">
          <cell r="A3053" t="str">
            <v>51939-083LF</v>
          </cell>
          <cell r="B3053"/>
          <cell r="C3053"/>
          <cell r="D3053"/>
          <cell r="E3053"/>
          <cell r="F3053"/>
          <cell r="G3053">
            <v>3.1600000000000003E-2</v>
          </cell>
          <cell r="H3053"/>
          <cell r="I3053"/>
          <cell r="J3053"/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>
            <v>3.1800000000000002E-2</v>
          </cell>
        </row>
        <row r="3054">
          <cell r="A3054" t="str">
            <v>51939-084LF</v>
          </cell>
          <cell r="B3054"/>
          <cell r="C3054"/>
          <cell r="D3054"/>
          <cell r="E3054"/>
          <cell r="F3054"/>
          <cell r="G3054">
            <v>3.9300000000000002E-2</v>
          </cell>
          <cell r="H3054"/>
          <cell r="I3054"/>
          <cell r="J3054"/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>
            <v>1.9E-3</v>
          </cell>
        </row>
        <row r="3055">
          <cell r="A3055" t="str">
            <v>51939-086LF</v>
          </cell>
          <cell r="B3055"/>
          <cell r="C3055"/>
          <cell r="D3055"/>
          <cell r="E3055"/>
          <cell r="F3055"/>
          <cell r="G3055">
            <v>4.4900000000000002E-2</v>
          </cell>
          <cell r="H3055"/>
          <cell r="I3055"/>
          <cell r="J3055"/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>
            <v>1.9E-3</v>
          </cell>
        </row>
        <row r="3056">
          <cell r="A3056" t="str">
            <v>51939-090LF</v>
          </cell>
          <cell r="B3056"/>
          <cell r="C3056"/>
          <cell r="D3056"/>
          <cell r="E3056"/>
          <cell r="F3056"/>
          <cell r="G3056">
            <v>2.9899999999999999E-2</v>
          </cell>
          <cell r="H3056"/>
          <cell r="I3056"/>
          <cell r="J3056"/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>
            <v>1.6000000000000001E-3</v>
          </cell>
        </row>
        <row r="3057">
          <cell r="A3057" t="str">
            <v>51939-092LF</v>
          </cell>
          <cell r="B3057"/>
          <cell r="C3057"/>
          <cell r="D3057"/>
          <cell r="E3057"/>
          <cell r="F3057"/>
          <cell r="G3057">
            <v>3.5999999999999997E-2</v>
          </cell>
          <cell r="H3057"/>
          <cell r="I3057"/>
          <cell r="J3057"/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>
            <v>1.9E-3</v>
          </cell>
        </row>
        <row r="3058">
          <cell r="A3058" t="str">
            <v>51939-096LF</v>
          </cell>
          <cell r="B3058"/>
          <cell r="C3058"/>
          <cell r="D3058"/>
          <cell r="E3058"/>
          <cell r="F3058"/>
          <cell r="G3058">
            <v>2.52E-2</v>
          </cell>
          <cell r="H3058"/>
          <cell r="I3058"/>
          <cell r="J3058"/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>
            <v>1.9E-3</v>
          </cell>
        </row>
        <row r="3059">
          <cell r="A3059" t="str">
            <v>51939-098LF</v>
          </cell>
          <cell r="B3059"/>
          <cell r="C3059"/>
          <cell r="D3059"/>
          <cell r="E3059"/>
          <cell r="F3059"/>
          <cell r="G3059">
            <v>3.6499999999999998E-2</v>
          </cell>
          <cell r="H3059"/>
          <cell r="I3059"/>
          <cell r="J3059"/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>
            <v>2E-3</v>
          </cell>
        </row>
        <row r="3060">
          <cell r="A3060" t="str">
            <v>51939-1001LF</v>
          </cell>
          <cell r="B3060"/>
          <cell r="C3060"/>
          <cell r="D3060"/>
          <cell r="E3060"/>
          <cell r="F3060"/>
          <cell r="G3060">
            <v>1.4999999999999999E-2</v>
          </cell>
          <cell r="H3060"/>
          <cell r="I3060"/>
          <cell r="J3060"/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>
            <v>6.1000000000000004E-3</v>
          </cell>
        </row>
        <row r="3061">
          <cell r="A3061" t="str">
            <v>51939-1002LF</v>
          </cell>
          <cell r="B3061"/>
          <cell r="C3061"/>
          <cell r="D3061"/>
          <cell r="E3061"/>
          <cell r="F3061"/>
          <cell r="G3061">
            <v>0.02</v>
          </cell>
          <cell r="H3061"/>
          <cell r="I3061"/>
          <cell r="J3061"/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>
            <v>6.1000000000000004E-3</v>
          </cell>
        </row>
        <row r="3062">
          <cell r="A3062" t="str">
            <v>51939-1004LF</v>
          </cell>
          <cell r="B3062"/>
          <cell r="C3062"/>
          <cell r="D3062"/>
          <cell r="E3062"/>
          <cell r="F3062"/>
          <cell r="G3062">
            <v>2.8000000000000001E-2</v>
          </cell>
          <cell r="H3062"/>
          <cell r="I3062"/>
          <cell r="J3062"/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>
            <v>2E-3</v>
          </cell>
        </row>
        <row r="3063">
          <cell r="A3063" t="str">
            <v>51939-1006LF</v>
          </cell>
          <cell r="B3063"/>
          <cell r="C3063"/>
          <cell r="D3063"/>
          <cell r="E3063"/>
          <cell r="F3063"/>
          <cell r="G3063">
            <v>4.4999999999999998E-2</v>
          </cell>
          <cell r="H3063"/>
          <cell r="I3063"/>
          <cell r="J3063"/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>
            <v>6.7000000000000002E-3</v>
          </cell>
        </row>
        <row r="3064">
          <cell r="A3064" t="str">
            <v>51939-1007LF</v>
          </cell>
          <cell r="B3064"/>
          <cell r="C3064"/>
          <cell r="D3064"/>
          <cell r="E3064"/>
          <cell r="F3064"/>
          <cell r="G3064">
            <v>2.5999999999999999E-2</v>
          </cell>
          <cell r="H3064"/>
          <cell r="I3064"/>
          <cell r="J3064"/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>
            <v>2E-3</v>
          </cell>
        </row>
        <row r="3065">
          <cell r="A3065" t="str">
            <v>51939-1008LF</v>
          </cell>
          <cell r="B3065"/>
          <cell r="C3065"/>
          <cell r="D3065"/>
          <cell r="E3065"/>
          <cell r="F3065"/>
          <cell r="G3065">
            <v>3.3000000000000002E-2</v>
          </cell>
          <cell r="H3065"/>
          <cell r="I3065"/>
          <cell r="J3065"/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>
            <v>3.3E-3</v>
          </cell>
        </row>
        <row r="3066">
          <cell r="A3066" t="str">
            <v>51939-1011LF</v>
          </cell>
          <cell r="B3066"/>
          <cell r="C3066"/>
          <cell r="D3066"/>
          <cell r="E3066"/>
          <cell r="F3066"/>
          <cell r="G3066">
            <v>6.0999999999999999E-2</v>
          </cell>
          <cell r="H3066"/>
          <cell r="I3066"/>
          <cell r="J3066"/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>
            <v>4.0000000000000001E-3</v>
          </cell>
        </row>
        <row r="3067">
          <cell r="A3067" t="str">
            <v>51939-1012LF</v>
          </cell>
          <cell r="B3067"/>
          <cell r="C3067"/>
          <cell r="D3067"/>
          <cell r="E3067"/>
          <cell r="F3067"/>
          <cell r="G3067">
            <v>3.2000000000000001E-2</v>
          </cell>
          <cell r="H3067"/>
          <cell r="I3067"/>
          <cell r="J3067"/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>
            <v>2E-3</v>
          </cell>
        </row>
        <row r="3068">
          <cell r="A3068" t="str">
            <v>51939-1014LF</v>
          </cell>
          <cell r="B3068"/>
          <cell r="C3068"/>
          <cell r="D3068"/>
          <cell r="E3068"/>
          <cell r="F3068"/>
          <cell r="G3068">
            <v>3.5000000000000003E-2</v>
          </cell>
          <cell r="H3068"/>
          <cell r="I3068"/>
          <cell r="J3068"/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>
            <v>2E-3</v>
          </cell>
        </row>
        <row r="3069">
          <cell r="A3069" t="str">
            <v>51939-1015LF</v>
          </cell>
          <cell r="B3069"/>
          <cell r="C3069"/>
          <cell r="D3069"/>
          <cell r="E3069"/>
          <cell r="F3069"/>
          <cell r="G3069">
            <v>1.6500000000000001E-2</v>
          </cell>
          <cell r="H3069"/>
          <cell r="I3069"/>
          <cell r="J3069"/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>
            <v>3.3E-3</v>
          </cell>
        </row>
        <row r="3070">
          <cell r="A3070" t="str">
            <v>51939-1016LF</v>
          </cell>
          <cell r="B3070"/>
          <cell r="C3070"/>
          <cell r="D3070"/>
          <cell r="E3070"/>
          <cell r="F3070"/>
          <cell r="G3070">
            <v>2.8000000000000001E-2</v>
          </cell>
          <cell r="H3070"/>
          <cell r="I3070"/>
          <cell r="J3070"/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>
            <v>2E-3</v>
          </cell>
        </row>
        <row r="3071">
          <cell r="A3071" t="str">
            <v>51939-1017LF</v>
          </cell>
          <cell r="B3071"/>
          <cell r="C3071"/>
          <cell r="D3071"/>
          <cell r="E3071"/>
          <cell r="F3071"/>
          <cell r="G3071">
            <v>0.02</v>
          </cell>
          <cell r="H3071"/>
          <cell r="I3071"/>
          <cell r="J3071"/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>
            <v>6.1000000000000004E-3</v>
          </cell>
        </row>
        <row r="3072">
          <cell r="A3072" t="str">
            <v>51939-1018PLF</v>
          </cell>
          <cell r="B3072"/>
          <cell r="C3072"/>
          <cell r="D3072"/>
          <cell r="E3072"/>
          <cell r="F3072"/>
          <cell r="G3072">
            <v>5.0999999999999997E-2</v>
          </cell>
          <cell r="H3072"/>
          <cell r="I3072"/>
          <cell r="J3072"/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>
            <v>6.7000000000000002E-3</v>
          </cell>
        </row>
        <row r="3073">
          <cell r="A3073" t="str">
            <v>51939-1019LF</v>
          </cell>
          <cell r="B3073"/>
          <cell r="C3073"/>
          <cell r="D3073"/>
          <cell r="E3073"/>
          <cell r="F3073"/>
          <cell r="G3073">
            <v>4.2000000000000003E-2</v>
          </cell>
          <cell r="H3073"/>
          <cell r="I3073"/>
          <cell r="J3073"/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>
            <v>6.7000000000000002E-3</v>
          </cell>
        </row>
        <row r="3074">
          <cell r="A3074" t="str">
            <v>51939-1020LF</v>
          </cell>
          <cell r="B3074"/>
          <cell r="C3074"/>
          <cell r="D3074"/>
          <cell r="E3074"/>
          <cell r="F3074"/>
          <cell r="G3074">
            <v>3.7999999999999999E-2</v>
          </cell>
          <cell r="H3074"/>
          <cell r="I3074"/>
          <cell r="J3074"/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>
            <v>6.7000000000000002E-3</v>
          </cell>
        </row>
        <row r="3075">
          <cell r="A3075" t="str">
            <v>51939-1021LF</v>
          </cell>
          <cell r="B3075"/>
          <cell r="C3075"/>
          <cell r="D3075"/>
          <cell r="E3075"/>
          <cell r="F3075"/>
          <cell r="G3075">
            <v>2.9000000000000001E-2</v>
          </cell>
          <cell r="H3075"/>
          <cell r="I3075"/>
          <cell r="J3075"/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>
            <v>2E-3</v>
          </cell>
        </row>
        <row r="3076">
          <cell r="A3076" t="str">
            <v>51939-1030LF</v>
          </cell>
          <cell r="B3076"/>
          <cell r="C3076"/>
          <cell r="D3076"/>
          <cell r="E3076"/>
          <cell r="F3076"/>
          <cell r="G3076">
            <v>2.8000000000000001E-2</v>
          </cell>
          <cell r="H3076"/>
          <cell r="I3076"/>
          <cell r="J3076"/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>
            <v>2E-3</v>
          </cell>
        </row>
        <row r="3077">
          <cell r="A3077" t="str">
            <v>51939-1032LF</v>
          </cell>
          <cell r="B3077"/>
          <cell r="C3077"/>
          <cell r="D3077"/>
          <cell r="E3077"/>
          <cell r="F3077"/>
          <cell r="G3077">
            <v>2.8000000000000001E-2</v>
          </cell>
          <cell r="H3077"/>
          <cell r="I3077"/>
          <cell r="J3077"/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>
            <v>2E-3</v>
          </cell>
        </row>
        <row r="3078">
          <cell r="A3078" t="str">
            <v>51939-1033LF</v>
          </cell>
          <cell r="B3078"/>
          <cell r="C3078"/>
          <cell r="D3078"/>
          <cell r="E3078"/>
          <cell r="F3078"/>
          <cell r="G3078">
            <v>2.4E-2</v>
          </cell>
          <cell r="H3078"/>
          <cell r="I3078"/>
          <cell r="J3078"/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>
            <v>2E-3</v>
          </cell>
        </row>
        <row r="3079">
          <cell r="A3079" t="str">
            <v>51939-1035LF</v>
          </cell>
          <cell r="B3079"/>
          <cell r="C3079"/>
          <cell r="D3079"/>
          <cell r="E3079"/>
          <cell r="F3079"/>
          <cell r="G3079">
            <v>3.5999999999999997E-2</v>
          </cell>
          <cell r="H3079"/>
          <cell r="I3079"/>
          <cell r="J3079"/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>
            <v>6.1000000000000004E-3</v>
          </cell>
        </row>
        <row r="3080">
          <cell r="A3080" t="str">
            <v>51939-1036LF</v>
          </cell>
          <cell r="B3080"/>
          <cell r="C3080"/>
          <cell r="D3080"/>
          <cell r="E3080"/>
          <cell r="F3080"/>
          <cell r="G3080">
            <v>3.9E-2</v>
          </cell>
          <cell r="H3080"/>
          <cell r="I3080"/>
          <cell r="J3080"/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>
            <v>3.3E-3</v>
          </cell>
        </row>
        <row r="3081">
          <cell r="A3081" t="str">
            <v>51939-1037LF</v>
          </cell>
          <cell r="B3081"/>
          <cell r="C3081"/>
          <cell r="D3081"/>
          <cell r="E3081"/>
          <cell r="F3081"/>
          <cell r="G3081">
            <v>2.5999999999999999E-2</v>
          </cell>
          <cell r="H3081"/>
          <cell r="I3081"/>
          <cell r="J3081"/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>
            <v>2E-3</v>
          </cell>
        </row>
        <row r="3082">
          <cell r="A3082" t="str">
            <v>51939-1039LF</v>
          </cell>
          <cell r="B3082"/>
          <cell r="C3082"/>
          <cell r="D3082"/>
          <cell r="E3082"/>
          <cell r="F3082"/>
          <cell r="G3082">
            <v>3.6999999999999998E-2</v>
          </cell>
          <cell r="H3082"/>
          <cell r="I3082"/>
          <cell r="J3082"/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>
            <v>6.1000000000000004E-3</v>
          </cell>
        </row>
        <row r="3083">
          <cell r="A3083" t="str">
            <v>51939-103LF</v>
          </cell>
          <cell r="B3083"/>
          <cell r="C3083"/>
          <cell r="D3083"/>
          <cell r="E3083"/>
          <cell r="F3083"/>
          <cell r="G3083">
            <v>1.4999999999999999E-2</v>
          </cell>
          <cell r="H3083"/>
          <cell r="I3083"/>
          <cell r="J3083"/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>
            <v>1.9E-3</v>
          </cell>
        </row>
        <row r="3084">
          <cell r="A3084" t="str">
            <v>51939-1042LF</v>
          </cell>
          <cell r="B3084"/>
          <cell r="C3084"/>
          <cell r="D3084"/>
          <cell r="E3084"/>
          <cell r="F3084"/>
          <cell r="G3084">
            <v>0.04</v>
          </cell>
          <cell r="H3084"/>
          <cell r="I3084"/>
          <cell r="J3084"/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>
            <v>3.3E-3</v>
          </cell>
        </row>
        <row r="3085">
          <cell r="A3085" t="str">
            <v>51939-1043LF</v>
          </cell>
          <cell r="B3085"/>
          <cell r="C3085"/>
          <cell r="D3085"/>
          <cell r="E3085"/>
          <cell r="F3085"/>
          <cell r="G3085">
            <v>0.04</v>
          </cell>
          <cell r="H3085"/>
          <cell r="I3085"/>
          <cell r="J3085"/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>
            <v>3.3E-3</v>
          </cell>
        </row>
        <row r="3086">
          <cell r="A3086" t="str">
            <v>51939-1044LF</v>
          </cell>
          <cell r="B3086"/>
          <cell r="C3086"/>
          <cell r="D3086"/>
          <cell r="E3086"/>
          <cell r="F3086"/>
          <cell r="G3086">
            <v>2.9000000000000001E-2</v>
          </cell>
          <cell r="H3086"/>
          <cell r="I3086"/>
          <cell r="J3086"/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>
            <v>2E-3</v>
          </cell>
        </row>
        <row r="3087">
          <cell r="A3087" t="str">
            <v>51939-104LF</v>
          </cell>
          <cell r="B3087"/>
          <cell r="C3087"/>
          <cell r="D3087"/>
          <cell r="E3087"/>
          <cell r="F3087"/>
          <cell r="G3087">
            <v>2.75E-2</v>
          </cell>
          <cell r="H3087"/>
          <cell r="I3087"/>
          <cell r="J3087"/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>
            <v>1.9E-3</v>
          </cell>
        </row>
        <row r="3088">
          <cell r="A3088" t="str">
            <v>51939-1050LF</v>
          </cell>
          <cell r="B3088"/>
          <cell r="C3088"/>
          <cell r="D3088"/>
          <cell r="E3088"/>
          <cell r="F3088"/>
          <cell r="G3088">
            <v>2.6700000000000002E-2</v>
          </cell>
          <cell r="H3088"/>
          <cell r="I3088"/>
          <cell r="J3088"/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>
            <v>3.3E-3</v>
          </cell>
        </row>
        <row r="3089">
          <cell r="A3089" t="str">
            <v>51939-1054LF</v>
          </cell>
          <cell r="B3089"/>
          <cell r="C3089"/>
          <cell r="D3089"/>
          <cell r="E3089"/>
          <cell r="F3089"/>
          <cell r="G3089">
            <v>4.5999999999999999E-2</v>
          </cell>
          <cell r="H3089"/>
          <cell r="I3089"/>
          <cell r="J3089"/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>
            <v>3.3E-3</v>
          </cell>
        </row>
        <row r="3090">
          <cell r="A3090" t="str">
            <v>51939-1055LF</v>
          </cell>
          <cell r="B3090"/>
          <cell r="C3090"/>
          <cell r="D3090"/>
          <cell r="E3090"/>
          <cell r="F3090"/>
          <cell r="G3090">
            <v>2.7E-2</v>
          </cell>
          <cell r="H3090"/>
          <cell r="I3090"/>
          <cell r="J3090"/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>
            <v>2E-3</v>
          </cell>
        </row>
        <row r="3091">
          <cell r="A3091" t="str">
            <v>51939-1056LF</v>
          </cell>
          <cell r="B3091"/>
          <cell r="C3091"/>
          <cell r="D3091"/>
          <cell r="E3091"/>
          <cell r="F3091"/>
          <cell r="G3091">
            <v>3.6999999999999998E-2</v>
          </cell>
          <cell r="H3091"/>
          <cell r="I3091"/>
          <cell r="J3091"/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>
            <v>3.3E-3</v>
          </cell>
        </row>
        <row r="3092">
          <cell r="A3092" t="str">
            <v>51939-1057LF</v>
          </cell>
          <cell r="B3092"/>
          <cell r="C3092"/>
          <cell r="D3092"/>
          <cell r="E3092"/>
          <cell r="F3092"/>
          <cell r="G3092">
            <v>8.1861599999999996E-3</v>
          </cell>
          <cell r="H3092"/>
          <cell r="I3092"/>
          <cell r="J3092"/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>
            <v>1.9E-3</v>
          </cell>
        </row>
        <row r="3093">
          <cell r="A3093" t="str">
            <v>51939-1058LF</v>
          </cell>
          <cell r="B3093"/>
          <cell r="C3093"/>
          <cell r="D3093"/>
          <cell r="E3093"/>
          <cell r="F3093"/>
          <cell r="G3093">
            <v>3.7999999999999999E-2</v>
          </cell>
          <cell r="H3093"/>
          <cell r="I3093"/>
          <cell r="J3093"/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>
            <v>3.3E-3</v>
          </cell>
        </row>
        <row r="3094">
          <cell r="A3094" t="str">
            <v>51939-1059LF</v>
          </cell>
          <cell r="B3094"/>
          <cell r="C3094"/>
          <cell r="D3094"/>
          <cell r="E3094"/>
          <cell r="F3094"/>
          <cell r="G3094">
            <v>3.5999999999999997E-2</v>
          </cell>
          <cell r="H3094"/>
          <cell r="I3094"/>
          <cell r="J3094"/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>
            <v>3.3E-3</v>
          </cell>
        </row>
        <row r="3095">
          <cell r="A3095" t="str">
            <v>51939-105LF</v>
          </cell>
          <cell r="B3095"/>
          <cell r="C3095"/>
          <cell r="D3095"/>
          <cell r="E3095"/>
          <cell r="F3095"/>
          <cell r="G3095">
            <v>4.2999999999999997E-2</v>
          </cell>
          <cell r="H3095"/>
          <cell r="I3095"/>
          <cell r="J3095"/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>
            <v>1.9E-3</v>
          </cell>
        </row>
        <row r="3096">
          <cell r="A3096" t="str">
            <v>51939-1061LF</v>
          </cell>
          <cell r="B3096"/>
          <cell r="C3096"/>
          <cell r="D3096"/>
          <cell r="E3096"/>
          <cell r="F3096"/>
          <cell r="G3096">
            <v>3.2000000000000001E-2</v>
          </cell>
          <cell r="H3096"/>
          <cell r="I3096"/>
          <cell r="J3096"/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>
            <v>3.3E-3</v>
          </cell>
        </row>
        <row r="3097">
          <cell r="A3097" t="str">
            <v>51939-1062LF</v>
          </cell>
          <cell r="B3097"/>
          <cell r="C3097"/>
          <cell r="D3097"/>
          <cell r="E3097"/>
          <cell r="F3097"/>
          <cell r="G3097">
            <v>3.7999999999999999E-2</v>
          </cell>
          <cell r="H3097"/>
          <cell r="I3097"/>
          <cell r="J3097"/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>
            <v>3.3E-3</v>
          </cell>
        </row>
        <row r="3098">
          <cell r="A3098" t="str">
            <v>51939-1064LF</v>
          </cell>
          <cell r="B3098"/>
          <cell r="C3098"/>
          <cell r="D3098"/>
          <cell r="E3098"/>
          <cell r="F3098"/>
          <cell r="G3098">
            <v>3.5999999999999997E-2</v>
          </cell>
          <cell r="H3098"/>
          <cell r="I3098"/>
          <cell r="J3098"/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>
            <v>3.3E-3</v>
          </cell>
        </row>
        <row r="3099">
          <cell r="A3099" t="str">
            <v>51939-1065LF</v>
          </cell>
          <cell r="B3099"/>
          <cell r="C3099"/>
          <cell r="D3099"/>
          <cell r="E3099"/>
          <cell r="F3099"/>
          <cell r="G3099">
            <v>3.1E-2</v>
          </cell>
          <cell r="H3099"/>
          <cell r="I3099"/>
          <cell r="J3099"/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>
            <v>6.1000000000000004E-3</v>
          </cell>
        </row>
        <row r="3100">
          <cell r="A3100" t="str">
            <v>51939-1066LF</v>
          </cell>
          <cell r="B3100"/>
          <cell r="C3100"/>
          <cell r="D3100"/>
          <cell r="E3100"/>
          <cell r="F3100"/>
          <cell r="G3100">
            <v>3.7999999999999999E-2</v>
          </cell>
          <cell r="H3100"/>
          <cell r="I3100"/>
          <cell r="J3100"/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>
            <v>3.3E-3</v>
          </cell>
        </row>
        <row r="3101">
          <cell r="A3101" t="str">
            <v>51939-1067LF</v>
          </cell>
          <cell r="B3101"/>
          <cell r="C3101"/>
          <cell r="D3101"/>
          <cell r="E3101"/>
          <cell r="F3101"/>
          <cell r="G3101">
            <v>3.5999999999999997E-2</v>
          </cell>
          <cell r="H3101"/>
          <cell r="I3101"/>
          <cell r="J3101"/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>
            <v>3.3E-3</v>
          </cell>
        </row>
        <row r="3102">
          <cell r="A3102" t="str">
            <v>51939-1068LF</v>
          </cell>
          <cell r="B3102"/>
          <cell r="C3102"/>
          <cell r="D3102"/>
          <cell r="E3102"/>
          <cell r="F3102"/>
          <cell r="G3102">
            <v>3.2000000000000001E-2</v>
          </cell>
          <cell r="H3102"/>
          <cell r="I3102"/>
          <cell r="J3102"/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>
            <v>3.3E-3</v>
          </cell>
        </row>
        <row r="3103">
          <cell r="A3103" t="str">
            <v>51939-1071LF</v>
          </cell>
          <cell r="B3103"/>
          <cell r="C3103"/>
          <cell r="D3103"/>
          <cell r="E3103"/>
          <cell r="F3103"/>
          <cell r="G3103">
            <v>2.6800000000000001E-2</v>
          </cell>
          <cell r="H3103"/>
          <cell r="I3103"/>
          <cell r="J3103"/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>
            <v>6.1000000000000004E-3</v>
          </cell>
        </row>
        <row r="3104">
          <cell r="A3104" t="str">
            <v>51939-1073LF</v>
          </cell>
          <cell r="B3104"/>
          <cell r="C3104"/>
          <cell r="D3104"/>
          <cell r="E3104"/>
          <cell r="F3104"/>
          <cell r="G3104">
            <v>3.7999999999999999E-2</v>
          </cell>
          <cell r="H3104"/>
          <cell r="I3104"/>
          <cell r="J3104"/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>
            <v>3.3E-3</v>
          </cell>
        </row>
        <row r="3105">
          <cell r="A3105" t="str">
            <v>51939-1074LF</v>
          </cell>
          <cell r="B3105"/>
          <cell r="C3105"/>
          <cell r="D3105"/>
          <cell r="E3105"/>
          <cell r="F3105"/>
          <cell r="G3105">
            <v>3.1E-2</v>
          </cell>
          <cell r="H3105"/>
          <cell r="I3105"/>
          <cell r="J3105"/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>
            <v>3.3E-3</v>
          </cell>
        </row>
        <row r="3106">
          <cell r="A3106" t="str">
            <v>51939-107LF</v>
          </cell>
          <cell r="B3106"/>
          <cell r="C3106"/>
          <cell r="D3106"/>
          <cell r="E3106"/>
          <cell r="F3106"/>
          <cell r="G3106">
            <v>3.3700000000000001E-2</v>
          </cell>
          <cell r="H3106"/>
          <cell r="I3106"/>
          <cell r="J3106"/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>
            <v>1.6000000000000001E-3</v>
          </cell>
        </row>
        <row r="3107">
          <cell r="A3107" t="str">
            <v>51939-1081LF</v>
          </cell>
          <cell r="B3107"/>
          <cell r="C3107"/>
          <cell r="D3107"/>
          <cell r="E3107"/>
          <cell r="F3107"/>
          <cell r="G3107">
            <v>2.1999999999999999E-2</v>
          </cell>
          <cell r="H3107"/>
          <cell r="I3107"/>
          <cell r="J3107"/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>
            <v>6.1000000000000004E-3</v>
          </cell>
        </row>
        <row r="3108">
          <cell r="A3108" t="str">
            <v>51939-1082LF</v>
          </cell>
          <cell r="B3108"/>
          <cell r="C3108"/>
          <cell r="D3108"/>
          <cell r="E3108"/>
          <cell r="F3108"/>
          <cell r="G3108">
            <v>5.0999999999999997E-2</v>
          </cell>
          <cell r="H3108"/>
          <cell r="I3108"/>
          <cell r="J3108"/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>
            <v>3.3E-3</v>
          </cell>
        </row>
        <row r="3109">
          <cell r="A3109" t="str">
            <v>51939-1084LF</v>
          </cell>
          <cell r="B3109"/>
          <cell r="C3109"/>
          <cell r="D3109"/>
          <cell r="E3109"/>
          <cell r="F3109"/>
          <cell r="G3109">
            <v>2.9624241999999999E-2</v>
          </cell>
          <cell r="H3109"/>
          <cell r="I3109"/>
          <cell r="J3109"/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>
            <v>3.3E-3</v>
          </cell>
        </row>
        <row r="3110">
          <cell r="A3110" t="str">
            <v>51939-1086LF</v>
          </cell>
          <cell r="B3110"/>
          <cell r="C3110"/>
          <cell r="D3110"/>
          <cell r="E3110"/>
          <cell r="F3110"/>
          <cell r="G3110">
            <v>3.1E-2</v>
          </cell>
          <cell r="H3110"/>
          <cell r="I3110"/>
          <cell r="J3110"/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>
            <v>3.3E-3</v>
          </cell>
        </row>
        <row r="3111">
          <cell r="A3111" t="str">
            <v>51939-1089LF</v>
          </cell>
          <cell r="B3111"/>
          <cell r="C3111"/>
          <cell r="D3111"/>
          <cell r="E3111"/>
          <cell r="F3111"/>
          <cell r="G3111">
            <v>3.4000000000000002E-2</v>
          </cell>
          <cell r="H3111"/>
          <cell r="I3111"/>
          <cell r="J3111"/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>
            <v>3.3E-3</v>
          </cell>
        </row>
        <row r="3112">
          <cell r="A3112" t="str">
            <v>51939-1091MLLF</v>
          </cell>
          <cell r="B3112"/>
          <cell r="C3112"/>
          <cell r="D3112"/>
          <cell r="E3112"/>
          <cell r="F3112"/>
          <cell r="G3112">
            <v>3.4000000000000002E-2</v>
          </cell>
          <cell r="H3112"/>
          <cell r="I3112"/>
          <cell r="J3112"/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>
            <v>3.3E-3</v>
          </cell>
        </row>
        <row r="3113">
          <cell r="A3113" t="str">
            <v>51939-1096LF</v>
          </cell>
          <cell r="B3113"/>
          <cell r="C3113"/>
          <cell r="D3113"/>
          <cell r="E3113"/>
          <cell r="F3113"/>
          <cell r="G3113">
            <v>1.6E-2</v>
          </cell>
          <cell r="H3113"/>
          <cell r="I3113"/>
          <cell r="J3113"/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>
            <v>6.1000000000000004E-3</v>
          </cell>
        </row>
        <row r="3114">
          <cell r="A3114" t="str">
            <v>51939-1097LF</v>
          </cell>
          <cell r="B3114"/>
          <cell r="C3114"/>
          <cell r="D3114"/>
          <cell r="E3114"/>
          <cell r="F3114"/>
          <cell r="G3114">
            <v>1.6E-2</v>
          </cell>
          <cell r="H3114"/>
          <cell r="I3114"/>
          <cell r="J3114"/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>
            <v>6.1000000000000004E-3</v>
          </cell>
        </row>
        <row r="3115">
          <cell r="A3115" t="str">
            <v>51939-1100LF</v>
          </cell>
          <cell r="B3115"/>
          <cell r="C3115"/>
          <cell r="D3115"/>
          <cell r="E3115"/>
          <cell r="F3115"/>
          <cell r="G3115">
            <v>2.1999999999999999E-2</v>
          </cell>
          <cell r="H3115"/>
          <cell r="I3115"/>
          <cell r="J3115"/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>
            <v>6.1000000000000004E-3</v>
          </cell>
        </row>
        <row r="3116">
          <cell r="A3116" t="str">
            <v>51939-1101LF</v>
          </cell>
          <cell r="B3116"/>
          <cell r="C3116"/>
          <cell r="D3116"/>
          <cell r="E3116"/>
          <cell r="F3116"/>
          <cell r="G3116">
            <v>3.1E-2</v>
          </cell>
          <cell r="H3116"/>
          <cell r="I3116"/>
          <cell r="J3116"/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>
            <v>3.3E-3</v>
          </cell>
        </row>
        <row r="3117">
          <cell r="A3117" t="str">
            <v>51939-1102LF</v>
          </cell>
          <cell r="B3117"/>
          <cell r="C3117"/>
          <cell r="D3117"/>
          <cell r="E3117"/>
          <cell r="F3117"/>
          <cell r="G3117">
            <v>2.1999999999999999E-2</v>
          </cell>
          <cell r="H3117"/>
          <cell r="I3117"/>
          <cell r="J3117"/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>
            <v>6.1000000000000004E-3</v>
          </cell>
        </row>
        <row r="3118">
          <cell r="A3118" t="str">
            <v>51939-1105LF</v>
          </cell>
          <cell r="B3118"/>
          <cell r="C3118"/>
          <cell r="D3118"/>
          <cell r="E3118"/>
          <cell r="F3118"/>
          <cell r="G3118">
            <v>2.8000000000000001E-2</v>
          </cell>
          <cell r="H3118"/>
          <cell r="I3118"/>
          <cell r="J3118"/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>
            <v>0.01</v>
          </cell>
        </row>
        <row r="3119">
          <cell r="A3119" t="str">
            <v>51939-1106LF</v>
          </cell>
          <cell r="B3119"/>
          <cell r="C3119"/>
          <cell r="D3119"/>
          <cell r="E3119"/>
          <cell r="F3119"/>
          <cell r="G3119">
            <v>2.6100000000000002E-2</v>
          </cell>
          <cell r="H3119"/>
          <cell r="I3119"/>
          <cell r="J3119"/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>
            <v>3.3E-3</v>
          </cell>
        </row>
        <row r="3120">
          <cell r="A3120" t="str">
            <v>51939-1108LF</v>
          </cell>
          <cell r="B3120"/>
          <cell r="C3120"/>
          <cell r="D3120"/>
          <cell r="E3120"/>
          <cell r="F3120"/>
          <cell r="G3120">
            <v>3.5000000000000003E-2</v>
          </cell>
          <cell r="H3120"/>
          <cell r="I3120"/>
          <cell r="J3120"/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>
            <v>6.6E-3</v>
          </cell>
        </row>
        <row r="3121">
          <cell r="A3121" t="str">
            <v>51939-1109LF</v>
          </cell>
          <cell r="B3121"/>
          <cell r="C3121"/>
          <cell r="D3121"/>
          <cell r="E3121"/>
          <cell r="F3121"/>
          <cell r="G3121">
            <v>3.7999999999999999E-2</v>
          </cell>
          <cell r="H3121"/>
          <cell r="I3121"/>
          <cell r="J3121"/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>
            <v>6.6E-3</v>
          </cell>
        </row>
        <row r="3122">
          <cell r="A3122" t="str">
            <v>51939-1110LF</v>
          </cell>
          <cell r="B3122"/>
          <cell r="C3122"/>
          <cell r="D3122"/>
          <cell r="E3122"/>
          <cell r="F3122"/>
          <cell r="G3122">
            <v>3.7999999999999999E-2</v>
          </cell>
          <cell r="H3122"/>
          <cell r="I3122"/>
          <cell r="J3122"/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>
            <v>8.9999999999999993E-3</v>
          </cell>
        </row>
        <row r="3123">
          <cell r="A3123" t="str">
            <v>51939-1111LF</v>
          </cell>
          <cell r="B3123"/>
          <cell r="C3123"/>
          <cell r="D3123"/>
          <cell r="E3123"/>
          <cell r="F3123"/>
          <cell r="G3123">
            <v>2.6100000000000002E-2</v>
          </cell>
          <cell r="H3123"/>
          <cell r="I3123"/>
          <cell r="J3123"/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>
            <v>3.3E-3</v>
          </cell>
        </row>
        <row r="3124">
          <cell r="A3124" t="str">
            <v>51939-1112LF</v>
          </cell>
          <cell r="B3124"/>
          <cell r="C3124"/>
          <cell r="D3124"/>
          <cell r="E3124"/>
          <cell r="F3124"/>
          <cell r="G3124">
            <v>1.4999999999999999E-2</v>
          </cell>
          <cell r="H3124"/>
          <cell r="I3124"/>
          <cell r="J3124"/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>
            <v>9.7999999999999997E-3</v>
          </cell>
        </row>
        <row r="3125">
          <cell r="A3125" t="str">
            <v>51939-1113LF</v>
          </cell>
          <cell r="B3125"/>
          <cell r="C3125"/>
          <cell r="D3125"/>
          <cell r="E3125"/>
          <cell r="F3125"/>
          <cell r="G3125">
            <v>1.4E-2</v>
          </cell>
          <cell r="H3125"/>
          <cell r="I3125"/>
          <cell r="J3125"/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>
            <v>6.4000000000000003E-3</v>
          </cell>
        </row>
        <row r="3126">
          <cell r="A3126" t="str">
            <v>51939-1114LF</v>
          </cell>
          <cell r="B3126"/>
          <cell r="C3126"/>
          <cell r="D3126"/>
          <cell r="E3126"/>
          <cell r="F3126"/>
          <cell r="G3126">
            <v>2.8000000000000001E-2</v>
          </cell>
          <cell r="H3126"/>
          <cell r="I3126"/>
          <cell r="J3126"/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>
            <v>3.3E-3</v>
          </cell>
        </row>
        <row r="3127">
          <cell r="A3127" t="str">
            <v>51939-1117LF</v>
          </cell>
          <cell r="B3127"/>
          <cell r="C3127"/>
          <cell r="D3127"/>
          <cell r="E3127"/>
          <cell r="F3127"/>
          <cell r="G3127">
            <v>3.5999999999999997E-2</v>
          </cell>
          <cell r="H3127"/>
          <cell r="I3127"/>
          <cell r="J3127"/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>
            <v>3.3E-3</v>
          </cell>
        </row>
        <row r="3128">
          <cell r="A3128" t="str">
            <v>51939-1118LF</v>
          </cell>
          <cell r="B3128"/>
          <cell r="C3128"/>
          <cell r="D3128"/>
          <cell r="E3128"/>
          <cell r="F3128"/>
          <cell r="G3128">
            <v>2.5999999999999999E-2</v>
          </cell>
          <cell r="H3128"/>
          <cell r="I3128"/>
          <cell r="J3128"/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>
            <v>6.1000000000000004E-3</v>
          </cell>
        </row>
        <row r="3129">
          <cell r="A3129" t="str">
            <v>51939-1119LF</v>
          </cell>
          <cell r="B3129"/>
          <cell r="C3129"/>
          <cell r="D3129"/>
          <cell r="E3129"/>
          <cell r="F3129"/>
          <cell r="G3129">
            <v>2.8000000000000001E-2</v>
          </cell>
          <cell r="H3129"/>
          <cell r="I3129"/>
          <cell r="J3129"/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>
            <v>3.3E-3</v>
          </cell>
        </row>
        <row r="3130">
          <cell r="A3130" t="str">
            <v>51939-111LF</v>
          </cell>
          <cell r="B3130"/>
          <cell r="C3130"/>
          <cell r="D3130"/>
          <cell r="E3130"/>
          <cell r="F3130"/>
          <cell r="G3130">
            <v>5.0500000000000003E-2</v>
          </cell>
          <cell r="H3130"/>
          <cell r="I3130"/>
          <cell r="J3130"/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>
            <v>3.7000000000000002E-3</v>
          </cell>
        </row>
        <row r="3131">
          <cell r="A3131" t="str">
            <v>51939-1121LF</v>
          </cell>
          <cell r="B3131"/>
          <cell r="C3131"/>
          <cell r="D3131"/>
          <cell r="E3131"/>
          <cell r="F3131"/>
          <cell r="G3131">
            <v>3.2000000000000001E-2</v>
          </cell>
          <cell r="H3131"/>
          <cell r="I3131"/>
          <cell r="J3131"/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>
            <v>0.01</v>
          </cell>
        </row>
        <row r="3132">
          <cell r="A3132" t="str">
            <v>51939-1122LF</v>
          </cell>
          <cell r="B3132"/>
          <cell r="C3132"/>
          <cell r="D3132"/>
          <cell r="E3132"/>
          <cell r="F3132"/>
          <cell r="G3132">
            <v>2.4E-2</v>
          </cell>
          <cell r="H3132"/>
          <cell r="I3132"/>
          <cell r="J3132"/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>
            <v>2.3E-3</v>
          </cell>
        </row>
        <row r="3133">
          <cell r="A3133" t="str">
            <v>51939-1125LF</v>
          </cell>
          <cell r="B3133"/>
          <cell r="C3133"/>
          <cell r="D3133"/>
          <cell r="E3133"/>
          <cell r="F3133"/>
          <cell r="G3133">
            <v>2.5000000000000001E-2</v>
          </cell>
          <cell r="H3133"/>
          <cell r="I3133"/>
          <cell r="J3133"/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>
            <v>3.9E-2</v>
          </cell>
        </row>
        <row r="3134">
          <cell r="A3134" t="str">
            <v>51939-1126LF</v>
          </cell>
          <cell r="B3134"/>
          <cell r="C3134"/>
          <cell r="D3134"/>
          <cell r="E3134"/>
          <cell r="F3134"/>
          <cell r="G3134">
            <v>1.9300000000000001E-2</v>
          </cell>
          <cell r="H3134"/>
          <cell r="I3134"/>
          <cell r="J3134"/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>
            <v>2.3800000000000002E-2</v>
          </cell>
        </row>
        <row r="3135">
          <cell r="A3135" t="str">
            <v>51939-1127LF</v>
          </cell>
          <cell r="B3135"/>
          <cell r="C3135"/>
          <cell r="D3135"/>
          <cell r="E3135"/>
          <cell r="F3135"/>
          <cell r="G3135">
            <v>2.5999999999999999E-2</v>
          </cell>
          <cell r="H3135"/>
          <cell r="I3135"/>
          <cell r="J3135"/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>
            <v>3.3E-3</v>
          </cell>
        </row>
        <row r="3136">
          <cell r="A3136" t="str">
            <v>51939-1128LF</v>
          </cell>
          <cell r="B3136"/>
          <cell r="C3136"/>
          <cell r="D3136"/>
          <cell r="E3136"/>
          <cell r="F3136"/>
          <cell r="G3136">
            <v>2.9000000000000001E-2</v>
          </cell>
          <cell r="H3136"/>
          <cell r="I3136"/>
          <cell r="J3136"/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>
            <v>0.01</v>
          </cell>
        </row>
        <row r="3137">
          <cell r="A3137" t="str">
            <v>51939-1129LF</v>
          </cell>
          <cell r="B3137"/>
          <cell r="C3137"/>
          <cell r="D3137"/>
          <cell r="E3137"/>
          <cell r="F3137"/>
          <cell r="G3137">
            <v>3.1E-2</v>
          </cell>
          <cell r="H3137"/>
          <cell r="I3137"/>
          <cell r="J3137"/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>
            <v>0.01</v>
          </cell>
        </row>
        <row r="3138">
          <cell r="A3138" t="str">
            <v>51939-112LF</v>
          </cell>
          <cell r="B3138"/>
          <cell r="C3138"/>
          <cell r="D3138"/>
          <cell r="E3138"/>
          <cell r="F3138"/>
          <cell r="G3138">
            <v>4.7199999999999999E-2</v>
          </cell>
          <cell r="H3138"/>
          <cell r="I3138"/>
          <cell r="J3138"/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>
            <v>3.7000000000000002E-3</v>
          </cell>
        </row>
        <row r="3139">
          <cell r="A3139" t="str">
            <v>51939-1131LF</v>
          </cell>
          <cell r="B3139"/>
          <cell r="C3139"/>
          <cell r="D3139"/>
          <cell r="E3139"/>
          <cell r="F3139"/>
          <cell r="G3139">
            <v>0.02</v>
          </cell>
          <cell r="H3139"/>
          <cell r="I3139"/>
          <cell r="J3139"/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>
            <v>2E-3</v>
          </cell>
        </row>
        <row r="3140">
          <cell r="A3140" t="str">
            <v>51939-1133LF</v>
          </cell>
          <cell r="B3140"/>
          <cell r="C3140"/>
          <cell r="D3140"/>
          <cell r="E3140"/>
          <cell r="F3140"/>
          <cell r="G3140">
            <v>3.6999999999999998E-2</v>
          </cell>
          <cell r="H3140"/>
          <cell r="I3140"/>
          <cell r="J3140"/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>
            <v>3.3E-3</v>
          </cell>
        </row>
        <row r="3141">
          <cell r="A3141" t="str">
            <v>51939-1134LF</v>
          </cell>
          <cell r="B3141"/>
          <cell r="C3141"/>
          <cell r="D3141"/>
          <cell r="E3141"/>
          <cell r="F3141"/>
          <cell r="G3141">
            <v>2.5999999999999999E-2</v>
          </cell>
          <cell r="H3141"/>
          <cell r="I3141"/>
          <cell r="J3141"/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>
            <v>3.3E-3</v>
          </cell>
        </row>
        <row r="3142">
          <cell r="A3142" t="str">
            <v>51939-1136LF</v>
          </cell>
          <cell r="B3142"/>
          <cell r="C3142"/>
          <cell r="D3142"/>
          <cell r="E3142"/>
          <cell r="F3142"/>
          <cell r="G3142">
            <v>3.2000000000000001E-2</v>
          </cell>
          <cell r="H3142"/>
          <cell r="I3142"/>
          <cell r="J3142"/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>
            <v>3.3E-3</v>
          </cell>
        </row>
        <row r="3143">
          <cell r="A3143" t="str">
            <v>51939-1140LF</v>
          </cell>
          <cell r="B3143"/>
          <cell r="C3143"/>
          <cell r="D3143"/>
          <cell r="E3143"/>
          <cell r="F3143"/>
          <cell r="G3143">
            <v>3.6999999999999998E-2</v>
          </cell>
          <cell r="H3143"/>
          <cell r="I3143"/>
          <cell r="J3143"/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>
            <v>3.3E-3</v>
          </cell>
        </row>
        <row r="3144">
          <cell r="A3144" t="str">
            <v>51939-1142LF</v>
          </cell>
          <cell r="B3144"/>
          <cell r="C3144"/>
          <cell r="D3144"/>
          <cell r="E3144"/>
          <cell r="F3144"/>
          <cell r="G3144">
            <v>2.1999999999999999E-2</v>
          </cell>
          <cell r="H3144"/>
          <cell r="I3144"/>
          <cell r="J3144"/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>
            <v>3.3E-3</v>
          </cell>
        </row>
        <row r="3145">
          <cell r="A3145" t="str">
            <v>51939-1143LF</v>
          </cell>
          <cell r="B3145"/>
          <cell r="C3145"/>
          <cell r="D3145"/>
          <cell r="E3145"/>
          <cell r="F3145"/>
          <cell r="G3145">
            <v>3.7999999999999999E-2</v>
          </cell>
          <cell r="H3145"/>
          <cell r="I3145"/>
          <cell r="J3145"/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>
            <v>0.01</v>
          </cell>
        </row>
        <row r="3146">
          <cell r="A3146" t="str">
            <v>51939-1144LF</v>
          </cell>
          <cell r="B3146"/>
          <cell r="C3146"/>
          <cell r="D3146"/>
          <cell r="E3146"/>
          <cell r="F3146"/>
          <cell r="G3146">
            <v>2.7E-2</v>
          </cell>
          <cell r="H3146"/>
          <cell r="I3146"/>
          <cell r="J3146"/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>
            <v>3.3E-3</v>
          </cell>
        </row>
        <row r="3147">
          <cell r="A3147" t="str">
            <v>51939-1146LF</v>
          </cell>
          <cell r="B3147"/>
          <cell r="C3147"/>
          <cell r="D3147"/>
          <cell r="E3147"/>
          <cell r="F3147"/>
          <cell r="G3147">
            <v>5.3999999999999999E-2</v>
          </cell>
          <cell r="H3147"/>
          <cell r="I3147"/>
          <cell r="J3147"/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>
            <v>0.01</v>
          </cell>
        </row>
        <row r="3148">
          <cell r="A3148" t="str">
            <v>51939-1147LF</v>
          </cell>
          <cell r="B3148"/>
          <cell r="C3148"/>
          <cell r="D3148"/>
          <cell r="E3148"/>
          <cell r="F3148"/>
          <cell r="G3148">
            <v>5.5E-2</v>
          </cell>
          <cell r="H3148"/>
          <cell r="I3148"/>
          <cell r="J3148"/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>
            <v>0.01</v>
          </cell>
        </row>
        <row r="3149">
          <cell r="A3149" t="str">
            <v>51939-1148LF</v>
          </cell>
          <cell r="B3149"/>
          <cell r="C3149"/>
          <cell r="D3149"/>
          <cell r="E3149"/>
          <cell r="F3149"/>
          <cell r="G3149">
            <v>5.3999999999999999E-2</v>
          </cell>
          <cell r="H3149"/>
          <cell r="I3149"/>
          <cell r="J3149"/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>
            <v>6.7000000000000002E-3</v>
          </cell>
        </row>
        <row r="3150">
          <cell r="A3150" t="str">
            <v>51939-1149LF</v>
          </cell>
          <cell r="B3150"/>
          <cell r="C3150"/>
          <cell r="D3150"/>
          <cell r="E3150"/>
          <cell r="F3150"/>
          <cell r="G3150">
            <v>5.3999999999999999E-2</v>
          </cell>
          <cell r="H3150"/>
          <cell r="I3150"/>
          <cell r="J3150"/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>
            <v>6.7000000000000002E-3</v>
          </cell>
        </row>
        <row r="3151">
          <cell r="A3151" t="str">
            <v>51939-114LF</v>
          </cell>
          <cell r="B3151"/>
          <cell r="C3151"/>
          <cell r="D3151"/>
          <cell r="E3151"/>
          <cell r="F3151"/>
          <cell r="G3151">
            <v>1.9599999999999999E-2</v>
          </cell>
          <cell r="H3151"/>
          <cell r="I3151"/>
          <cell r="J3151"/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>
            <v>1.9E-3</v>
          </cell>
        </row>
        <row r="3152">
          <cell r="A3152" t="str">
            <v>51939-1151LHLF</v>
          </cell>
          <cell r="B3152"/>
          <cell r="C3152"/>
          <cell r="D3152"/>
          <cell r="E3152"/>
          <cell r="F3152"/>
          <cell r="G3152">
            <v>2.5000000000000001E-2</v>
          </cell>
          <cell r="H3152"/>
          <cell r="I3152"/>
          <cell r="J3152"/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>
            <v>2E-3</v>
          </cell>
        </row>
        <row r="3153">
          <cell r="A3153" t="str">
            <v>51939-1153LF</v>
          </cell>
          <cell r="B3153"/>
          <cell r="C3153"/>
          <cell r="D3153"/>
          <cell r="E3153"/>
          <cell r="F3153"/>
          <cell r="G3153">
            <v>0.01</v>
          </cell>
          <cell r="H3153"/>
          <cell r="I3153"/>
          <cell r="J3153"/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>
            <v>3.0000000000000001E-3</v>
          </cell>
        </row>
        <row r="3154">
          <cell r="A3154" t="str">
            <v>51939-1156LF</v>
          </cell>
          <cell r="B3154"/>
          <cell r="C3154"/>
          <cell r="D3154"/>
          <cell r="E3154"/>
          <cell r="F3154"/>
          <cell r="G3154">
            <v>3.5999999999999997E-2</v>
          </cell>
          <cell r="H3154"/>
          <cell r="I3154"/>
          <cell r="J3154"/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>
            <v>3.3E-3</v>
          </cell>
        </row>
        <row r="3155">
          <cell r="A3155" t="str">
            <v>51939-115LF</v>
          </cell>
          <cell r="B3155"/>
          <cell r="C3155"/>
          <cell r="D3155"/>
          <cell r="E3155"/>
          <cell r="F3155"/>
          <cell r="G3155">
            <v>3.5999999999999997E-2</v>
          </cell>
          <cell r="H3155"/>
          <cell r="I3155"/>
          <cell r="J3155"/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>
            <v>2E-3</v>
          </cell>
        </row>
        <row r="3156">
          <cell r="A3156" t="str">
            <v>51939-1162LF</v>
          </cell>
          <cell r="B3156"/>
          <cell r="C3156"/>
          <cell r="D3156"/>
          <cell r="E3156"/>
          <cell r="F3156"/>
          <cell r="G3156">
            <v>2.8000000000000001E-2</v>
          </cell>
          <cell r="H3156"/>
          <cell r="I3156"/>
          <cell r="J3156"/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>
            <v>3.3E-3</v>
          </cell>
        </row>
        <row r="3157">
          <cell r="A3157" t="str">
            <v>51939-1166LF</v>
          </cell>
          <cell r="B3157"/>
          <cell r="C3157"/>
          <cell r="D3157"/>
          <cell r="E3157"/>
          <cell r="F3157"/>
          <cell r="G3157">
            <v>4.2999999999999997E-2</v>
          </cell>
          <cell r="H3157"/>
          <cell r="I3157"/>
          <cell r="J3157"/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>
            <v>0.01</v>
          </cell>
        </row>
        <row r="3158">
          <cell r="A3158" t="str">
            <v>51939-1170LF</v>
          </cell>
          <cell r="B3158"/>
          <cell r="C3158"/>
          <cell r="D3158"/>
          <cell r="E3158"/>
          <cell r="F3158"/>
          <cell r="G3158">
            <v>3.3000000000000002E-2</v>
          </cell>
          <cell r="H3158"/>
          <cell r="I3158"/>
          <cell r="J3158"/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>
            <v>6.1000000000000004E-3</v>
          </cell>
        </row>
        <row r="3159">
          <cell r="A3159" t="str">
            <v>51939-1171LF</v>
          </cell>
          <cell r="B3159"/>
          <cell r="C3159"/>
          <cell r="D3159"/>
          <cell r="E3159"/>
          <cell r="F3159"/>
          <cell r="G3159">
            <v>3.2000000000000001E-2</v>
          </cell>
          <cell r="H3159"/>
          <cell r="I3159"/>
          <cell r="J3159"/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>
            <v>3.3E-3</v>
          </cell>
        </row>
        <row r="3160">
          <cell r="A3160" t="str">
            <v>51939-1172LF</v>
          </cell>
          <cell r="B3160"/>
          <cell r="C3160"/>
          <cell r="D3160"/>
          <cell r="E3160"/>
          <cell r="F3160"/>
          <cell r="G3160">
            <v>2.7E-2</v>
          </cell>
          <cell r="H3160"/>
          <cell r="I3160"/>
          <cell r="J3160"/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>
            <v>3.3E-3</v>
          </cell>
        </row>
        <row r="3161">
          <cell r="A3161" t="str">
            <v>51939-1174LF</v>
          </cell>
          <cell r="B3161"/>
          <cell r="C3161"/>
          <cell r="D3161"/>
          <cell r="E3161"/>
          <cell r="F3161"/>
          <cell r="G3161">
            <v>4.2000000000000003E-2</v>
          </cell>
          <cell r="H3161"/>
          <cell r="I3161"/>
          <cell r="J3161"/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>
            <v>0.01</v>
          </cell>
        </row>
        <row r="3162">
          <cell r="A3162" t="str">
            <v>51939-1177LF</v>
          </cell>
          <cell r="B3162"/>
          <cell r="C3162"/>
          <cell r="D3162"/>
          <cell r="E3162"/>
          <cell r="F3162"/>
          <cell r="G3162">
            <v>6.2E-2</v>
          </cell>
          <cell r="H3162"/>
          <cell r="I3162"/>
          <cell r="J3162"/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>
            <v>9.9000000000000008E-3</v>
          </cell>
        </row>
        <row r="3163">
          <cell r="A3163" t="str">
            <v>51939-1178LF</v>
          </cell>
          <cell r="B3163"/>
          <cell r="C3163"/>
          <cell r="D3163"/>
          <cell r="E3163"/>
          <cell r="F3163"/>
          <cell r="G3163">
            <v>2.7E-2</v>
          </cell>
          <cell r="H3163"/>
          <cell r="I3163"/>
          <cell r="J3163"/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>
            <v>3.3E-3</v>
          </cell>
        </row>
        <row r="3164">
          <cell r="A3164" t="str">
            <v>51939-1179LF</v>
          </cell>
          <cell r="B3164"/>
          <cell r="C3164"/>
          <cell r="D3164"/>
          <cell r="E3164"/>
          <cell r="F3164"/>
          <cell r="G3164">
            <v>2.7E-2</v>
          </cell>
          <cell r="H3164"/>
          <cell r="I3164"/>
          <cell r="J3164"/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>
            <v>3.0000000000000001E-3</v>
          </cell>
        </row>
        <row r="3165">
          <cell r="A3165" t="str">
            <v>51939-1180LF</v>
          </cell>
          <cell r="B3165"/>
          <cell r="C3165"/>
          <cell r="D3165"/>
          <cell r="E3165"/>
          <cell r="F3165"/>
          <cell r="G3165">
            <v>3.2000000000000001E-2</v>
          </cell>
          <cell r="H3165"/>
          <cell r="I3165"/>
          <cell r="J3165"/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>
            <v>3.3E-3</v>
          </cell>
        </row>
        <row r="3166">
          <cell r="A3166" t="str">
            <v>51939-1181LF</v>
          </cell>
          <cell r="B3166"/>
          <cell r="C3166"/>
          <cell r="D3166"/>
          <cell r="E3166"/>
          <cell r="F3166"/>
          <cell r="G3166">
            <v>5.0999999999999997E-2</v>
          </cell>
          <cell r="H3166"/>
          <cell r="I3166"/>
          <cell r="J3166"/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>
            <v>6.6E-3</v>
          </cell>
        </row>
        <row r="3167">
          <cell r="A3167" t="str">
            <v>51939-1182LF</v>
          </cell>
          <cell r="B3167"/>
          <cell r="C3167"/>
          <cell r="D3167"/>
          <cell r="E3167"/>
          <cell r="F3167"/>
          <cell r="G3167">
            <v>2.8000000000000001E-2</v>
          </cell>
          <cell r="H3167"/>
          <cell r="I3167"/>
          <cell r="J3167"/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>
            <v>3.3E-3</v>
          </cell>
        </row>
        <row r="3168">
          <cell r="A3168" t="str">
            <v>51939-1184LF</v>
          </cell>
          <cell r="B3168"/>
          <cell r="C3168"/>
          <cell r="D3168"/>
          <cell r="E3168"/>
          <cell r="F3168"/>
          <cell r="G3168">
            <v>2.3E-2</v>
          </cell>
          <cell r="H3168"/>
          <cell r="I3168"/>
          <cell r="J3168"/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>
            <v>3.3E-3</v>
          </cell>
        </row>
        <row r="3169">
          <cell r="A3169" t="str">
            <v>51939-1186LF</v>
          </cell>
          <cell r="B3169"/>
          <cell r="C3169"/>
          <cell r="D3169"/>
          <cell r="E3169"/>
          <cell r="F3169"/>
          <cell r="G3169">
            <v>2.8000000000000001E-2</v>
          </cell>
          <cell r="H3169"/>
          <cell r="I3169"/>
          <cell r="J3169"/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>
            <v>6.1000000000000004E-3</v>
          </cell>
        </row>
        <row r="3170">
          <cell r="A3170" t="str">
            <v>51939-118LF</v>
          </cell>
          <cell r="B3170"/>
          <cell r="C3170"/>
          <cell r="D3170"/>
          <cell r="E3170"/>
          <cell r="F3170"/>
          <cell r="G3170">
            <v>1.9900000000000001E-2</v>
          </cell>
          <cell r="H3170"/>
          <cell r="I3170"/>
          <cell r="J3170"/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>
            <v>1.9E-3</v>
          </cell>
        </row>
        <row r="3171">
          <cell r="A3171" t="str">
            <v>51939-1190LF</v>
          </cell>
          <cell r="B3171"/>
          <cell r="C3171"/>
          <cell r="D3171"/>
          <cell r="E3171"/>
          <cell r="F3171"/>
          <cell r="G3171">
            <v>3.2000000000000001E-2</v>
          </cell>
          <cell r="H3171"/>
          <cell r="I3171"/>
          <cell r="J3171"/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>
            <v>3.3E-3</v>
          </cell>
        </row>
        <row r="3172">
          <cell r="A3172" t="str">
            <v>51939-1192LF</v>
          </cell>
          <cell r="B3172"/>
          <cell r="C3172"/>
          <cell r="D3172"/>
          <cell r="E3172"/>
          <cell r="F3172"/>
          <cell r="G3172">
            <v>3.2000000000000001E-2</v>
          </cell>
          <cell r="H3172"/>
          <cell r="I3172"/>
          <cell r="J3172"/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>
            <v>3.3E-3</v>
          </cell>
        </row>
        <row r="3173">
          <cell r="A3173" t="str">
            <v>51939-1194LF</v>
          </cell>
          <cell r="B3173"/>
          <cell r="C3173"/>
          <cell r="D3173"/>
          <cell r="E3173"/>
          <cell r="F3173"/>
          <cell r="G3173">
            <v>2.7E-2</v>
          </cell>
          <cell r="H3173"/>
          <cell r="I3173"/>
          <cell r="J3173"/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>
            <v>3.3E-3</v>
          </cell>
        </row>
        <row r="3174">
          <cell r="A3174" t="str">
            <v>51939-1195LF</v>
          </cell>
          <cell r="B3174"/>
          <cell r="C3174"/>
          <cell r="D3174"/>
          <cell r="E3174"/>
          <cell r="F3174"/>
          <cell r="G3174">
            <v>4.2999999999999997E-2</v>
          </cell>
          <cell r="H3174"/>
          <cell r="I3174"/>
          <cell r="J3174"/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>
            <v>3.3E-3</v>
          </cell>
        </row>
        <row r="3175">
          <cell r="A3175" t="str">
            <v>51939-1196LF</v>
          </cell>
          <cell r="B3175"/>
          <cell r="C3175"/>
          <cell r="D3175"/>
          <cell r="E3175"/>
          <cell r="F3175"/>
          <cell r="G3175">
            <v>3.2000000000000001E-2</v>
          </cell>
          <cell r="H3175"/>
          <cell r="I3175"/>
          <cell r="J3175"/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>
            <v>3.3E-3</v>
          </cell>
        </row>
        <row r="3176">
          <cell r="A3176" t="str">
            <v>51939-1197LF</v>
          </cell>
          <cell r="B3176"/>
          <cell r="C3176"/>
          <cell r="D3176"/>
          <cell r="E3176"/>
          <cell r="F3176"/>
          <cell r="G3176">
            <v>2.8000000000000001E-2</v>
          </cell>
          <cell r="H3176"/>
          <cell r="I3176"/>
          <cell r="J3176"/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>
            <v>3.3E-3</v>
          </cell>
        </row>
        <row r="3177">
          <cell r="A3177" t="str">
            <v>51939-1199LF</v>
          </cell>
          <cell r="B3177"/>
          <cell r="C3177"/>
          <cell r="D3177"/>
          <cell r="E3177"/>
          <cell r="F3177"/>
          <cell r="G3177">
            <v>3.2000000000000001E-2</v>
          </cell>
          <cell r="H3177"/>
          <cell r="I3177"/>
          <cell r="J3177"/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>
            <v>3.3E-3</v>
          </cell>
        </row>
        <row r="3178">
          <cell r="A3178" t="str">
            <v>51939-119LF</v>
          </cell>
          <cell r="B3178"/>
          <cell r="C3178"/>
          <cell r="D3178"/>
          <cell r="E3178"/>
          <cell r="F3178"/>
          <cell r="G3178">
            <v>2.52E-2</v>
          </cell>
          <cell r="H3178"/>
          <cell r="I3178"/>
          <cell r="J3178"/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>
            <v>1.6000000000000001E-3</v>
          </cell>
        </row>
        <row r="3179">
          <cell r="A3179" t="str">
            <v>51939-1201LF</v>
          </cell>
          <cell r="B3179"/>
          <cell r="C3179"/>
          <cell r="D3179"/>
          <cell r="E3179"/>
          <cell r="F3179"/>
          <cell r="G3179">
            <v>2.7E-2</v>
          </cell>
          <cell r="H3179"/>
          <cell r="I3179"/>
          <cell r="J3179"/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>
            <v>3.3E-3</v>
          </cell>
        </row>
        <row r="3180">
          <cell r="A3180" t="str">
            <v>51939-1204LF</v>
          </cell>
          <cell r="B3180"/>
          <cell r="C3180"/>
          <cell r="D3180"/>
          <cell r="E3180"/>
          <cell r="F3180"/>
          <cell r="G3180">
            <v>5.1999999999999998E-2</v>
          </cell>
          <cell r="H3180"/>
          <cell r="I3180"/>
          <cell r="J3180"/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>
            <v>3.3E-3</v>
          </cell>
        </row>
        <row r="3181">
          <cell r="A3181" t="str">
            <v>51939-1206LF</v>
          </cell>
          <cell r="B3181"/>
          <cell r="C3181"/>
          <cell r="D3181"/>
          <cell r="E3181"/>
          <cell r="F3181"/>
          <cell r="G3181">
            <v>3.5000000000000003E-2</v>
          </cell>
          <cell r="H3181"/>
          <cell r="I3181"/>
          <cell r="J3181"/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>
            <v>3.3E-3</v>
          </cell>
        </row>
        <row r="3182">
          <cell r="A3182" t="str">
            <v>51939-1207LF</v>
          </cell>
          <cell r="B3182"/>
          <cell r="C3182"/>
          <cell r="D3182"/>
          <cell r="E3182"/>
          <cell r="F3182"/>
          <cell r="G3182">
            <v>2.8000000000000001E-2</v>
          </cell>
          <cell r="H3182"/>
          <cell r="I3182"/>
          <cell r="J3182"/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>
            <v>3.3E-3</v>
          </cell>
        </row>
        <row r="3183">
          <cell r="A3183" t="str">
            <v>51939-1208LF</v>
          </cell>
          <cell r="B3183"/>
          <cell r="C3183"/>
          <cell r="D3183"/>
          <cell r="E3183"/>
          <cell r="F3183"/>
          <cell r="G3183">
            <v>3.2000000000000001E-2</v>
          </cell>
          <cell r="H3183"/>
          <cell r="I3183"/>
          <cell r="J3183"/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>
            <v>3.3E-3</v>
          </cell>
        </row>
        <row r="3184">
          <cell r="A3184" t="str">
            <v>51939-1209LF</v>
          </cell>
          <cell r="B3184"/>
          <cell r="C3184"/>
          <cell r="D3184"/>
          <cell r="E3184"/>
          <cell r="F3184"/>
          <cell r="G3184">
            <v>1.44E-2</v>
          </cell>
          <cell r="H3184"/>
          <cell r="I3184"/>
          <cell r="J3184"/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>
            <v>1.0999999999999999E-2</v>
          </cell>
        </row>
        <row r="3185">
          <cell r="A3185" t="str">
            <v>51939-1212LF</v>
          </cell>
          <cell r="B3185"/>
          <cell r="C3185"/>
          <cell r="D3185"/>
          <cell r="E3185"/>
          <cell r="F3185"/>
          <cell r="G3185">
            <v>2.8000000000000001E-2</v>
          </cell>
          <cell r="H3185"/>
          <cell r="I3185"/>
          <cell r="J3185"/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>
            <v>3.0000000000000001E-3</v>
          </cell>
        </row>
        <row r="3186">
          <cell r="A3186" t="str">
            <v>51939-1213LF</v>
          </cell>
          <cell r="B3186"/>
          <cell r="C3186"/>
          <cell r="D3186"/>
          <cell r="E3186"/>
          <cell r="F3186"/>
          <cell r="G3186">
            <v>3.6999999999999998E-2</v>
          </cell>
          <cell r="H3186"/>
          <cell r="I3186"/>
          <cell r="J3186"/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>
            <v>3.3E-3</v>
          </cell>
        </row>
        <row r="3187">
          <cell r="A3187" t="str">
            <v>51939-1214LF</v>
          </cell>
          <cell r="B3187"/>
          <cell r="C3187"/>
          <cell r="D3187"/>
          <cell r="E3187"/>
          <cell r="F3187"/>
          <cell r="G3187">
            <v>2.7E-2</v>
          </cell>
          <cell r="H3187"/>
          <cell r="I3187"/>
          <cell r="J3187"/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>
            <v>3.0000000000000001E-3</v>
          </cell>
        </row>
        <row r="3188">
          <cell r="A3188" t="str">
            <v>51939-1216LF</v>
          </cell>
          <cell r="B3188"/>
          <cell r="C3188"/>
          <cell r="D3188"/>
          <cell r="E3188"/>
          <cell r="F3188"/>
          <cell r="G3188">
            <v>3.3000000000000002E-2</v>
          </cell>
          <cell r="H3188"/>
          <cell r="I3188"/>
          <cell r="J3188"/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>
            <v>2E-3</v>
          </cell>
        </row>
        <row r="3189">
          <cell r="A3189" t="str">
            <v>51939-1217LF</v>
          </cell>
          <cell r="B3189"/>
          <cell r="C3189"/>
          <cell r="D3189"/>
          <cell r="E3189"/>
          <cell r="F3189"/>
          <cell r="G3189">
            <v>3.2000000000000001E-2</v>
          </cell>
          <cell r="H3189"/>
          <cell r="I3189"/>
          <cell r="J3189"/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>
            <v>3.3E-3</v>
          </cell>
        </row>
        <row r="3190">
          <cell r="A3190" t="str">
            <v>51939-1219LF</v>
          </cell>
          <cell r="B3190"/>
          <cell r="C3190"/>
          <cell r="D3190"/>
          <cell r="E3190"/>
          <cell r="F3190"/>
          <cell r="G3190">
            <v>3.5000000000000003E-2</v>
          </cell>
          <cell r="H3190"/>
          <cell r="I3190"/>
          <cell r="J3190"/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>
            <v>3.3E-3</v>
          </cell>
        </row>
        <row r="3191">
          <cell r="A3191" t="str">
            <v>51939-121LF</v>
          </cell>
          <cell r="B3191"/>
          <cell r="C3191"/>
          <cell r="D3191"/>
          <cell r="E3191"/>
          <cell r="F3191"/>
          <cell r="G3191">
            <v>1.2E-2</v>
          </cell>
          <cell r="H3191"/>
          <cell r="I3191"/>
          <cell r="J3191"/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>
            <v>6.1000000000000004E-3</v>
          </cell>
        </row>
        <row r="3192">
          <cell r="A3192" t="str">
            <v>51939-1221LHLF</v>
          </cell>
          <cell r="B3192"/>
          <cell r="C3192"/>
          <cell r="D3192"/>
          <cell r="E3192"/>
          <cell r="F3192"/>
          <cell r="G3192">
            <v>3.2000000000000001E-2</v>
          </cell>
          <cell r="H3192"/>
          <cell r="I3192"/>
          <cell r="J3192"/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>
            <v>3.0000000000000001E-3</v>
          </cell>
        </row>
        <row r="3193">
          <cell r="A3193" t="str">
            <v>51939-1222LHLF</v>
          </cell>
          <cell r="B3193"/>
          <cell r="C3193"/>
          <cell r="D3193"/>
          <cell r="E3193"/>
          <cell r="F3193"/>
          <cell r="G3193">
            <v>2.6620999999999999E-2</v>
          </cell>
          <cell r="H3193"/>
          <cell r="I3193"/>
          <cell r="J3193"/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>
            <v>3.3E-3</v>
          </cell>
        </row>
        <row r="3194">
          <cell r="A3194" t="str">
            <v>51939-1223LF</v>
          </cell>
          <cell r="B3194"/>
          <cell r="C3194"/>
          <cell r="D3194"/>
          <cell r="E3194"/>
          <cell r="F3194"/>
          <cell r="G3194">
            <v>3.2000000000000001E-2</v>
          </cell>
          <cell r="H3194"/>
          <cell r="I3194"/>
          <cell r="J3194"/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>
            <v>3.3E-3</v>
          </cell>
        </row>
        <row r="3195">
          <cell r="A3195" t="str">
            <v>51939-1224PLF</v>
          </cell>
          <cell r="B3195"/>
          <cell r="C3195"/>
          <cell r="D3195"/>
          <cell r="E3195"/>
          <cell r="F3195"/>
          <cell r="G3195">
            <v>3.7999999999999999E-2</v>
          </cell>
          <cell r="H3195"/>
          <cell r="I3195"/>
          <cell r="J3195"/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>
            <v>3.3E-3</v>
          </cell>
        </row>
        <row r="3196">
          <cell r="A3196" t="str">
            <v>51939-1225LF</v>
          </cell>
          <cell r="B3196"/>
          <cell r="C3196"/>
          <cell r="D3196"/>
          <cell r="E3196"/>
          <cell r="F3196"/>
          <cell r="G3196">
            <v>4.4999999999999998E-2</v>
          </cell>
          <cell r="H3196"/>
          <cell r="I3196"/>
          <cell r="J3196"/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>
            <v>3.3E-3</v>
          </cell>
        </row>
        <row r="3197">
          <cell r="A3197" t="str">
            <v>51939-1226LF</v>
          </cell>
          <cell r="B3197"/>
          <cell r="C3197"/>
          <cell r="D3197"/>
          <cell r="E3197"/>
          <cell r="F3197"/>
          <cell r="G3197">
            <v>3.5000000000000003E-2</v>
          </cell>
          <cell r="H3197"/>
          <cell r="I3197"/>
          <cell r="J3197"/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>
            <v>3.3E-3</v>
          </cell>
        </row>
        <row r="3198">
          <cell r="A3198" t="str">
            <v>51939-1227LF</v>
          </cell>
          <cell r="B3198"/>
          <cell r="C3198"/>
          <cell r="D3198"/>
          <cell r="E3198"/>
          <cell r="F3198"/>
          <cell r="G3198">
            <v>2.7E-2</v>
          </cell>
          <cell r="H3198"/>
          <cell r="I3198"/>
          <cell r="J3198"/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>
            <v>3.3E-3</v>
          </cell>
        </row>
        <row r="3199">
          <cell r="A3199" t="str">
            <v>51939-1228LF</v>
          </cell>
          <cell r="B3199"/>
          <cell r="C3199"/>
          <cell r="D3199"/>
          <cell r="E3199"/>
          <cell r="F3199"/>
          <cell r="G3199">
            <v>2.5000000000000001E-2</v>
          </cell>
          <cell r="H3199"/>
          <cell r="I3199"/>
          <cell r="J3199"/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>
            <v>3.3E-3</v>
          </cell>
        </row>
        <row r="3200">
          <cell r="A3200" t="str">
            <v>51939-122LF</v>
          </cell>
          <cell r="B3200"/>
          <cell r="C3200"/>
          <cell r="D3200"/>
          <cell r="E3200"/>
          <cell r="F3200"/>
          <cell r="G3200">
            <v>3.4599999999999999E-2</v>
          </cell>
          <cell r="H3200"/>
          <cell r="I3200"/>
          <cell r="J3200"/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>
            <v>1.9E-3</v>
          </cell>
        </row>
        <row r="3201">
          <cell r="A3201" t="str">
            <v>51939-1232LF</v>
          </cell>
          <cell r="B3201"/>
          <cell r="C3201"/>
          <cell r="D3201"/>
          <cell r="E3201"/>
          <cell r="F3201"/>
          <cell r="G3201">
            <v>3.5999999999999997E-2</v>
          </cell>
          <cell r="H3201"/>
          <cell r="I3201"/>
          <cell r="J3201"/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>
            <v>3.3E-3</v>
          </cell>
        </row>
        <row r="3202">
          <cell r="A3202" t="str">
            <v>51939-1234LF</v>
          </cell>
          <cell r="B3202"/>
          <cell r="C3202"/>
          <cell r="D3202"/>
          <cell r="E3202"/>
          <cell r="F3202"/>
          <cell r="G3202">
            <v>3.5999999999999997E-2</v>
          </cell>
          <cell r="H3202"/>
          <cell r="I3202"/>
          <cell r="J3202"/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>
            <v>3.3E-3</v>
          </cell>
        </row>
        <row r="3203">
          <cell r="A3203" t="str">
            <v>51939-1237LF</v>
          </cell>
          <cell r="B3203"/>
          <cell r="C3203"/>
          <cell r="D3203"/>
          <cell r="E3203"/>
          <cell r="F3203"/>
          <cell r="G3203">
            <v>2.9000000000000001E-2</v>
          </cell>
          <cell r="H3203"/>
          <cell r="I3203"/>
          <cell r="J3203"/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>
            <v>3.3E-3</v>
          </cell>
        </row>
        <row r="3204">
          <cell r="A3204" t="str">
            <v>51939-1239LF</v>
          </cell>
          <cell r="B3204"/>
          <cell r="C3204"/>
          <cell r="D3204"/>
          <cell r="E3204"/>
          <cell r="F3204"/>
          <cell r="G3204">
            <v>3.2000000000000001E-2</v>
          </cell>
          <cell r="H3204"/>
          <cell r="I3204"/>
          <cell r="J3204"/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>
            <v>6.1000000000000004E-3</v>
          </cell>
        </row>
        <row r="3205">
          <cell r="A3205" t="str">
            <v>51939-123LF</v>
          </cell>
          <cell r="B3205"/>
          <cell r="C3205"/>
          <cell r="D3205"/>
          <cell r="E3205"/>
          <cell r="F3205"/>
          <cell r="G3205">
            <v>3.4000000000000002E-2</v>
          </cell>
          <cell r="H3205"/>
          <cell r="I3205"/>
          <cell r="J3205"/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>
            <v>2E-3</v>
          </cell>
        </row>
        <row r="3206">
          <cell r="A3206" t="str">
            <v>51939-1240LF</v>
          </cell>
          <cell r="B3206"/>
          <cell r="C3206"/>
          <cell r="D3206"/>
          <cell r="E3206"/>
          <cell r="F3206"/>
          <cell r="G3206">
            <v>2.1000000000000001E-2</v>
          </cell>
          <cell r="H3206"/>
          <cell r="I3206"/>
          <cell r="J3206"/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>
            <v>3.0000000000000001E-3</v>
          </cell>
        </row>
        <row r="3207">
          <cell r="A3207" t="str">
            <v>51939-1242LF</v>
          </cell>
          <cell r="B3207"/>
          <cell r="C3207"/>
          <cell r="D3207"/>
          <cell r="E3207"/>
          <cell r="F3207"/>
          <cell r="G3207">
            <v>3.5999999999999997E-2</v>
          </cell>
          <cell r="H3207"/>
          <cell r="I3207"/>
          <cell r="J3207"/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>
            <v>5.0000000000000001E-3</v>
          </cell>
        </row>
        <row r="3208">
          <cell r="A3208" t="str">
            <v>51939-1243LF</v>
          </cell>
          <cell r="B3208"/>
          <cell r="C3208"/>
          <cell r="D3208"/>
          <cell r="E3208"/>
          <cell r="F3208"/>
          <cell r="G3208">
            <v>2.8000000000000001E-2</v>
          </cell>
          <cell r="H3208"/>
          <cell r="I3208"/>
          <cell r="J3208"/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>
            <v>3.3E-3</v>
          </cell>
        </row>
        <row r="3209">
          <cell r="A3209" t="str">
            <v>51939-1244LHLF</v>
          </cell>
          <cell r="B3209"/>
          <cell r="C3209"/>
          <cell r="D3209"/>
          <cell r="E3209"/>
          <cell r="F3209"/>
          <cell r="G3209">
            <v>3.2000000000000001E-2</v>
          </cell>
          <cell r="H3209"/>
          <cell r="I3209"/>
          <cell r="J3209"/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>
            <v>3.3E-3</v>
          </cell>
        </row>
        <row r="3210">
          <cell r="A3210" t="str">
            <v>51939-1245LF</v>
          </cell>
          <cell r="B3210"/>
          <cell r="C3210"/>
          <cell r="D3210"/>
          <cell r="E3210"/>
          <cell r="F3210"/>
          <cell r="G3210">
            <v>3.5999999999999997E-2</v>
          </cell>
          <cell r="H3210"/>
          <cell r="I3210"/>
          <cell r="J3210"/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>
            <v>0.01</v>
          </cell>
        </row>
        <row r="3211">
          <cell r="A3211" t="str">
            <v>51939-1246LF</v>
          </cell>
          <cell r="B3211"/>
          <cell r="C3211"/>
          <cell r="D3211"/>
          <cell r="E3211"/>
          <cell r="F3211"/>
          <cell r="G3211">
            <v>4.3999999999999997E-2</v>
          </cell>
          <cell r="H3211"/>
          <cell r="I3211"/>
          <cell r="J3211"/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>
            <v>1.2999999999999999E-2</v>
          </cell>
        </row>
        <row r="3212">
          <cell r="A3212" t="str">
            <v>51939-1247LF</v>
          </cell>
          <cell r="B3212"/>
          <cell r="C3212"/>
          <cell r="D3212"/>
          <cell r="E3212"/>
          <cell r="F3212"/>
          <cell r="G3212">
            <v>4.4999999999999998E-2</v>
          </cell>
          <cell r="H3212"/>
          <cell r="I3212"/>
          <cell r="J3212"/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>
            <v>1.2E-2</v>
          </cell>
        </row>
        <row r="3213">
          <cell r="A3213" t="str">
            <v>51939-1248LF</v>
          </cell>
          <cell r="B3213"/>
          <cell r="C3213"/>
          <cell r="D3213"/>
          <cell r="E3213"/>
          <cell r="F3213"/>
          <cell r="G3213">
            <v>4.2000000000000003E-2</v>
          </cell>
          <cell r="H3213"/>
          <cell r="I3213"/>
          <cell r="J3213"/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>
            <v>0.01</v>
          </cell>
        </row>
        <row r="3214">
          <cell r="A3214" t="str">
            <v>51939-1250LF</v>
          </cell>
          <cell r="B3214"/>
          <cell r="C3214"/>
          <cell r="D3214"/>
          <cell r="E3214"/>
          <cell r="F3214"/>
          <cell r="G3214">
            <v>2.5000000000000001E-2</v>
          </cell>
          <cell r="H3214"/>
          <cell r="I3214"/>
          <cell r="J3214"/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>
            <v>6.1000000000000004E-3</v>
          </cell>
        </row>
        <row r="3215">
          <cell r="A3215" t="str">
            <v>51939-1251LF</v>
          </cell>
          <cell r="B3215"/>
          <cell r="C3215"/>
          <cell r="D3215"/>
          <cell r="E3215"/>
          <cell r="F3215"/>
          <cell r="G3215">
            <v>2.8000000000000001E-2</v>
          </cell>
          <cell r="H3215"/>
          <cell r="I3215"/>
          <cell r="J3215"/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>
            <v>3.3E-3</v>
          </cell>
        </row>
        <row r="3216">
          <cell r="A3216" t="str">
            <v>51939-1252LF</v>
          </cell>
          <cell r="B3216"/>
          <cell r="C3216"/>
          <cell r="D3216"/>
          <cell r="E3216"/>
          <cell r="F3216"/>
          <cell r="G3216">
            <v>3.5000000000000003E-2</v>
          </cell>
          <cell r="H3216"/>
          <cell r="I3216"/>
          <cell r="J3216"/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>
            <v>4.4000000000000003E-3</v>
          </cell>
        </row>
        <row r="3217">
          <cell r="A3217" t="str">
            <v>51939-1253LF</v>
          </cell>
          <cell r="B3217"/>
          <cell r="C3217"/>
          <cell r="D3217"/>
          <cell r="E3217"/>
          <cell r="F3217"/>
          <cell r="G3217">
            <v>2.1000000000000001E-2</v>
          </cell>
          <cell r="H3217"/>
          <cell r="I3217"/>
          <cell r="J3217"/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>
            <v>3.3E-3</v>
          </cell>
        </row>
        <row r="3218">
          <cell r="A3218" t="str">
            <v>51939-1256LHLF</v>
          </cell>
          <cell r="B3218"/>
          <cell r="C3218"/>
          <cell r="D3218"/>
          <cell r="E3218"/>
          <cell r="F3218"/>
          <cell r="G3218">
            <v>3.5000000000000003E-2</v>
          </cell>
          <cell r="H3218"/>
          <cell r="I3218"/>
          <cell r="J3218"/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>
            <v>3.0000000000000001E-3</v>
          </cell>
        </row>
        <row r="3219">
          <cell r="A3219" t="str">
            <v>51939-1257LF</v>
          </cell>
          <cell r="B3219"/>
          <cell r="C3219"/>
          <cell r="D3219"/>
          <cell r="E3219"/>
          <cell r="F3219"/>
          <cell r="G3219">
            <v>2.9000000000000001E-2</v>
          </cell>
          <cell r="H3219"/>
          <cell r="I3219"/>
          <cell r="J3219"/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>
            <v>6.0000000000000001E-3</v>
          </cell>
        </row>
        <row r="3220">
          <cell r="A3220" t="str">
            <v>51939-1258LF</v>
          </cell>
          <cell r="B3220"/>
          <cell r="C3220"/>
          <cell r="D3220"/>
          <cell r="E3220"/>
          <cell r="F3220"/>
          <cell r="G3220">
            <v>3.5000000000000003E-2</v>
          </cell>
          <cell r="H3220"/>
          <cell r="I3220"/>
          <cell r="J3220"/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>
            <v>6.0000000000000001E-3</v>
          </cell>
        </row>
        <row r="3221">
          <cell r="A3221" t="str">
            <v>51939-1259LF</v>
          </cell>
          <cell r="B3221"/>
          <cell r="C3221"/>
          <cell r="D3221"/>
          <cell r="E3221"/>
          <cell r="F3221"/>
          <cell r="G3221">
            <v>2.7E-2</v>
          </cell>
          <cell r="H3221"/>
          <cell r="I3221"/>
          <cell r="J3221"/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>
            <v>3.0000000000000001E-3</v>
          </cell>
        </row>
        <row r="3222">
          <cell r="A3222" t="str">
            <v>51939-125LF</v>
          </cell>
          <cell r="B3222"/>
          <cell r="C3222"/>
          <cell r="D3222"/>
          <cell r="E3222"/>
          <cell r="F3222"/>
          <cell r="G3222">
            <v>1.7600000000000001E-2</v>
          </cell>
          <cell r="H3222"/>
          <cell r="I3222"/>
          <cell r="J3222"/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>
            <v>6.1000000000000004E-3</v>
          </cell>
        </row>
        <row r="3223">
          <cell r="A3223" t="str">
            <v>51939-1260LF</v>
          </cell>
          <cell r="B3223"/>
          <cell r="C3223"/>
          <cell r="D3223"/>
          <cell r="E3223"/>
          <cell r="F3223"/>
          <cell r="G3223">
            <v>2.1999999999999999E-2</v>
          </cell>
          <cell r="H3223"/>
          <cell r="I3223"/>
          <cell r="J3223"/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>
            <v>2E-3</v>
          </cell>
        </row>
        <row r="3224">
          <cell r="A3224" t="str">
            <v>51939-1261LF</v>
          </cell>
          <cell r="B3224"/>
          <cell r="C3224"/>
          <cell r="D3224"/>
          <cell r="E3224"/>
          <cell r="F3224"/>
          <cell r="G3224">
            <v>3.4000000000000002E-2</v>
          </cell>
          <cell r="H3224"/>
          <cell r="I3224"/>
          <cell r="J3224"/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>
            <v>8.9999999999999993E-3</v>
          </cell>
        </row>
        <row r="3225">
          <cell r="A3225" t="str">
            <v>51939-1263FLF</v>
          </cell>
          <cell r="B3225"/>
          <cell r="C3225"/>
          <cell r="D3225"/>
          <cell r="E3225"/>
          <cell r="F3225"/>
          <cell r="G3225">
            <v>3.2000000000000001E-2</v>
          </cell>
          <cell r="H3225"/>
          <cell r="I3225"/>
          <cell r="J3225"/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>
            <v>7.0000000000000001E-3</v>
          </cell>
        </row>
        <row r="3226">
          <cell r="A3226" t="str">
            <v>51939-1264LF</v>
          </cell>
          <cell r="B3226"/>
          <cell r="C3226"/>
          <cell r="D3226"/>
          <cell r="E3226"/>
          <cell r="F3226"/>
          <cell r="G3226">
            <v>3.1E-2</v>
          </cell>
          <cell r="H3226"/>
          <cell r="I3226"/>
          <cell r="J3226"/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>
            <v>8.0000000000000002E-3</v>
          </cell>
        </row>
        <row r="3227">
          <cell r="A3227" t="str">
            <v>51939-1265LF</v>
          </cell>
          <cell r="B3227"/>
          <cell r="C3227"/>
          <cell r="D3227"/>
          <cell r="E3227"/>
          <cell r="F3227"/>
          <cell r="G3227">
            <v>3.3000000000000002E-2</v>
          </cell>
          <cell r="H3227"/>
          <cell r="I3227"/>
          <cell r="J3227"/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>
            <v>0.01</v>
          </cell>
        </row>
        <row r="3228">
          <cell r="A3228" t="str">
            <v>51939-1268FLF</v>
          </cell>
          <cell r="B3228"/>
          <cell r="C3228"/>
          <cell r="D3228"/>
          <cell r="E3228"/>
          <cell r="F3228"/>
          <cell r="G3228">
            <v>2.3E-2</v>
          </cell>
          <cell r="H3228"/>
          <cell r="I3228"/>
          <cell r="J3228"/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>
            <v>3.0000000000000001E-3</v>
          </cell>
        </row>
        <row r="3229">
          <cell r="A3229" t="str">
            <v>51939-1269FLF</v>
          </cell>
          <cell r="B3229"/>
          <cell r="C3229"/>
          <cell r="D3229"/>
          <cell r="E3229"/>
          <cell r="F3229"/>
          <cell r="G3229">
            <v>2.0162800000000002E-2</v>
          </cell>
          <cell r="H3229"/>
          <cell r="I3229"/>
          <cell r="J3229"/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>
            <v>2.1603E-3</v>
          </cell>
        </row>
        <row r="3230">
          <cell r="A3230" t="str">
            <v>51939-126LF</v>
          </cell>
          <cell r="B3230"/>
          <cell r="C3230"/>
          <cell r="D3230"/>
          <cell r="E3230"/>
          <cell r="F3230"/>
          <cell r="G3230">
            <v>1.4E-2</v>
          </cell>
          <cell r="H3230"/>
          <cell r="I3230"/>
          <cell r="J3230"/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>
            <v>6.1000000000000004E-3</v>
          </cell>
        </row>
        <row r="3231">
          <cell r="A3231" t="str">
            <v>51939-1270LF</v>
          </cell>
          <cell r="B3231"/>
          <cell r="C3231"/>
          <cell r="D3231"/>
          <cell r="E3231"/>
          <cell r="F3231"/>
          <cell r="G3231">
            <v>2.1000000000000001E-2</v>
          </cell>
          <cell r="H3231"/>
          <cell r="I3231"/>
          <cell r="J3231"/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>
            <v>3.0000000000000001E-3</v>
          </cell>
        </row>
        <row r="3232">
          <cell r="A3232" t="str">
            <v>51939-1272FLF</v>
          </cell>
          <cell r="B3232"/>
          <cell r="C3232"/>
          <cell r="D3232"/>
          <cell r="E3232"/>
          <cell r="F3232"/>
          <cell r="G3232">
            <v>2.7E-2</v>
          </cell>
          <cell r="H3232"/>
          <cell r="I3232"/>
          <cell r="J3232"/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>
            <v>3.0000000000000001E-3</v>
          </cell>
        </row>
        <row r="3233">
          <cell r="A3233" t="str">
            <v>51939-1276FLF</v>
          </cell>
          <cell r="B3233"/>
          <cell r="C3233"/>
          <cell r="D3233"/>
          <cell r="E3233"/>
          <cell r="F3233"/>
          <cell r="G3233">
            <v>2.8000000000000001E-2</v>
          </cell>
          <cell r="H3233"/>
          <cell r="I3233"/>
          <cell r="J3233"/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>
            <v>3.0000000000000001E-3</v>
          </cell>
        </row>
        <row r="3234">
          <cell r="A3234" t="str">
            <v>51939-1277FLF</v>
          </cell>
          <cell r="B3234"/>
          <cell r="C3234"/>
          <cell r="D3234"/>
          <cell r="E3234"/>
          <cell r="F3234"/>
          <cell r="G3234">
            <v>2.5000000000000001E-2</v>
          </cell>
          <cell r="H3234"/>
          <cell r="I3234"/>
          <cell r="J3234"/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>
            <v>3.0000000000000001E-3</v>
          </cell>
        </row>
        <row r="3235">
          <cell r="A3235" t="str">
            <v>51939-1278FLF</v>
          </cell>
          <cell r="B3235"/>
          <cell r="C3235"/>
          <cell r="D3235"/>
          <cell r="E3235"/>
          <cell r="F3235"/>
          <cell r="G3235">
            <v>2.7E-2</v>
          </cell>
          <cell r="H3235"/>
          <cell r="I3235"/>
          <cell r="J3235"/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>
            <v>3.0000000000000001E-3</v>
          </cell>
        </row>
        <row r="3236">
          <cell r="A3236" t="str">
            <v>51939-1279LF</v>
          </cell>
          <cell r="B3236"/>
          <cell r="C3236"/>
          <cell r="D3236"/>
          <cell r="E3236"/>
          <cell r="F3236"/>
          <cell r="G3236">
            <v>2.5999999999999999E-2</v>
          </cell>
          <cell r="H3236"/>
          <cell r="I3236"/>
          <cell r="J3236"/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>
            <v>3.3E-3</v>
          </cell>
        </row>
        <row r="3237">
          <cell r="A3237" t="str">
            <v>51939-1281FLF</v>
          </cell>
          <cell r="B3237"/>
          <cell r="C3237"/>
          <cell r="D3237"/>
          <cell r="E3237"/>
          <cell r="F3237"/>
          <cell r="G3237">
            <v>2.9000000000000001E-2</v>
          </cell>
          <cell r="H3237"/>
          <cell r="I3237"/>
          <cell r="J3237"/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>
            <v>3.0000000000000001E-3</v>
          </cell>
        </row>
        <row r="3238">
          <cell r="A3238" t="str">
            <v>51939-1283FLF</v>
          </cell>
          <cell r="B3238"/>
          <cell r="C3238"/>
          <cell r="D3238"/>
          <cell r="E3238"/>
          <cell r="F3238"/>
          <cell r="G3238">
            <v>2.1000000000000001E-2</v>
          </cell>
          <cell r="H3238"/>
          <cell r="I3238"/>
          <cell r="J3238"/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>
            <v>8.9999999999999993E-3</v>
          </cell>
        </row>
        <row r="3239">
          <cell r="A3239" t="str">
            <v>51939-1284LF</v>
          </cell>
          <cell r="B3239"/>
          <cell r="C3239"/>
          <cell r="D3239"/>
          <cell r="E3239"/>
          <cell r="F3239"/>
          <cell r="G3239">
            <v>5.1999999999999998E-2</v>
          </cell>
          <cell r="H3239"/>
          <cell r="I3239"/>
          <cell r="J3239"/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>
            <v>5.0000000000000001E-3</v>
          </cell>
        </row>
        <row r="3240">
          <cell r="A3240" t="str">
            <v>51939-1288FLF</v>
          </cell>
          <cell r="B3240"/>
          <cell r="C3240"/>
          <cell r="D3240"/>
          <cell r="E3240"/>
          <cell r="F3240"/>
          <cell r="G3240">
            <v>9.4999999999999998E-3</v>
          </cell>
          <cell r="H3240"/>
          <cell r="I3240"/>
          <cell r="J3240"/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>
            <v>2.2000000000000001E-3</v>
          </cell>
        </row>
        <row r="3241">
          <cell r="A3241" t="str">
            <v>51939-1293LF</v>
          </cell>
          <cell r="B3241"/>
          <cell r="C3241"/>
          <cell r="D3241"/>
          <cell r="E3241"/>
          <cell r="F3241"/>
          <cell r="G3241">
            <v>1.9E-2</v>
          </cell>
          <cell r="H3241"/>
          <cell r="I3241"/>
          <cell r="J3241"/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>
            <v>4.7000000000000002E-3</v>
          </cell>
        </row>
        <row r="3242">
          <cell r="A3242" t="str">
            <v>51939-1294LF</v>
          </cell>
          <cell r="B3242"/>
          <cell r="C3242"/>
          <cell r="D3242"/>
          <cell r="E3242"/>
          <cell r="F3242"/>
          <cell r="G3242">
            <v>2.4199999999999999E-2</v>
          </cell>
          <cell r="H3242"/>
          <cell r="I3242"/>
          <cell r="J3242"/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>
            <v>6.0000000000000001E-3</v>
          </cell>
        </row>
        <row r="3243">
          <cell r="A3243" t="str">
            <v>51939-1297FLF</v>
          </cell>
          <cell r="B3243"/>
          <cell r="C3243"/>
          <cell r="D3243"/>
          <cell r="E3243"/>
          <cell r="F3243"/>
          <cell r="G3243">
            <v>1.6299999999999999E-2</v>
          </cell>
          <cell r="H3243"/>
          <cell r="I3243"/>
          <cell r="J3243"/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>
            <v>6.1000000000000004E-3</v>
          </cell>
        </row>
        <row r="3244">
          <cell r="A3244" t="str">
            <v>51939-129LF</v>
          </cell>
          <cell r="B3244"/>
          <cell r="C3244"/>
          <cell r="D3244"/>
          <cell r="E3244"/>
          <cell r="F3244"/>
          <cell r="G3244">
            <v>1.9599999999999999E-2</v>
          </cell>
          <cell r="H3244"/>
          <cell r="I3244"/>
          <cell r="J3244"/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>
            <v>6.1000000000000004E-3</v>
          </cell>
        </row>
        <row r="3245">
          <cell r="A3245" t="str">
            <v>51939-1304FLF</v>
          </cell>
          <cell r="B3245"/>
          <cell r="C3245"/>
          <cell r="D3245"/>
          <cell r="E3245"/>
          <cell r="F3245"/>
          <cell r="G3245">
            <v>2.1499999999999998E-2</v>
          </cell>
          <cell r="H3245"/>
          <cell r="I3245"/>
          <cell r="J3245"/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>
            <v>2.3E-3</v>
          </cell>
        </row>
        <row r="3246">
          <cell r="A3246" t="str">
            <v>51939-1309FLF</v>
          </cell>
          <cell r="B3246"/>
          <cell r="C3246"/>
          <cell r="D3246"/>
          <cell r="E3246"/>
          <cell r="F3246"/>
          <cell r="G3246">
            <v>3.6200000000000003E-2</v>
          </cell>
          <cell r="H3246"/>
          <cell r="I3246"/>
          <cell r="J3246"/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>
            <v>2.3E-3</v>
          </cell>
        </row>
        <row r="3247">
          <cell r="A3247" t="str">
            <v>51939-130LF</v>
          </cell>
          <cell r="B3247"/>
          <cell r="C3247"/>
          <cell r="D3247"/>
          <cell r="E3247"/>
          <cell r="F3247"/>
          <cell r="G3247">
            <v>2.12E-2</v>
          </cell>
          <cell r="H3247"/>
          <cell r="I3247"/>
          <cell r="J3247"/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>
            <v>1.9E-3</v>
          </cell>
        </row>
        <row r="3248">
          <cell r="A3248" t="str">
            <v>51939-1310FLF</v>
          </cell>
          <cell r="B3248"/>
          <cell r="C3248"/>
          <cell r="D3248"/>
          <cell r="E3248"/>
          <cell r="F3248"/>
          <cell r="G3248">
            <v>2.9000000000000001E-2</v>
          </cell>
          <cell r="H3248"/>
          <cell r="I3248"/>
          <cell r="J3248"/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>
            <v>2E-3</v>
          </cell>
        </row>
        <row r="3249">
          <cell r="A3249" t="str">
            <v>51939-1311FLF</v>
          </cell>
          <cell r="B3249"/>
          <cell r="C3249"/>
          <cell r="D3249"/>
          <cell r="E3249"/>
          <cell r="F3249"/>
          <cell r="G3249">
            <v>3.2000000000000001E-2</v>
          </cell>
          <cell r="H3249"/>
          <cell r="I3249"/>
          <cell r="J3249"/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>
            <v>2.3999999999999998E-3</v>
          </cell>
        </row>
        <row r="3250">
          <cell r="A3250" t="str">
            <v>51939-1312LF</v>
          </cell>
          <cell r="B3250"/>
          <cell r="C3250"/>
          <cell r="D3250"/>
          <cell r="E3250"/>
          <cell r="F3250"/>
          <cell r="G3250">
            <v>5.1999999999999998E-3</v>
          </cell>
          <cell r="H3250"/>
          <cell r="I3250"/>
          <cell r="J3250"/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>
            <v>1.5E-3</v>
          </cell>
        </row>
        <row r="3251">
          <cell r="A3251" t="str">
            <v>51939-1314FLF</v>
          </cell>
          <cell r="B3251"/>
          <cell r="C3251"/>
          <cell r="D3251"/>
          <cell r="E3251"/>
          <cell r="F3251"/>
          <cell r="G3251">
            <v>8.8999999999999999E-3</v>
          </cell>
          <cell r="H3251"/>
          <cell r="I3251"/>
          <cell r="J3251"/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>
            <v>5.4999999999999997E-3</v>
          </cell>
        </row>
        <row r="3252">
          <cell r="A3252" t="str">
            <v>51939-1316LF</v>
          </cell>
          <cell r="B3252"/>
          <cell r="C3252"/>
          <cell r="D3252"/>
          <cell r="E3252"/>
          <cell r="F3252"/>
          <cell r="G3252">
            <v>8.6E-3</v>
          </cell>
          <cell r="H3252"/>
          <cell r="I3252"/>
          <cell r="J3252"/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>
            <v>2.3E-3</v>
          </cell>
        </row>
        <row r="3253">
          <cell r="A3253" t="str">
            <v>51939-1318LF</v>
          </cell>
          <cell r="B3253"/>
          <cell r="C3253"/>
          <cell r="D3253"/>
          <cell r="E3253"/>
          <cell r="F3253"/>
          <cell r="G3253">
            <v>2.1999999999999999E-2</v>
          </cell>
          <cell r="H3253"/>
          <cell r="I3253"/>
          <cell r="J3253"/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>
            <v>5.0000000000000001E-3</v>
          </cell>
        </row>
        <row r="3254">
          <cell r="A3254" t="str">
            <v>51939-1319LF</v>
          </cell>
          <cell r="B3254"/>
          <cell r="C3254"/>
          <cell r="D3254"/>
          <cell r="E3254"/>
          <cell r="F3254"/>
          <cell r="G3254">
            <v>6.6667000000000002E-3</v>
          </cell>
          <cell r="H3254"/>
          <cell r="I3254"/>
          <cell r="J3254"/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>
            <v>3.3333E-3</v>
          </cell>
        </row>
        <row r="3255">
          <cell r="A3255" t="str">
            <v>51939-131LF</v>
          </cell>
          <cell r="B3255"/>
          <cell r="C3255"/>
          <cell r="D3255"/>
          <cell r="E3255"/>
          <cell r="F3255"/>
          <cell r="G3255">
            <v>2.7199999999999998E-2</v>
          </cell>
          <cell r="H3255"/>
          <cell r="I3255"/>
          <cell r="J3255"/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>
            <v>1.9E-3</v>
          </cell>
        </row>
        <row r="3256">
          <cell r="A3256" t="str">
            <v>51939-132LF</v>
          </cell>
          <cell r="B3256"/>
          <cell r="C3256"/>
          <cell r="D3256"/>
          <cell r="E3256"/>
          <cell r="F3256"/>
          <cell r="G3256">
            <v>3.3700000000000001E-2</v>
          </cell>
          <cell r="H3256"/>
          <cell r="I3256"/>
          <cell r="J3256"/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>
            <v>1.9E-3</v>
          </cell>
        </row>
        <row r="3257">
          <cell r="A3257" t="str">
            <v>51939-134LF</v>
          </cell>
          <cell r="B3257"/>
          <cell r="C3257"/>
          <cell r="D3257"/>
          <cell r="E3257"/>
          <cell r="F3257"/>
          <cell r="G3257">
            <v>2.9000000000000001E-2</v>
          </cell>
          <cell r="H3257"/>
          <cell r="I3257"/>
          <cell r="J3257"/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>
            <v>1.9E-3</v>
          </cell>
        </row>
        <row r="3258">
          <cell r="A3258" t="str">
            <v>51939-135LF</v>
          </cell>
          <cell r="B3258"/>
          <cell r="C3258"/>
          <cell r="D3258"/>
          <cell r="E3258"/>
          <cell r="F3258"/>
          <cell r="G3258">
            <v>2.5499999999999998E-2</v>
          </cell>
          <cell r="H3258"/>
          <cell r="I3258"/>
          <cell r="J3258"/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>
            <v>1.9E-3</v>
          </cell>
        </row>
        <row r="3259">
          <cell r="A3259" t="str">
            <v>51939-136LF</v>
          </cell>
          <cell r="B3259"/>
          <cell r="C3259"/>
          <cell r="D3259"/>
          <cell r="E3259"/>
          <cell r="F3259"/>
          <cell r="G3259">
            <v>2.41E-2</v>
          </cell>
          <cell r="H3259"/>
          <cell r="I3259"/>
          <cell r="J3259"/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>
            <v>1.9E-3</v>
          </cell>
        </row>
        <row r="3260">
          <cell r="A3260" t="str">
            <v>51939-137LF</v>
          </cell>
          <cell r="B3260"/>
          <cell r="C3260"/>
          <cell r="D3260"/>
          <cell r="E3260"/>
          <cell r="F3260"/>
          <cell r="G3260">
            <v>1.4668182E-2</v>
          </cell>
          <cell r="H3260"/>
          <cell r="I3260"/>
          <cell r="J3260"/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>
            <v>1.9E-3</v>
          </cell>
        </row>
        <row r="3261">
          <cell r="A3261" t="str">
            <v>51939-138LF</v>
          </cell>
          <cell r="B3261"/>
          <cell r="C3261"/>
          <cell r="D3261"/>
          <cell r="E3261"/>
          <cell r="F3261"/>
          <cell r="G3261">
            <v>3.7400000000000003E-2</v>
          </cell>
          <cell r="H3261"/>
          <cell r="I3261"/>
          <cell r="J3261"/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>
            <v>1.6000000000000001E-3</v>
          </cell>
        </row>
        <row r="3262">
          <cell r="A3262" t="str">
            <v>51939-139LF</v>
          </cell>
          <cell r="B3262"/>
          <cell r="C3262"/>
          <cell r="D3262"/>
          <cell r="E3262"/>
          <cell r="F3262"/>
          <cell r="G3262">
            <v>2.9000000000000001E-2</v>
          </cell>
          <cell r="H3262"/>
          <cell r="I3262"/>
          <cell r="J3262"/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>
            <v>1.9E-3</v>
          </cell>
        </row>
        <row r="3263">
          <cell r="A3263" t="str">
            <v>51939-140LF</v>
          </cell>
          <cell r="B3263"/>
          <cell r="C3263"/>
          <cell r="D3263"/>
          <cell r="E3263"/>
          <cell r="F3263"/>
          <cell r="G3263">
            <v>1.3223967E-2</v>
          </cell>
          <cell r="H3263"/>
          <cell r="I3263"/>
          <cell r="J3263"/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>
            <v>1.9E-3</v>
          </cell>
        </row>
        <row r="3264">
          <cell r="A3264" t="str">
            <v>51939-141LF</v>
          </cell>
          <cell r="B3264"/>
          <cell r="C3264"/>
          <cell r="D3264"/>
          <cell r="E3264"/>
          <cell r="F3264"/>
          <cell r="G3264">
            <v>1.6500000000000001E-2</v>
          </cell>
          <cell r="H3264"/>
          <cell r="I3264"/>
          <cell r="J3264"/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>
            <v>6.1000000000000004E-3</v>
          </cell>
        </row>
        <row r="3265">
          <cell r="A3265" t="str">
            <v>51939-144LF</v>
          </cell>
          <cell r="B3265"/>
          <cell r="C3265"/>
          <cell r="D3265"/>
          <cell r="E3265"/>
          <cell r="F3265"/>
          <cell r="G3265">
            <v>1.9599999999999999E-2</v>
          </cell>
          <cell r="H3265"/>
          <cell r="I3265"/>
          <cell r="J3265"/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>
            <v>6.1000000000000004E-3</v>
          </cell>
        </row>
        <row r="3266">
          <cell r="A3266" t="str">
            <v>51939-147LF</v>
          </cell>
          <cell r="B3266"/>
          <cell r="C3266"/>
          <cell r="D3266"/>
          <cell r="E3266"/>
          <cell r="F3266"/>
          <cell r="G3266">
            <v>3.1800000000000002E-2</v>
          </cell>
          <cell r="H3266"/>
          <cell r="I3266"/>
          <cell r="J3266"/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>
            <v>1.6000000000000001E-3</v>
          </cell>
        </row>
        <row r="3267">
          <cell r="A3267" t="str">
            <v>51939-148LF</v>
          </cell>
          <cell r="B3267"/>
          <cell r="C3267"/>
          <cell r="D3267"/>
          <cell r="E3267"/>
          <cell r="F3267"/>
          <cell r="G3267">
            <v>2.29E-2</v>
          </cell>
          <cell r="H3267"/>
          <cell r="I3267"/>
          <cell r="J3267"/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>
            <v>1.6000000000000001E-3</v>
          </cell>
        </row>
        <row r="3268">
          <cell r="A3268" t="str">
            <v>51939-149LF</v>
          </cell>
          <cell r="B3268"/>
          <cell r="C3268"/>
          <cell r="D3268"/>
          <cell r="E3268"/>
          <cell r="F3268"/>
          <cell r="G3268">
            <v>3.3700000000000001E-2</v>
          </cell>
          <cell r="H3268"/>
          <cell r="I3268"/>
          <cell r="J3268"/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>
            <v>1.6000000000000001E-3</v>
          </cell>
        </row>
        <row r="3269">
          <cell r="A3269" t="str">
            <v>51939-152LF</v>
          </cell>
          <cell r="B3269"/>
          <cell r="C3269"/>
          <cell r="D3269"/>
          <cell r="E3269"/>
          <cell r="F3269"/>
          <cell r="G3269">
            <v>3.6499999999999998E-2</v>
          </cell>
          <cell r="H3269"/>
          <cell r="I3269"/>
          <cell r="J3269"/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>
            <v>2E-3</v>
          </cell>
        </row>
        <row r="3270">
          <cell r="A3270" t="str">
            <v>51939-153LF</v>
          </cell>
          <cell r="B3270"/>
          <cell r="C3270"/>
          <cell r="D3270"/>
          <cell r="E3270"/>
          <cell r="F3270"/>
          <cell r="G3270">
            <v>2.9000000000000001E-2</v>
          </cell>
          <cell r="H3270"/>
          <cell r="I3270"/>
          <cell r="J3270"/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>
            <v>1.9E-3</v>
          </cell>
        </row>
        <row r="3271">
          <cell r="A3271" t="str">
            <v>51939-154LF</v>
          </cell>
          <cell r="B3271"/>
          <cell r="C3271"/>
          <cell r="D3271"/>
          <cell r="E3271"/>
          <cell r="F3271"/>
          <cell r="G3271">
            <v>2.24E-2</v>
          </cell>
          <cell r="H3271"/>
          <cell r="I3271"/>
          <cell r="J3271"/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>
            <v>1.6000000000000001E-3</v>
          </cell>
        </row>
        <row r="3272">
          <cell r="A3272" t="str">
            <v>51939-156LF</v>
          </cell>
          <cell r="B3272"/>
          <cell r="C3272"/>
          <cell r="D3272"/>
          <cell r="E3272"/>
          <cell r="F3272"/>
          <cell r="G3272">
            <v>2.9000000000000001E-2</v>
          </cell>
          <cell r="H3272"/>
          <cell r="I3272"/>
          <cell r="J3272"/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>
            <v>1.6000000000000001E-3</v>
          </cell>
        </row>
        <row r="3273">
          <cell r="A3273" t="str">
            <v>51939-157LF</v>
          </cell>
          <cell r="B3273"/>
          <cell r="C3273"/>
          <cell r="D3273"/>
          <cell r="E3273"/>
          <cell r="F3273"/>
          <cell r="G3273">
            <v>2.9000000000000001E-2</v>
          </cell>
          <cell r="H3273"/>
          <cell r="I3273"/>
          <cell r="J3273"/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>
            <v>1.6000000000000001E-3</v>
          </cell>
        </row>
        <row r="3274">
          <cell r="A3274" t="str">
            <v>51939-158LF</v>
          </cell>
          <cell r="B3274"/>
          <cell r="C3274"/>
          <cell r="D3274"/>
          <cell r="E3274"/>
          <cell r="F3274"/>
          <cell r="G3274">
            <v>3.1099999999999999E-2</v>
          </cell>
          <cell r="H3274"/>
          <cell r="I3274"/>
          <cell r="J3274"/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>
            <v>2E-3</v>
          </cell>
        </row>
        <row r="3275">
          <cell r="A3275" t="str">
            <v>51939-159LF</v>
          </cell>
          <cell r="B3275"/>
          <cell r="C3275"/>
          <cell r="D3275"/>
          <cell r="E3275"/>
          <cell r="F3275"/>
          <cell r="G3275">
            <v>1.9E-2</v>
          </cell>
          <cell r="H3275"/>
          <cell r="I3275"/>
          <cell r="J3275"/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>
            <v>1.9E-3</v>
          </cell>
        </row>
        <row r="3276">
          <cell r="A3276" t="str">
            <v>51939-160LF</v>
          </cell>
          <cell r="B3276"/>
          <cell r="C3276"/>
          <cell r="D3276"/>
          <cell r="E3276"/>
          <cell r="F3276"/>
          <cell r="G3276">
            <v>4.1099999999999998E-2</v>
          </cell>
          <cell r="H3276"/>
          <cell r="I3276"/>
          <cell r="J3276"/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>
            <v>2E-3</v>
          </cell>
        </row>
        <row r="3277">
          <cell r="A3277" t="str">
            <v>51939-161LF</v>
          </cell>
          <cell r="B3277"/>
          <cell r="C3277"/>
          <cell r="D3277"/>
          <cell r="E3277"/>
          <cell r="F3277"/>
          <cell r="G3277">
            <v>2.9000000000000001E-2</v>
          </cell>
          <cell r="H3277"/>
          <cell r="I3277"/>
          <cell r="J3277"/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>
            <v>1.6000000000000001E-3</v>
          </cell>
        </row>
        <row r="3278">
          <cell r="A3278" t="str">
            <v>51939-163LF</v>
          </cell>
          <cell r="B3278"/>
          <cell r="C3278"/>
          <cell r="D3278"/>
          <cell r="E3278"/>
          <cell r="F3278"/>
          <cell r="G3278">
            <v>7.1000000000000004E-3</v>
          </cell>
          <cell r="H3278"/>
          <cell r="I3278"/>
          <cell r="J3278"/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>
            <v>1.6000000000000001E-3</v>
          </cell>
        </row>
        <row r="3279">
          <cell r="A3279" t="str">
            <v>51939-166LF</v>
          </cell>
          <cell r="B3279"/>
          <cell r="C3279"/>
          <cell r="D3279"/>
          <cell r="E3279"/>
          <cell r="F3279"/>
          <cell r="G3279">
            <v>2.4299999999999999E-2</v>
          </cell>
          <cell r="H3279"/>
          <cell r="I3279"/>
          <cell r="J3279"/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>
            <v>1.6000000000000001E-3</v>
          </cell>
        </row>
        <row r="3280">
          <cell r="A3280" t="str">
            <v>51939-171LF</v>
          </cell>
          <cell r="B3280"/>
          <cell r="C3280"/>
          <cell r="D3280"/>
          <cell r="E3280"/>
          <cell r="F3280"/>
          <cell r="G3280">
            <v>2.4299999999999999E-2</v>
          </cell>
          <cell r="H3280"/>
          <cell r="I3280"/>
          <cell r="J3280"/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>
            <v>1.9E-3</v>
          </cell>
        </row>
        <row r="3281">
          <cell r="A3281" t="str">
            <v>51939-173LF</v>
          </cell>
          <cell r="B3281"/>
          <cell r="C3281"/>
          <cell r="D3281"/>
          <cell r="E3281"/>
          <cell r="F3281"/>
          <cell r="G3281">
            <v>1.7899999999999999E-2</v>
          </cell>
          <cell r="H3281"/>
          <cell r="I3281"/>
          <cell r="J3281"/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>
            <v>1.9E-3</v>
          </cell>
        </row>
        <row r="3282">
          <cell r="A3282" t="str">
            <v>51939-178LF</v>
          </cell>
          <cell r="B3282"/>
          <cell r="C3282"/>
          <cell r="D3282"/>
          <cell r="E3282"/>
          <cell r="F3282"/>
          <cell r="G3282">
            <v>3.3500000000000002E-2</v>
          </cell>
          <cell r="H3282"/>
          <cell r="I3282"/>
          <cell r="J3282"/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>
            <v>1.9E-3</v>
          </cell>
        </row>
        <row r="3283">
          <cell r="A3283" t="str">
            <v>51939-180LF</v>
          </cell>
          <cell r="B3283"/>
          <cell r="C3283"/>
          <cell r="D3283"/>
          <cell r="E3283"/>
          <cell r="F3283"/>
          <cell r="G3283">
            <v>3.1800000000000002E-2</v>
          </cell>
          <cell r="H3283"/>
          <cell r="I3283"/>
          <cell r="J3283"/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>
            <v>1.6000000000000001E-3</v>
          </cell>
        </row>
        <row r="3284">
          <cell r="A3284" t="str">
            <v>51939-181LF</v>
          </cell>
          <cell r="B3284"/>
          <cell r="C3284"/>
          <cell r="D3284"/>
          <cell r="E3284"/>
          <cell r="F3284"/>
          <cell r="G3284">
            <v>3.3700000000000001E-2</v>
          </cell>
          <cell r="H3284"/>
          <cell r="I3284"/>
          <cell r="J3284"/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>
            <v>1.6000000000000001E-3</v>
          </cell>
        </row>
        <row r="3285">
          <cell r="A3285" t="str">
            <v>51939-182LF</v>
          </cell>
          <cell r="B3285"/>
          <cell r="C3285"/>
          <cell r="D3285"/>
          <cell r="E3285"/>
          <cell r="F3285"/>
          <cell r="G3285">
            <v>2.18E-2</v>
          </cell>
          <cell r="H3285"/>
          <cell r="I3285"/>
          <cell r="J3285"/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>
            <v>1.9E-3</v>
          </cell>
        </row>
        <row r="3286">
          <cell r="A3286" t="str">
            <v>51939-183LF</v>
          </cell>
          <cell r="B3286"/>
          <cell r="C3286"/>
          <cell r="D3286"/>
          <cell r="E3286"/>
          <cell r="F3286"/>
          <cell r="G3286">
            <v>1.4364E-2</v>
          </cell>
          <cell r="H3286"/>
          <cell r="I3286"/>
          <cell r="J3286"/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>
            <v>1.9E-3</v>
          </cell>
        </row>
        <row r="3287">
          <cell r="A3287" t="str">
            <v>51939-184LF</v>
          </cell>
          <cell r="B3287"/>
          <cell r="C3287"/>
          <cell r="D3287"/>
          <cell r="E3287"/>
          <cell r="F3287"/>
          <cell r="G3287">
            <v>2.1399999999999999E-2</v>
          </cell>
          <cell r="H3287"/>
          <cell r="I3287"/>
          <cell r="J3287"/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>
            <v>1.9E-3</v>
          </cell>
        </row>
        <row r="3288">
          <cell r="A3288" t="str">
            <v>51939-185LF</v>
          </cell>
          <cell r="B3288"/>
          <cell r="C3288"/>
          <cell r="D3288"/>
          <cell r="E3288"/>
          <cell r="F3288"/>
          <cell r="G3288">
            <v>2.4299999999999999E-2</v>
          </cell>
          <cell r="H3288"/>
          <cell r="I3288"/>
          <cell r="J3288"/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>
            <v>1.6000000000000001E-3</v>
          </cell>
        </row>
        <row r="3289">
          <cell r="A3289" t="str">
            <v>51939-186AuLF</v>
          </cell>
          <cell r="B3289"/>
          <cell r="C3289"/>
          <cell r="D3289"/>
          <cell r="E3289"/>
          <cell r="F3289"/>
          <cell r="G3289">
            <v>2.9000000000000001E-2</v>
          </cell>
          <cell r="H3289"/>
          <cell r="I3289"/>
          <cell r="J3289"/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>
            <v>1.6000000000000001E-3</v>
          </cell>
        </row>
        <row r="3290">
          <cell r="A3290" t="str">
            <v>51939-186LF</v>
          </cell>
          <cell r="B3290"/>
          <cell r="C3290"/>
          <cell r="D3290"/>
          <cell r="E3290"/>
          <cell r="F3290"/>
          <cell r="G3290">
            <v>1.2149999999999999E-2</v>
          </cell>
          <cell r="H3290"/>
          <cell r="I3290"/>
          <cell r="J3290"/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>
            <v>1.6000000000000001E-3</v>
          </cell>
        </row>
        <row r="3291">
          <cell r="A3291" t="str">
            <v>51939-189LF</v>
          </cell>
          <cell r="B3291"/>
          <cell r="C3291"/>
          <cell r="D3291"/>
          <cell r="E3291"/>
          <cell r="F3291"/>
          <cell r="G3291">
            <v>2.6200000000000001E-2</v>
          </cell>
          <cell r="H3291"/>
          <cell r="I3291"/>
          <cell r="J3291"/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>
            <v>1.6000000000000001E-3</v>
          </cell>
        </row>
        <row r="3292">
          <cell r="A3292" t="str">
            <v>51939-190LF</v>
          </cell>
          <cell r="B3292"/>
          <cell r="C3292"/>
          <cell r="D3292"/>
          <cell r="E3292"/>
          <cell r="F3292"/>
          <cell r="G3292">
            <v>3.3700000000000001E-2</v>
          </cell>
          <cell r="H3292"/>
          <cell r="I3292"/>
          <cell r="J3292"/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>
            <v>1.6000000000000001E-3</v>
          </cell>
        </row>
        <row r="3293">
          <cell r="A3293" t="str">
            <v>51939-192LF</v>
          </cell>
          <cell r="B3293"/>
          <cell r="C3293"/>
          <cell r="D3293"/>
          <cell r="E3293"/>
          <cell r="F3293"/>
          <cell r="G3293">
            <v>2.6200000000000001E-2</v>
          </cell>
          <cell r="H3293"/>
          <cell r="I3293"/>
          <cell r="J3293"/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>
            <v>1.6000000000000001E-3</v>
          </cell>
        </row>
        <row r="3294">
          <cell r="A3294" t="str">
            <v>51939-193LF</v>
          </cell>
          <cell r="B3294"/>
          <cell r="C3294"/>
          <cell r="D3294"/>
          <cell r="E3294"/>
          <cell r="F3294"/>
          <cell r="G3294">
            <v>2.7099999999999999E-2</v>
          </cell>
          <cell r="H3294"/>
          <cell r="I3294"/>
          <cell r="J3294"/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>
            <v>1.6000000000000001E-3</v>
          </cell>
        </row>
        <row r="3295">
          <cell r="A3295" t="str">
            <v>51939-196LF</v>
          </cell>
          <cell r="B3295"/>
          <cell r="C3295"/>
          <cell r="D3295"/>
          <cell r="E3295"/>
          <cell r="F3295"/>
          <cell r="G3295">
            <v>1.67E-2</v>
          </cell>
          <cell r="H3295"/>
          <cell r="I3295"/>
          <cell r="J3295"/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>
            <v>6.1000000000000004E-3</v>
          </cell>
        </row>
        <row r="3296">
          <cell r="A3296" t="str">
            <v>51939-197LF</v>
          </cell>
          <cell r="B3296"/>
          <cell r="C3296"/>
          <cell r="D3296"/>
          <cell r="E3296"/>
          <cell r="F3296"/>
          <cell r="G3296">
            <v>3.9300000000000002E-2</v>
          </cell>
          <cell r="H3296"/>
          <cell r="I3296"/>
          <cell r="J3296"/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>
            <v>2E-3</v>
          </cell>
        </row>
        <row r="3297">
          <cell r="A3297" t="str">
            <v>51939-198CGDHDLF</v>
          </cell>
          <cell r="B3297"/>
          <cell r="C3297"/>
          <cell r="D3297"/>
          <cell r="E3297"/>
          <cell r="F3297"/>
          <cell r="G3297">
            <v>1.7000000000000001E-2</v>
          </cell>
          <cell r="H3297"/>
          <cell r="I3297"/>
          <cell r="J3297"/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>
            <v>6.1000000000000004E-3</v>
          </cell>
        </row>
        <row r="3298">
          <cell r="A3298" t="str">
            <v>51939-198CGHTLF</v>
          </cell>
          <cell r="B3298"/>
          <cell r="C3298"/>
          <cell r="D3298"/>
          <cell r="E3298"/>
          <cell r="F3298"/>
          <cell r="G3298">
            <v>1.3593681E-2</v>
          </cell>
          <cell r="H3298"/>
          <cell r="I3298"/>
          <cell r="J3298"/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</row>
        <row r="3299">
          <cell r="A3299" t="str">
            <v>51939-198LF</v>
          </cell>
          <cell r="B3299"/>
          <cell r="C3299"/>
          <cell r="D3299"/>
          <cell r="E3299"/>
          <cell r="F3299"/>
          <cell r="G3299">
            <v>1.4239999999999999E-2</v>
          </cell>
          <cell r="H3299"/>
          <cell r="I3299"/>
          <cell r="J3299"/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>
            <v>6.1000000000000004E-3</v>
          </cell>
        </row>
        <row r="3300">
          <cell r="A3300" t="str">
            <v>51939-198TLF</v>
          </cell>
          <cell r="B3300"/>
          <cell r="C3300"/>
          <cell r="D3300"/>
          <cell r="E3300"/>
          <cell r="F3300"/>
          <cell r="G3300">
            <v>1.0699999999999999E-2</v>
          </cell>
          <cell r="H3300"/>
          <cell r="I3300"/>
          <cell r="J3300"/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>
            <v>6.1000000000000004E-3</v>
          </cell>
        </row>
        <row r="3301">
          <cell r="A3301" t="str">
            <v>51939-199LF</v>
          </cell>
          <cell r="B3301"/>
          <cell r="C3301"/>
          <cell r="D3301"/>
          <cell r="E3301"/>
          <cell r="F3301"/>
          <cell r="G3301">
            <v>3.4599999999999999E-2</v>
          </cell>
          <cell r="H3301"/>
          <cell r="I3301"/>
          <cell r="J3301"/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>
            <v>1.9E-3</v>
          </cell>
        </row>
        <row r="3302">
          <cell r="A3302" t="str">
            <v>51939-201LF</v>
          </cell>
          <cell r="B3302"/>
          <cell r="C3302"/>
          <cell r="D3302"/>
          <cell r="E3302"/>
          <cell r="F3302"/>
          <cell r="G3302">
            <v>2.1999999999999999E-2</v>
          </cell>
          <cell r="H3302"/>
          <cell r="I3302"/>
          <cell r="J3302"/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>
            <v>1.9E-3</v>
          </cell>
        </row>
        <row r="3303">
          <cell r="A3303" t="str">
            <v>51939-207LF</v>
          </cell>
          <cell r="B3303"/>
          <cell r="C3303"/>
          <cell r="D3303"/>
          <cell r="E3303"/>
          <cell r="F3303"/>
          <cell r="G3303">
            <v>4.6300000000000001E-2</v>
          </cell>
          <cell r="H3303"/>
          <cell r="I3303"/>
          <cell r="J3303"/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>
            <v>3.7000000000000002E-3</v>
          </cell>
        </row>
        <row r="3304">
          <cell r="A3304" t="str">
            <v>51939-209LF</v>
          </cell>
          <cell r="B3304"/>
          <cell r="C3304"/>
          <cell r="D3304"/>
          <cell r="E3304"/>
          <cell r="F3304"/>
          <cell r="G3304">
            <v>2.06E-2</v>
          </cell>
          <cell r="H3304"/>
          <cell r="I3304"/>
          <cell r="J3304"/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>
            <v>8.6999999999999994E-3</v>
          </cell>
        </row>
        <row r="3305">
          <cell r="A3305" t="str">
            <v>51939-210LF</v>
          </cell>
          <cell r="B3305"/>
          <cell r="C3305"/>
          <cell r="D3305"/>
          <cell r="E3305"/>
          <cell r="F3305"/>
          <cell r="G3305">
            <v>3.6499999999999998E-2</v>
          </cell>
          <cell r="H3305"/>
          <cell r="I3305"/>
          <cell r="J3305"/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>
            <v>2E-3</v>
          </cell>
        </row>
        <row r="3306">
          <cell r="A3306" t="str">
            <v>51939-211LF</v>
          </cell>
          <cell r="B3306"/>
          <cell r="C3306"/>
          <cell r="D3306"/>
          <cell r="E3306"/>
          <cell r="F3306"/>
          <cell r="G3306">
            <v>4.4901699999999999E-3</v>
          </cell>
          <cell r="H3306"/>
          <cell r="I3306"/>
          <cell r="J3306"/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>
            <v>1.318313E-3</v>
          </cell>
        </row>
        <row r="3307">
          <cell r="A3307" t="str">
            <v>51939-213LF</v>
          </cell>
          <cell r="B3307"/>
          <cell r="C3307"/>
          <cell r="D3307"/>
          <cell r="E3307"/>
          <cell r="F3307"/>
          <cell r="G3307">
            <v>5.7000000000000002E-2</v>
          </cell>
          <cell r="H3307"/>
          <cell r="I3307"/>
          <cell r="J3307"/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>
            <v>3.7000000000000002E-3</v>
          </cell>
        </row>
        <row r="3308">
          <cell r="A3308" t="str">
            <v>51939-214LF</v>
          </cell>
          <cell r="B3308"/>
          <cell r="C3308"/>
          <cell r="D3308"/>
          <cell r="E3308"/>
          <cell r="F3308"/>
          <cell r="G3308">
            <v>2.06E-2</v>
          </cell>
          <cell r="H3308"/>
          <cell r="I3308"/>
          <cell r="J3308"/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>
            <v>2E-3</v>
          </cell>
        </row>
        <row r="3309">
          <cell r="A3309" t="str">
            <v>51939-215LF</v>
          </cell>
          <cell r="B3309"/>
          <cell r="C3309"/>
          <cell r="D3309"/>
          <cell r="E3309"/>
          <cell r="F3309"/>
          <cell r="G3309">
            <v>3.3700000000000001E-2</v>
          </cell>
          <cell r="H3309"/>
          <cell r="I3309"/>
          <cell r="J3309"/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>
            <v>1.6000000000000001E-3</v>
          </cell>
        </row>
        <row r="3310">
          <cell r="A3310" t="str">
            <v>51939-218LF</v>
          </cell>
          <cell r="B3310"/>
          <cell r="C3310"/>
          <cell r="D3310"/>
          <cell r="E3310"/>
          <cell r="F3310"/>
          <cell r="G3310">
            <v>5.3600000000000002E-2</v>
          </cell>
          <cell r="H3310"/>
          <cell r="I3310"/>
          <cell r="J3310"/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>
            <v>3.7000000000000002E-3</v>
          </cell>
        </row>
        <row r="3311">
          <cell r="A3311" t="str">
            <v>51939-219LF</v>
          </cell>
          <cell r="B3311"/>
          <cell r="C3311"/>
          <cell r="D3311"/>
          <cell r="E3311"/>
          <cell r="F3311"/>
          <cell r="G3311">
            <v>1.090404E-2</v>
          </cell>
          <cell r="H3311"/>
          <cell r="I3311"/>
          <cell r="J3311"/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</row>
        <row r="3312">
          <cell r="A3312" t="str">
            <v>51939-223LF</v>
          </cell>
          <cell r="B3312"/>
          <cell r="C3312"/>
          <cell r="D3312"/>
          <cell r="E3312"/>
          <cell r="F3312"/>
          <cell r="G3312">
            <v>5.4199999999999998E-2</v>
          </cell>
          <cell r="H3312"/>
          <cell r="I3312"/>
          <cell r="J3312"/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>
            <v>3.3E-3</v>
          </cell>
        </row>
        <row r="3313">
          <cell r="A3313" t="str">
            <v>51939-224LF</v>
          </cell>
          <cell r="B3313"/>
          <cell r="C3313"/>
          <cell r="D3313"/>
          <cell r="E3313"/>
          <cell r="F3313"/>
          <cell r="G3313">
            <v>5.8900000000000001E-2</v>
          </cell>
          <cell r="H3313"/>
          <cell r="I3313"/>
          <cell r="J3313"/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>
            <v>3.3E-3</v>
          </cell>
        </row>
        <row r="3314">
          <cell r="A3314" t="str">
            <v>51939-225LF</v>
          </cell>
          <cell r="B3314"/>
          <cell r="C3314"/>
          <cell r="D3314"/>
          <cell r="E3314"/>
          <cell r="F3314"/>
          <cell r="G3314">
            <v>1.9400000000000001E-2</v>
          </cell>
          <cell r="H3314"/>
          <cell r="I3314"/>
          <cell r="J3314"/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>
            <v>6.1000000000000004E-3</v>
          </cell>
        </row>
        <row r="3315">
          <cell r="A3315" t="str">
            <v>51939-227LF</v>
          </cell>
          <cell r="B3315"/>
          <cell r="C3315"/>
          <cell r="D3315"/>
          <cell r="E3315"/>
          <cell r="F3315"/>
          <cell r="G3315">
            <v>4.3900000000000002E-2</v>
          </cell>
          <cell r="H3315"/>
          <cell r="I3315"/>
          <cell r="J3315"/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>
            <v>2E-3</v>
          </cell>
        </row>
        <row r="3316">
          <cell r="A3316" t="str">
            <v>51939-228LF</v>
          </cell>
          <cell r="B3316"/>
          <cell r="C3316"/>
          <cell r="D3316"/>
          <cell r="E3316"/>
          <cell r="F3316"/>
          <cell r="G3316">
            <v>3.3700000000000001E-2</v>
          </cell>
          <cell r="H3316"/>
          <cell r="I3316"/>
          <cell r="J3316"/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>
            <v>1.6000000000000001E-3</v>
          </cell>
        </row>
        <row r="3317">
          <cell r="A3317" t="str">
            <v>51939-230LF</v>
          </cell>
          <cell r="B3317"/>
          <cell r="C3317"/>
          <cell r="D3317"/>
          <cell r="E3317"/>
          <cell r="F3317"/>
          <cell r="G3317">
            <v>3.1800000000000002E-2</v>
          </cell>
          <cell r="H3317"/>
          <cell r="I3317"/>
          <cell r="J3317"/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>
            <v>1.9E-3</v>
          </cell>
        </row>
        <row r="3318">
          <cell r="A3318" t="str">
            <v>51939-232LF</v>
          </cell>
          <cell r="B3318"/>
          <cell r="C3318"/>
          <cell r="D3318"/>
          <cell r="E3318"/>
          <cell r="F3318"/>
          <cell r="G3318">
            <v>3.5499999999999997E-2</v>
          </cell>
          <cell r="H3318"/>
          <cell r="I3318"/>
          <cell r="J3318"/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>
            <v>1.9E-3</v>
          </cell>
        </row>
        <row r="3319">
          <cell r="A3319" t="str">
            <v>51939-233LF</v>
          </cell>
          <cell r="B3319"/>
          <cell r="C3319"/>
          <cell r="D3319"/>
          <cell r="E3319"/>
          <cell r="F3319"/>
          <cell r="G3319">
            <v>0.02</v>
          </cell>
          <cell r="H3319"/>
          <cell r="I3319"/>
          <cell r="J3319"/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>
            <v>1.9E-3</v>
          </cell>
        </row>
        <row r="3320">
          <cell r="A3320" t="str">
            <v>51939-234LF</v>
          </cell>
          <cell r="B3320"/>
          <cell r="C3320"/>
          <cell r="D3320"/>
          <cell r="E3320"/>
          <cell r="F3320"/>
          <cell r="G3320">
            <v>1.4097426E-2</v>
          </cell>
          <cell r="H3320"/>
          <cell r="I3320"/>
          <cell r="J3320"/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>
            <v>1.9E-3</v>
          </cell>
        </row>
        <row r="3321">
          <cell r="A3321" t="str">
            <v>51939-235LF</v>
          </cell>
          <cell r="B3321"/>
          <cell r="C3321"/>
          <cell r="D3321"/>
          <cell r="E3321"/>
          <cell r="F3321"/>
          <cell r="G3321">
            <v>2.7300000000000001E-2</v>
          </cell>
          <cell r="H3321"/>
          <cell r="I3321"/>
          <cell r="J3321"/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>
            <v>2.0999999999999999E-3</v>
          </cell>
        </row>
        <row r="3322">
          <cell r="A3322" t="str">
            <v>51939-238LF</v>
          </cell>
          <cell r="B3322"/>
          <cell r="C3322"/>
          <cell r="D3322"/>
          <cell r="E3322"/>
          <cell r="F3322"/>
          <cell r="G3322">
            <v>1.6199999999999999E-2</v>
          </cell>
          <cell r="H3322"/>
          <cell r="I3322"/>
          <cell r="J3322"/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>
            <v>6.1000000000000004E-3</v>
          </cell>
        </row>
        <row r="3323">
          <cell r="A3323" t="str">
            <v>51939-239LF</v>
          </cell>
          <cell r="B3323"/>
          <cell r="C3323"/>
          <cell r="D3323"/>
          <cell r="E3323"/>
          <cell r="F3323"/>
          <cell r="G3323">
            <v>3.9300000000000002E-2</v>
          </cell>
          <cell r="H3323"/>
          <cell r="I3323"/>
          <cell r="J3323"/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>
            <v>2E-3</v>
          </cell>
        </row>
        <row r="3324">
          <cell r="A3324" t="str">
            <v>51939-240LF</v>
          </cell>
          <cell r="B3324"/>
          <cell r="C3324"/>
          <cell r="D3324"/>
          <cell r="E3324"/>
          <cell r="F3324"/>
          <cell r="G3324">
            <v>3.6499999999999998E-2</v>
          </cell>
          <cell r="H3324"/>
          <cell r="I3324"/>
          <cell r="J3324"/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>
            <v>1.9E-3</v>
          </cell>
        </row>
        <row r="3325">
          <cell r="A3325" t="str">
            <v>51939-243LF</v>
          </cell>
          <cell r="B3325"/>
          <cell r="C3325"/>
          <cell r="D3325"/>
          <cell r="E3325"/>
          <cell r="F3325"/>
          <cell r="G3325">
            <v>1.5900000000000001E-2</v>
          </cell>
          <cell r="H3325"/>
          <cell r="I3325"/>
          <cell r="J3325"/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>
            <v>6.1000000000000004E-3</v>
          </cell>
        </row>
        <row r="3326">
          <cell r="A3326" t="str">
            <v>51939-247LF</v>
          </cell>
          <cell r="B3326"/>
          <cell r="C3326"/>
          <cell r="D3326"/>
          <cell r="E3326"/>
          <cell r="F3326"/>
          <cell r="G3326">
            <v>3.3700000000000001E-2</v>
          </cell>
          <cell r="H3326"/>
          <cell r="I3326"/>
          <cell r="J3326"/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>
            <v>1.6000000000000001E-3</v>
          </cell>
        </row>
        <row r="3327">
          <cell r="A3327" t="str">
            <v>51939-248LF</v>
          </cell>
          <cell r="B3327"/>
          <cell r="C3327"/>
          <cell r="D3327"/>
          <cell r="E3327"/>
          <cell r="F3327"/>
          <cell r="G3327">
            <v>3.6499999999999998E-2</v>
          </cell>
          <cell r="H3327"/>
          <cell r="I3327"/>
          <cell r="J3327"/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>
            <v>2E-3</v>
          </cell>
        </row>
        <row r="3328">
          <cell r="A3328" t="str">
            <v>51939-252LF</v>
          </cell>
          <cell r="B3328"/>
          <cell r="C3328"/>
          <cell r="D3328"/>
          <cell r="E3328"/>
          <cell r="F3328"/>
          <cell r="G3328">
            <v>2.06E-2</v>
          </cell>
          <cell r="H3328"/>
          <cell r="I3328"/>
          <cell r="J3328"/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>
            <v>6.1000000000000004E-3</v>
          </cell>
        </row>
        <row r="3329">
          <cell r="A3329" t="str">
            <v>51939-255LF</v>
          </cell>
          <cell r="B3329"/>
          <cell r="C3329"/>
          <cell r="D3329"/>
          <cell r="E3329"/>
          <cell r="F3329"/>
          <cell r="G3329">
            <v>2.6200000000000001E-2</v>
          </cell>
          <cell r="H3329"/>
          <cell r="I3329"/>
          <cell r="J3329"/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>
            <v>1.9E-3</v>
          </cell>
        </row>
        <row r="3330">
          <cell r="A3330" t="str">
            <v>51939-256LF</v>
          </cell>
          <cell r="B3330"/>
          <cell r="C3330"/>
          <cell r="D3330"/>
          <cell r="E3330"/>
          <cell r="F3330"/>
          <cell r="G3330">
            <v>3.1800000000000002E-2</v>
          </cell>
          <cell r="H3330"/>
          <cell r="I3330"/>
          <cell r="J3330"/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>
            <v>1.6000000000000001E-3</v>
          </cell>
        </row>
        <row r="3331">
          <cell r="A3331" t="str">
            <v>51939-257LF</v>
          </cell>
          <cell r="B3331"/>
          <cell r="C3331"/>
          <cell r="D3331"/>
          <cell r="E3331"/>
          <cell r="F3331"/>
          <cell r="G3331">
            <v>3.1800000000000002E-2</v>
          </cell>
          <cell r="H3331"/>
          <cell r="I3331"/>
          <cell r="J3331"/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>
            <v>1.6000000000000001E-3</v>
          </cell>
        </row>
        <row r="3332">
          <cell r="A3332" t="str">
            <v>51939-258LF</v>
          </cell>
          <cell r="B3332"/>
          <cell r="C3332"/>
          <cell r="D3332"/>
          <cell r="E3332"/>
          <cell r="F3332"/>
          <cell r="G3332">
            <v>2.7099999999999999E-2</v>
          </cell>
          <cell r="H3332"/>
          <cell r="I3332"/>
          <cell r="J3332"/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>
            <v>1.6000000000000001E-3</v>
          </cell>
        </row>
        <row r="3333">
          <cell r="A3333" t="str">
            <v>51939-259LF</v>
          </cell>
          <cell r="B3333"/>
          <cell r="C3333"/>
          <cell r="D3333"/>
          <cell r="E3333"/>
          <cell r="F3333"/>
          <cell r="G3333">
            <v>3.9300000000000002E-2</v>
          </cell>
          <cell r="H3333"/>
          <cell r="I3333"/>
          <cell r="J3333"/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>
            <v>1.9E-3</v>
          </cell>
        </row>
        <row r="3334">
          <cell r="A3334" t="str">
            <v>51939-261LF</v>
          </cell>
          <cell r="B3334"/>
          <cell r="C3334"/>
          <cell r="D3334"/>
          <cell r="E3334"/>
          <cell r="F3334"/>
          <cell r="G3334">
            <v>2.5999999999999999E-2</v>
          </cell>
          <cell r="H3334"/>
          <cell r="I3334"/>
          <cell r="J3334"/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>
            <v>2E-3</v>
          </cell>
        </row>
        <row r="3335">
          <cell r="A3335" t="str">
            <v>51939-262LF</v>
          </cell>
          <cell r="B3335"/>
          <cell r="C3335"/>
          <cell r="D3335"/>
          <cell r="E3335"/>
          <cell r="F3335"/>
          <cell r="G3335">
            <v>3.3700000000000001E-2</v>
          </cell>
          <cell r="H3335"/>
          <cell r="I3335"/>
          <cell r="J3335"/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>
            <v>1.6000000000000001E-3</v>
          </cell>
        </row>
        <row r="3336">
          <cell r="A3336" t="str">
            <v>51939-263LF</v>
          </cell>
          <cell r="B3336"/>
          <cell r="C3336"/>
          <cell r="D3336"/>
          <cell r="E3336"/>
          <cell r="F3336"/>
          <cell r="G3336">
            <v>1.72E-2</v>
          </cell>
          <cell r="H3336"/>
          <cell r="I3336"/>
          <cell r="J3336"/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>
            <v>6.1000000000000004E-3</v>
          </cell>
        </row>
        <row r="3337">
          <cell r="A3337" t="str">
            <v>51939-265LF</v>
          </cell>
          <cell r="B3337"/>
          <cell r="C3337"/>
          <cell r="D3337"/>
          <cell r="E3337"/>
          <cell r="F3337"/>
          <cell r="G3337">
            <v>3.3700000000000001E-2</v>
          </cell>
          <cell r="H3337"/>
          <cell r="I3337"/>
          <cell r="J3337"/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>
            <v>1.6000000000000001E-3</v>
          </cell>
        </row>
        <row r="3338">
          <cell r="A3338" t="str">
            <v>51939-266LF</v>
          </cell>
          <cell r="B3338"/>
          <cell r="C3338"/>
          <cell r="D3338"/>
          <cell r="E3338"/>
          <cell r="F3338"/>
          <cell r="G3338">
            <v>2.06E-2</v>
          </cell>
          <cell r="H3338"/>
          <cell r="I3338"/>
          <cell r="J3338"/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>
            <v>1.6000000000000001E-3</v>
          </cell>
        </row>
        <row r="3339">
          <cell r="A3339" t="str">
            <v>51939-267LF</v>
          </cell>
          <cell r="B3339"/>
          <cell r="C3339"/>
          <cell r="D3339"/>
          <cell r="E3339"/>
          <cell r="F3339"/>
          <cell r="G3339">
            <v>5.0500000000000003E-2</v>
          </cell>
          <cell r="H3339"/>
          <cell r="I3339"/>
          <cell r="J3339"/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>
            <v>1.9E-3</v>
          </cell>
        </row>
        <row r="3340">
          <cell r="A3340" t="str">
            <v>51939-268LF</v>
          </cell>
          <cell r="B3340"/>
          <cell r="C3340"/>
          <cell r="D3340"/>
          <cell r="E3340"/>
          <cell r="F3340"/>
          <cell r="G3340">
            <v>2.4299999999999999E-2</v>
          </cell>
          <cell r="H3340"/>
          <cell r="I3340"/>
          <cell r="J3340"/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>
            <v>1.6000000000000001E-3</v>
          </cell>
        </row>
        <row r="3341">
          <cell r="A3341" t="str">
            <v>51939-269LF</v>
          </cell>
          <cell r="B3341"/>
          <cell r="C3341"/>
          <cell r="D3341"/>
          <cell r="E3341"/>
          <cell r="F3341"/>
          <cell r="G3341">
            <v>1.7416161999999999E-2</v>
          </cell>
          <cell r="H3341"/>
          <cell r="I3341"/>
          <cell r="J3341"/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>
            <v>6.1000000000000004E-3</v>
          </cell>
        </row>
        <row r="3342">
          <cell r="A3342" t="str">
            <v>51939-270LF</v>
          </cell>
          <cell r="B3342"/>
          <cell r="C3342"/>
          <cell r="D3342"/>
          <cell r="E3342"/>
          <cell r="F3342"/>
          <cell r="G3342">
            <v>1.5900000000000001E-2</v>
          </cell>
          <cell r="H3342"/>
          <cell r="I3342"/>
          <cell r="J3342"/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>
            <v>6.1000000000000004E-3</v>
          </cell>
        </row>
        <row r="3343">
          <cell r="A3343" t="str">
            <v>51939-271LF</v>
          </cell>
          <cell r="B3343"/>
          <cell r="C3343"/>
          <cell r="D3343"/>
          <cell r="E3343"/>
          <cell r="F3343"/>
          <cell r="G3343">
            <v>2.9899999999999999E-2</v>
          </cell>
          <cell r="H3343"/>
          <cell r="I3343"/>
          <cell r="J3343"/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>
            <v>1.6000000000000001E-3</v>
          </cell>
        </row>
        <row r="3344">
          <cell r="A3344" t="str">
            <v>51939-275LF</v>
          </cell>
          <cell r="B3344"/>
          <cell r="C3344"/>
          <cell r="D3344"/>
          <cell r="E3344"/>
          <cell r="F3344"/>
          <cell r="G3344">
            <v>2.9899999999999999E-2</v>
          </cell>
          <cell r="H3344"/>
          <cell r="I3344"/>
          <cell r="J3344"/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>
            <v>1.6000000000000001E-3</v>
          </cell>
        </row>
        <row r="3345">
          <cell r="A3345" t="str">
            <v>51939-277LF</v>
          </cell>
          <cell r="B3345"/>
          <cell r="C3345"/>
          <cell r="D3345"/>
          <cell r="E3345"/>
          <cell r="F3345"/>
          <cell r="G3345">
            <v>2.4299999999999999E-2</v>
          </cell>
          <cell r="H3345"/>
          <cell r="I3345"/>
          <cell r="J3345"/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>
            <v>6.1000000000000004E-3</v>
          </cell>
        </row>
        <row r="3346">
          <cell r="A3346" t="str">
            <v>51939-278LF</v>
          </cell>
          <cell r="B3346"/>
          <cell r="C3346"/>
          <cell r="D3346"/>
          <cell r="E3346"/>
          <cell r="F3346"/>
          <cell r="G3346">
            <v>3.9300000000000002E-2</v>
          </cell>
          <cell r="H3346"/>
          <cell r="I3346"/>
          <cell r="J3346"/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>
            <v>2E-3</v>
          </cell>
        </row>
        <row r="3347">
          <cell r="A3347" t="str">
            <v>51939-279LF</v>
          </cell>
          <cell r="B3347"/>
          <cell r="C3347"/>
          <cell r="D3347"/>
          <cell r="E3347"/>
          <cell r="F3347"/>
          <cell r="G3347">
            <v>3.9300000000000002E-2</v>
          </cell>
          <cell r="H3347"/>
          <cell r="I3347"/>
          <cell r="J3347"/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>
            <v>2E-3</v>
          </cell>
        </row>
        <row r="3348">
          <cell r="A3348" t="str">
            <v>51939-280LF</v>
          </cell>
          <cell r="B3348"/>
          <cell r="C3348"/>
          <cell r="D3348"/>
          <cell r="E3348"/>
          <cell r="F3348"/>
          <cell r="G3348">
            <v>2.9000000000000001E-2</v>
          </cell>
          <cell r="H3348"/>
          <cell r="I3348"/>
          <cell r="J3348"/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>
            <v>1.6000000000000001E-3</v>
          </cell>
        </row>
        <row r="3349">
          <cell r="A3349" t="str">
            <v>51939-281LF</v>
          </cell>
          <cell r="B3349"/>
          <cell r="C3349"/>
          <cell r="D3349"/>
          <cell r="E3349"/>
          <cell r="F3349"/>
          <cell r="G3349">
            <v>3.9300000000000002E-2</v>
          </cell>
          <cell r="H3349"/>
          <cell r="I3349"/>
          <cell r="J3349"/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>
            <v>2E-3</v>
          </cell>
        </row>
        <row r="3350">
          <cell r="A3350" t="str">
            <v>51939-282LF</v>
          </cell>
          <cell r="B3350"/>
          <cell r="C3350"/>
          <cell r="D3350"/>
          <cell r="E3350"/>
          <cell r="F3350"/>
          <cell r="G3350">
            <v>5.0500000000000003E-2</v>
          </cell>
          <cell r="H3350"/>
          <cell r="I3350"/>
          <cell r="J3350"/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>
            <v>3.3E-3</v>
          </cell>
        </row>
        <row r="3351">
          <cell r="A3351" t="str">
            <v>51939-283LF</v>
          </cell>
          <cell r="B3351"/>
          <cell r="C3351"/>
          <cell r="D3351"/>
          <cell r="E3351"/>
          <cell r="F3351"/>
          <cell r="G3351">
            <v>2.9499999999999998E-2</v>
          </cell>
          <cell r="H3351"/>
          <cell r="I3351"/>
          <cell r="J3351"/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>
            <v>1.9E-3</v>
          </cell>
        </row>
        <row r="3352">
          <cell r="A3352" t="str">
            <v>51939-284LF</v>
          </cell>
          <cell r="B3352"/>
          <cell r="C3352"/>
          <cell r="D3352"/>
          <cell r="E3352"/>
          <cell r="F3352"/>
          <cell r="G3352">
            <v>3.1800000000000002E-2</v>
          </cell>
          <cell r="H3352"/>
          <cell r="I3352"/>
          <cell r="J3352"/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>
            <v>1.6000000000000001E-3</v>
          </cell>
        </row>
        <row r="3353">
          <cell r="A3353" t="str">
            <v>51939-285LF</v>
          </cell>
          <cell r="B3353"/>
          <cell r="C3353"/>
          <cell r="D3353"/>
          <cell r="E3353"/>
          <cell r="F3353"/>
          <cell r="G3353">
            <v>1.8026622999999999E-2</v>
          </cell>
          <cell r="H3353"/>
          <cell r="I3353"/>
          <cell r="J3353"/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>
            <v>1.6000000000000001E-3</v>
          </cell>
        </row>
        <row r="3354">
          <cell r="A3354" t="str">
            <v>51939-286LF</v>
          </cell>
          <cell r="B3354"/>
          <cell r="C3354"/>
          <cell r="D3354"/>
          <cell r="E3354"/>
          <cell r="F3354"/>
          <cell r="G3354">
            <v>3.1E-2</v>
          </cell>
          <cell r="H3354"/>
          <cell r="I3354"/>
          <cell r="J3354"/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>
            <v>1.9E-3</v>
          </cell>
        </row>
        <row r="3355">
          <cell r="A3355" t="str">
            <v>51939-290LF</v>
          </cell>
          <cell r="B3355"/>
          <cell r="C3355"/>
          <cell r="D3355"/>
          <cell r="E3355"/>
          <cell r="F3355"/>
          <cell r="G3355">
            <v>2.9000000000000001E-2</v>
          </cell>
          <cell r="H3355"/>
          <cell r="I3355"/>
          <cell r="J3355"/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>
            <v>1.9E-3</v>
          </cell>
        </row>
        <row r="3356">
          <cell r="A3356" t="str">
            <v>51939-291LF</v>
          </cell>
          <cell r="B3356"/>
          <cell r="C3356"/>
          <cell r="D3356"/>
          <cell r="E3356"/>
          <cell r="F3356"/>
          <cell r="G3356">
            <v>3.9600000000000003E-2</v>
          </cell>
          <cell r="H3356"/>
          <cell r="I3356"/>
          <cell r="J3356"/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>
            <v>3.7000000000000002E-3</v>
          </cell>
        </row>
        <row r="3357">
          <cell r="A3357" t="str">
            <v>51939-292LF</v>
          </cell>
          <cell r="B3357"/>
          <cell r="C3357"/>
          <cell r="D3357"/>
          <cell r="E3357"/>
          <cell r="F3357"/>
          <cell r="G3357">
            <v>2.7099999999999999E-2</v>
          </cell>
          <cell r="H3357"/>
          <cell r="I3357"/>
          <cell r="J3357"/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>
            <v>1.6000000000000001E-3</v>
          </cell>
        </row>
        <row r="3358">
          <cell r="A3358" t="str">
            <v>51939-293LF</v>
          </cell>
          <cell r="B3358"/>
          <cell r="C3358"/>
          <cell r="D3358"/>
          <cell r="E3358"/>
          <cell r="F3358"/>
          <cell r="G3358">
            <v>1.4258392E-2</v>
          </cell>
          <cell r="H3358"/>
          <cell r="I3358"/>
          <cell r="J3358"/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>
            <v>1.6000000000000001E-3</v>
          </cell>
        </row>
        <row r="3359">
          <cell r="A3359" t="str">
            <v>51939-295LF</v>
          </cell>
          <cell r="B3359"/>
          <cell r="C3359"/>
          <cell r="D3359"/>
          <cell r="E3359"/>
          <cell r="F3359"/>
          <cell r="G3359">
            <v>2.9000000000000001E-2</v>
          </cell>
          <cell r="H3359"/>
          <cell r="I3359"/>
          <cell r="J3359"/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>
            <v>1.9E-3</v>
          </cell>
        </row>
        <row r="3360">
          <cell r="A3360" t="str">
            <v>51939-296LF</v>
          </cell>
          <cell r="B3360"/>
          <cell r="C3360"/>
          <cell r="D3360"/>
          <cell r="E3360"/>
          <cell r="F3360"/>
          <cell r="G3360">
            <v>2.9899999999999999E-2</v>
          </cell>
          <cell r="H3360"/>
          <cell r="I3360"/>
          <cell r="J3360"/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>
            <v>1.9E-3</v>
          </cell>
        </row>
        <row r="3361">
          <cell r="A3361" t="str">
            <v>51939-298LF</v>
          </cell>
          <cell r="B3361"/>
          <cell r="C3361"/>
          <cell r="D3361"/>
          <cell r="E3361"/>
          <cell r="F3361"/>
          <cell r="G3361">
            <v>3.6499999999999998E-2</v>
          </cell>
          <cell r="H3361"/>
          <cell r="I3361"/>
          <cell r="J3361"/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>
            <v>1.6000000000000001E-3</v>
          </cell>
        </row>
        <row r="3362">
          <cell r="A3362" t="str">
            <v>51939-299LF</v>
          </cell>
          <cell r="B3362"/>
          <cell r="C3362"/>
          <cell r="D3362"/>
          <cell r="E3362"/>
          <cell r="F3362"/>
          <cell r="G3362">
            <v>2.7400000000000001E-2</v>
          </cell>
          <cell r="H3362"/>
          <cell r="I3362"/>
          <cell r="J3362"/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>
            <v>3.7000000000000002E-3</v>
          </cell>
        </row>
        <row r="3363">
          <cell r="A3363" t="str">
            <v>51939-300LF</v>
          </cell>
          <cell r="B3363"/>
          <cell r="C3363"/>
          <cell r="D3363"/>
          <cell r="E3363"/>
          <cell r="F3363"/>
          <cell r="G3363">
            <v>2.06E-2</v>
          </cell>
          <cell r="H3363"/>
          <cell r="I3363"/>
          <cell r="J3363"/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>
            <v>1.9E-3</v>
          </cell>
        </row>
        <row r="3364">
          <cell r="A3364" t="str">
            <v>51939-301LF</v>
          </cell>
          <cell r="B3364"/>
          <cell r="C3364"/>
          <cell r="D3364"/>
          <cell r="E3364"/>
          <cell r="F3364"/>
          <cell r="G3364">
            <v>2.9000000000000001E-2</v>
          </cell>
          <cell r="H3364"/>
          <cell r="I3364"/>
          <cell r="J3364"/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>
            <v>1.9E-3</v>
          </cell>
        </row>
        <row r="3365">
          <cell r="A3365" t="str">
            <v>51939-302LF</v>
          </cell>
          <cell r="B3365"/>
          <cell r="C3365"/>
          <cell r="D3365"/>
          <cell r="E3365"/>
          <cell r="F3365"/>
          <cell r="G3365">
            <v>3.4879793999999999E-2</v>
          </cell>
          <cell r="H3365"/>
          <cell r="I3365"/>
          <cell r="J3365"/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>
            <v>1.9E-3</v>
          </cell>
        </row>
        <row r="3366">
          <cell r="A3366" t="str">
            <v>51939-303LF</v>
          </cell>
          <cell r="B3366"/>
          <cell r="C3366"/>
          <cell r="D3366"/>
          <cell r="E3366"/>
          <cell r="F3366"/>
          <cell r="G3366">
            <v>3.1800000000000002E-2</v>
          </cell>
          <cell r="H3366"/>
          <cell r="I3366"/>
          <cell r="J3366"/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>
            <v>1.6000000000000001E-3</v>
          </cell>
        </row>
        <row r="3367">
          <cell r="A3367" t="str">
            <v>51939-305LF</v>
          </cell>
          <cell r="B3367"/>
          <cell r="C3367"/>
          <cell r="D3367"/>
          <cell r="E3367"/>
          <cell r="F3367"/>
          <cell r="G3367">
            <v>4.0800000000000003E-2</v>
          </cell>
          <cell r="H3367"/>
          <cell r="I3367"/>
          <cell r="J3367"/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>
            <v>1.9E-3</v>
          </cell>
        </row>
        <row r="3368">
          <cell r="A3368" t="str">
            <v>51939-306LF</v>
          </cell>
          <cell r="B3368"/>
          <cell r="C3368"/>
          <cell r="D3368"/>
          <cell r="E3368"/>
          <cell r="F3368"/>
          <cell r="G3368">
            <v>1.8800000000000001E-2</v>
          </cell>
          <cell r="H3368"/>
          <cell r="I3368"/>
          <cell r="J3368"/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>
            <v>1.9E-3</v>
          </cell>
        </row>
        <row r="3369">
          <cell r="A3369" t="str">
            <v>51939-307LF</v>
          </cell>
          <cell r="B3369"/>
          <cell r="C3369"/>
          <cell r="D3369"/>
          <cell r="E3369"/>
          <cell r="F3369"/>
          <cell r="G3369">
            <v>2.6200000000000001E-2</v>
          </cell>
          <cell r="H3369"/>
          <cell r="I3369"/>
          <cell r="J3369"/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>
            <v>1.9E-3</v>
          </cell>
        </row>
        <row r="3370">
          <cell r="A3370" t="str">
            <v>51939-308LF</v>
          </cell>
          <cell r="B3370"/>
          <cell r="C3370"/>
          <cell r="D3370"/>
          <cell r="E3370"/>
          <cell r="F3370"/>
          <cell r="G3370">
            <v>2.7099999999999999E-2</v>
          </cell>
          <cell r="H3370"/>
          <cell r="I3370"/>
          <cell r="J3370"/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>
            <v>1.9E-3</v>
          </cell>
        </row>
        <row r="3371">
          <cell r="A3371" t="str">
            <v>51939-309LF</v>
          </cell>
          <cell r="B3371"/>
          <cell r="C3371"/>
          <cell r="D3371"/>
          <cell r="E3371"/>
          <cell r="F3371"/>
          <cell r="G3371">
            <v>2.9899999999999999E-2</v>
          </cell>
          <cell r="H3371"/>
          <cell r="I3371"/>
          <cell r="J3371"/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>
            <v>1.9E-3</v>
          </cell>
        </row>
        <row r="3372">
          <cell r="A3372" t="str">
            <v>51939-310LF</v>
          </cell>
          <cell r="B3372"/>
          <cell r="C3372"/>
          <cell r="D3372"/>
          <cell r="E3372"/>
          <cell r="F3372"/>
          <cell r="G3372">
            <v>1.8200000000000001E-2</v>
          </cell>
          <cell r="H3372"/>
          <cell r="I3372"/>
          <cell r="J3372"/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>
            <v>1.9E-3</v>
          </cell>
        </row>
        <row r="3373">
          <cell r="A3373" t="str">
            <v>51939-311LF</v>
          </cell>
          <cell r="B3373"/>
          <cell r="C3373"/>
          <cell r="D3373"/>
          <cell r="E3373"/>
          <cell r="F3373"/>
          <cell r="G3373">
            <v>1.8700000000000001E-2</v>
          </cell>
          <cell r="H3373"/>
          <cell r="I3373"/>
          <cell r="J3373"/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>
            <v>6.1000000000000004E-3</v>
          </cell>
        </row>
        <row r="3374">
          <cell r="A3374" t="str">
            <v>51939-313LF</v>
          </cell>
          <cell r="B3374"/>
          <cell r="C3374"/>
          <cell r="D3374"/>
          <cell r="E3374"/>
          <cell r="F3374"/>
          <cell r="G3374">
            <v>2.4299999999999999E-2</v>
          </cell>
          <cell r="H3374"/>
          <cell r="I3374"/>
          <cell r="J3374"/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>
            <v>2.2000000000000001E-3</v>
          </cell>
        </row>
        <row r="3375">
          <cell r="A3375" t="str">
            <v>51939-314LF</v>
          </cell>
          <cell r="B3375"/>
          <cell r="C3375"/>
          <cell r="D3375"/>
          <cell r="E3375"/>
          <cell r="F3375"/>
          <cell r="G3375">
            <v>2.9000000000000001E-2</v>
          </cell>
          <cell r="H3375"/>
          <cell r="I3375"/>
          <cell r="J3375"/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>
            <v>1.9E-3</v>
          </cell>
        </row>
        <row r="3376">
          <cell r="A3376" t="str">
            <v>51939-315LF</v>
          </cell>
          <cell r="B3376"/>
          <cell r="C3376"/>
          <cell r="D3376"/>
          <cell r="E3376"/>
          <cell r="F3376"/>
          <cell r="G3376">
            <v>2.4299999999999999E-2</v>
          </cell>
          <cell r="H3376"/>
          <cell r="I3376"/>
          <cell r="J3376"/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>
            <v>1.6000000000000001E-3</v>
          </cell>
        </row>
        <row r="3377">
          <cell r="A3377" t="str">
            <v>51939-316LF</v>
          </cell>
          <cell r="B3377"/>
          <cell r="C3377"/>
          <cell r="D3377"/>
          <cell r="E3377"/>
          <cell r="F3377"/>
          <cell r="G3377">
            <v>2.9899999999999999E-2</v>
          </cell>
          <cell r="H3377"/>
          <cell r="I3377"/>
          <cell r="J3377"/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>
            <v>1.9E-3</v>
          </cell>
        </row>
        <row r="3378">
          <cell r="A3378" t="str">
            <v>51939-317LF</v>
          </cell>
          <cell r="B3378"/>
          <cell r="C3378"/>
          <cell r="D3378"/>
          <cell r="E3378"/>
          <cell r="F3378"/>
          <cell r="G3378">
            <v>2.9000000000000001E-2</v>
          </cell>
          <cell r="H3378"/>
          <cell r="I3378"/>
          <cell r="J3378"/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>
            <v>1.6000000000000001E-3</v>
          </cell>
        </row>
        <row r="3379">
          <cell r="A3379" t="str">
            <v>51939-318LF</v>
          </cell>
          <cell r="B3379"/>
          <cell r="C3379"/>
          <cell r="D3379"/>
          <cell r="E3379"/>
          <cell r="F3379"/>
          <cell r="G3379">
            <v>2.9000000000000001E-2</v>
          </cell>
          <cell r="H3379"/>
          <cell r="I3379"/>
          <cell r="J3379"/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>
            <v>2.2000000000000001E-3</v>
          </cell>
        </row>
        <row r="3380">
          <cell r="A3380" t="str">
            <v>51939-319LF</v>
          </cell>
          <cell r="B3380"/>
          <cell r="C3380"/>
          <cell r="D3380"/>
          <cell r="E3380"/>
          <cell r="F3380"/>
          <cell r="G3380">
            <v>4.1099999999999998E-2</v>
          </cell>
          <cell r="H3380"/>
          <cell r="I3380"/>
          <cell r="J3380"/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>
            <v>2.2000000000000001E-3</v>
          </cell>
        </row>
        <row r="3381">
          <cell r="A3381" t="str">
            <v>51939-321LF</v>
          </cell>
          <cell r="B3381"/>
          <cell r="C3381"/>
          <cell r="D3381"/>
          <cell r="E3381"/>
          <cell r="F3381"/>
          <cell r="G3381">
            <v>2.9000000000000001E-2</v>
          </cell>
          <cell r="H3381"/>
          <cell r="I3381"/>
          <cell r="J3381"/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>
            <v>1.9E-3</v>
          </cell>
        </row>
        <row r="3382">
          <cell r="A3382" t="str">
            <v>51939-322LF</v>
          </cell>
          <cell r="B3382"/>
          <cell r="C3382"/>
          <cell r="D3382"/>
          <cell r="E3382"/>
          <cell r="F3382"/>
          <cell r="G3382">
            <v>3.1800000000000002E-2</v>
          </cell>
          <cell r="H3382"/>
          <cell r="I3382"/>
          <cell r="J3382"/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>
            <v>1.9E-3</v>
          </cell>
        </row>
        <row r="3383">
          <cell r="A3383" t="str">
            <v>51939-323LF</v>
          </cell>
          <cell r="B3383"/>
          <cell r="C3383"/>
          <cell r="D3383"/>
          <cell r="E3383"/>
          <cell r="F3383"/>
          <cell r="G3383">
            <v>2.9899999999999999E-2</v>
          </cell>
          <cell r="H3383"/>
          <cell r="I3383"/>
          <cell r="J3383"/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>
            <v>1.9E-3</v>
          </cell>
        </row>
        <row r="3384">
          <cell r="A3384" t="str">
            <v>51939-324LF</v>
          </cell>
          <cell r="B3384"/>
          <cell r="C3384"/>
          <cell r="D3384"/>
          <cell r="E3384"/>
          <cell r="F3384"/>
          <cell r="G3384">
            <v>3.9300000000000002E-2</v>
          </cell>
          <cell r="H3384"/>
          <cell r="I3384"/>
          <cell r="J3384"/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>
            <v>1.9E-3</v>
          </cell>
        </row>
        <row r="3385">
          <cell r="A3385" t="str">
            <v>51939-325LF</v>
          </cell>
          <cell r="B3385"/>
          <cell r="C3385"/>
          <cell r="D3385"/>
          <cell r="E3385"/>
          <cell r="F3385"/>
          <cell r="G3385">
            <v>1.2866746E-2</v>
          </cell>
          <cell r="H3385"/>
          <cell r="I3385"/>
          <cell r="J3385"/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>
            <v>1.9E-3</v>
          </cell>
        </row>
        <row r="3386">
          <cell r="A3386" t="str">
            <v>51939-326LF</v>
          </cell>
          <cell r="B3386"/>
          <cell r="C3386"/>
          <cell r="D3386"/>
          <cell r="E3386"/>
          <cell r="F3386"/>
          <cell r="G3386">
            <v>3.1800000000000002E-2</v>
          </cell>
          <cell r="H3386"/>
          <cell r="I3386"/>
          <cell r="J3386"/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>
            <v>1.9E-3</v>
          </cell>
        </row>
        <row r="3387">
          <cell r="A3387" t="str">
            <v>51939-327LF</v>
          </cell>
          <cell r="B3387"/>
          <cell r="C3387"/>
          <cell r="D3387"/>
          <cell r="E3387"/>
          <cell r="F3387"/>
          <cell r="G3387">
            <v>1.7912417999999999E-2</v>
          </cell>
          <cell r="H3387"/>
          <cell r="I3387"/>
          <cell r="J3387"/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>
            <v>1.9E-3</v>
          </cell>
        </row>
        <row r="3388">
          <cell r="A3388" t="str">
            <v>51939-329LF</v>
          </cell>
          <cell r="B3388"/>
          <cell r="C3388"/>
          <cell r="D3388"/>
          <cell r="E3388"/>
          <cell r="F3388"/>
          <cell r="G3388">
            <v>3.2000000000000001E-2</v>
          </cell>
          <cell r="H3388"/>
          <cell r="I3388"/>
          <cell r="J3388"/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>
            <v>3.7000000000000002E-3</v>
          </cell>
        </row>
        <row r="3389">
          <cell r="A3389" t="str">
            <v>51939-330LF</v>
          </cell>
          <cell r="B3389"/>
          <cell r="C3389"/>
          <cell r="D3389"/>
          <cell r="E3389"/>
          <cell r="F3389"/>
          <cell r="G3389">
            <v>2.5905349000000001E-2</v>
          </cell>
          <cell r="H3389"/>
          <cell r="I3389"/>
          <cell r="J3389"/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>
            <v>1.9E-3</v>
          </cell>
        </row>
        <row r="3390">
          <cell r="A3390" t="str">
            <v>51939-331LF</v>
          </cell>
          <cell r="B3390"/>
          <cell r="C3390"/>
          <cell r="D3390"/>
          <cell r="E3390"/>
          <cell r="F3390"/>
          <cell r="G3390">
            <v>3.3700000000000001E-2</v>
          </cell>
          <cell r="H3390"/>
          <cell r="I3390"/>
          <cell r="J3390"/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>
            <v>1.9E-3</v>
          </cell>
        </row>
        <row r="3391">
          <cell r="A3391" t="str">
            <v>51939-332LF</v>
          </cell>
          <cell r="B3391"/>
          <cell r="C3391"/>
          <cell r="D3391"/>
          <cell r="E3391"/>
          <cell r="F3391"/>
          <cell r="G3391">
            <v>3.9300000000000002E-2</v>
          </cell>
          <cell r="H3391"/>
          <cell r="I3391"/>
          <cell r="J3391"/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>
            <v>1.9E-3</v>
          </cell>
        </row>
        <row r="3392">
          <cell r="A3392" t="str">
            <v>51939-333LF</v>
          </cell>
          <cell r="B3392"/>
          <cell r="C3392"/>
          <cell r="D3392"/>
          <cell r="E3392"/>
          <cell r="F3392"/>
          <cell r="G3392">
            <v>3.5499999999999997E-2</v>
          </cell>
          <cell r="H3392"/>
          <cell r="I3392"/>
          <cell r="J3392"/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>
            <v>1.9E-3</v>
          </cell>
        </row>
        <row r="3393">
          <cell r="A3393" t="str">
            <v>51939-335LF</v>
          </cell>
          <cell r="B3393"/>
          <cell r="C3393"/>
          <cell r="D3393"/>
          <cell r="E3393"/>
          <cell r="F3393"/>
          <cell r="G3393">
            <v>1.5900000000000001E-2</v>
          </cell>
          <cell r="H3393"/>
          <cell r="I3393"/>
          <cell r="J3393"/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>
            <v>6.1000000000000004E-3</v>
          </cell>
        </row>
        <row r="3394">
          <cell r="A3394" t="str">
            <v>51939-336LF</v>
          </cell>
          <cell r="B3394"/>
          <cell r="C3394"/>
          <cell r="D3394"/>
          <cell r="E3394"/>
          <cell r="F3394"/>
          <cell r="G3394">
            <v>2.06E-2</v>
          </cell>
          <cell r="H3394"/>
          <cell r="I3394"/>
          <cell r="J3394"/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>
            <v>6.1000000000000004E-3</v>
          </cell>
        </row>
        <row r="3395">
          <cell r="A3395" t="str">
            <v>51939-339LF</v>
          </cell>
          <cell r="B3395"/>
          <cell r="C3395"/>
          <cell r="D3395"/>
          <cell r="E3395"/>
          <cell r="F3395"/>
          <cell r="G3395">
            <v>3.8300000000000001E-2</v>
          </cell>
          <cell r="H3395"/>
          <cell r="I3395"/>
          <cell r="J3395"/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>
            <v>1.9E-3</v>
          </cell>
        </row>
        <row r="3396">
          <cell r="A3396" t="str">
            <v>51939-340LF</v>
          </cell>
          <cell r="B3396"/>
          <cell r="C3396"/>
          <cell r="D3396"/>
          <cell r="E3396"/>
          <cell r="F3396"/>
          <cell r="G3396">
            <v>2.81E-2</v>
          </cell>
          <cell r="H3396"/>
          <cell r="I3396"/>
          <cell r="J3396"/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>
            <v>1.9E-3</v>
          </cell>
        </row>
        <row r="3397">
          <cell r="A3397" t="str">
            <v>51939-341LF</v>
          </cell>
          <cell r="B3397"/>
          <cell r="C3397"/>
          <cell r="D3397"/>
          <cell r="E3397"/>
          <cell r="F3397"/>
          <cell r="G3397">
            <v>5.2400000000000002E-2</v>
          </cell>
          <cell r="H3397"/>
          <cell r="I3397"/>
          <cell r="J3397"/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>
            <v>1.9E-3</v>
          </cell>
        </row>
        <row r="3398">
          <cell r="A3398" t="str">
            <v>51939-342LF</v>
          </cell>
          <cell r="B3398"/>
          <cell r="C3398"/>
          <cell r="D3398"/>
          <cell r="E3398"/>
          <cell r="F3398"/>
          <cell r="G3398">
            <v>1.66E-2</v>
          </cell>
          <cell r="H3398"/>
          <cell r="I3398"/>
          <cell r="J3398"/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>
            <v>1.9E-3</v>
          </cell>
        </row>
        <row r="3399">
          <cell r="A3399" t="str">
            <v>51939-343LF</v>
          </cell>
          <cell r="B3399"/>
          <cell r="C3399"/>
          <cell r="D3399"/>
          <cell r="E3399"/>
          <cell r="F3399"/>
          <cell r="G3399">
            <v>2.0199999999999999E-2</v>
          </cell>
          <cell r="H3399"/>
          <cell r="I3399"/>
          <cell r="J3399"/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>
            <v>1.9E-3</v>
          </cell>
        </row>
        <row r="3400">
          <cell r="A3400" t="str">
            <v>51939-345LF</v>
          </cell>
          <cell r="B3400"/>
          <cell r="C3400"/>
          <cell r="D3400"/>
          <cell r="E3400"/>
          <cell r="F3400"/>
          <cell r="G3400">
            <v>1.44E-2</v>
          </cell>
          <cell r="H3400"/>
          <cell r="I3400"/>
          <cell r="J3400"/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>
            <v>6.1000000000000004E-3</v>
          </cell>
        </row>
        <row r="3401">
          <cell r="A3401" t="str">
            <v>51939-346LF</v>
          </cell>
          <cell r="B3401"/>
          <cell r="C3401"/>
          <cell r="D3401"/>
          <cell r="E3401"/>
          <cell r="F3401"/>
          <cell r="G3401">
            <v>2.5899999999999999E-2</v>
          </cell>
          <cell r="H3401"/>
          <cell r="I3401"/>
          <cell r="J3401"/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>
            <v>6.1000000000000004E-3</v>
          </cell>
        </row>
        <row r="3402">
          <cell r="A3402" t="str">
            <v>51939-347LF</v>
          </cell>
          <cell r="B3402"/>
          <cell r="C3402"/>
          <cell r="D3402"/>
          <cell r="E3402"/>
          <cell r="F3402"/>
          <cell r="G3402">
            <v>2.2041667000000001E-2</v>
          </cell>
          <cell r="H3402"/>
          <cell r="I3402"/>
          <cell r="J3402"/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>
            <v>1.9E-3</v>
          </cell>
        </row>
        <row r="3403">
          <cell r="A3403" t="str">
            <v>51939-348LF</v>
          </cell>
          <cell r="B3403"/>
          <cell r="C3403"/>
          <cell r="D3403"/>
          <cell r="E3403"/>
          <cell r="F3403"/>
          <cell r="G3403">
            <v>3.9600000000000003E-2</v>
          </cell>
          <cell r="H3403"/>
          <cell r="I3403"/>
          <cell r="J3403"/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>
            <v>6.4999999999999997E-3</v>
          </cell>
        </row>
        <row r="3404">
          <cell r="A3404" t="str">
            <v>51939-349LF</v>
          </cell>
          <cell r="B3404"/>
          <cell r="C3404"/>
          <cell r="D3404"/>
          <cell r="E3404"/>
          <cell r="F3404"/>
          <cell r="G3404">
            <v>2.18E-2</v>
          </cell>
          <cell r="H3404"/>
          <cell r="I3404"/>
          <cell r="J3404"/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>
            <v>3.3E-3</v>
          </cell>
        </row>
        <row r="3405">
          <cell r="A3405" t="str">
            <v>51939-350LF</v>
          </cell>
          <cell r="B3405"/>
          <cell r="C3405"/>
          <cell r="D3405"/>
          <cell r="E3405"/>
          <cell r="F3405"/>
          <cell r="G3405">
            <v>1.95E-2</v>
          </cell>
          <cell r="H3405"/>
          <cell r="I3405"/>
          <cell r="J3405"/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>
            <v>1.9E-3</v>
          </cell>
        </row>
        <row r="3406">
          <cell r="A3406" t="str">
            <v>51939-351LF</v>
          </cell>
          <cell r="B3406"/>
          <cell r="C3406"/>
          <cell r="D3406"/>
          <cell r="E3406"/>
          <cell r="F3406"/>
          <cell r="G3406">
            <v>3.6499999999999998E-2</v>
          </cell>
          <cell r="H3406"/>
          <cell r="I3406"/>
          <cell r="J3406"/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>
            <v>1.9E-3</v>
          </cell>
        </row>
        <row r="3407">
          <cell r="A3407" t="str">
            <v>51939-354LF</v>
          </cell>
          <cell r="B3407"/>
          <cell r="C3407"/>
          <cell r="D3407"/>
          <cell r="E3407"/>
          <cell r="F3407"/>
          <cell r="G3407">
            <v>4.2999999999999997E-2</v>
          </cell>
          <cell r="H3407"/>
          <cell r="I3407"/>
          <cell r="J3407"/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>
            <v>1.9E-3</v>
          </cell>
        </row>
        <row r="3408">
          <cell r="A3408" t="str">
            <v>51939-355LF</v>
          </cell>
          <cell r="B3408"/>
          <cell r="C3408"/>
          <cell r="D3408"/>
          <cell r="E3408"/>
          <cell r="F3408"/>
          <cell r="G3408">
            <v>3.8300000000000001E-2</v>
          </cell>
          <cell r="H3408"/>
          <cell r="I3408"/>
          <cell r="J3408"/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>
            <v>1.9E-3</v>
          </cell>
        </row>
        <row r="3409">
          <cell r="A3409" t="str">
            <v>51939-357LF</v>
          </cell>
          <cell r="B3409"/>
          <cell r="C3409"/>
          <cell r="D3409"/>
          <cell r="E3409"/>
          <cell r="F3409"/>
          <cell r="G3409">
            <v>2.2599999999999999E-2</v>
          </cell>
          <cell r="H3409"/>
          <cell r="I3409"/>
          <cell r="J3409"/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>
            <v>1.9E-3</v>
          </cell>
        </row>
        <row r="3410">
          <cell r="A3410" t="str">
            <v>51939-358LF</v>
          </cell>
          <cell r="B3410"/>
          <cell r="C3410"/>
          <cell r="D3410"/>
          <cell r="E3410"/>
          <cell r="F3410"/>
          <cell r="G3410">
            <v>4.2999999999999997E-2</v>
          </cell>
          <cell r="H3410"/>
          <cell r="I3410"/>
          <cell r="J3410"/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>
            <v>1.9E-3</v>
          </cell>
        </row>
        <row r="3411">
          <cell r="A3411" t="str">
            <v>51939-360LF</v>
          </cell>
          <cell r="B3411"/>
          <cell r="C3411"/>
          <cell r="D3411"/>
          <cell r="E3411"/>
          <cell r="F3411"/>
          <cell r="G3411">
            <v>5.9799999999999999E-2</v>
          </cell>
          <cell r="H3411"/>
          <cell r="I3411"/>
          <cell r="J3411"/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>
            <v>1.9E-3</v>
          </cell>
        </row>
        <row r="3412">
          <cell r="A3412" t="str">
            <v>51939-361LF</v>
          </cell>
          <cell r="B3412"/>
          <cell r="C3412"/>
          <cell r="D3412"/>
          <cell r="E3412"/>
          <cell r="F3412"/>
          <cell r="G3412">
            <v>3.9300000000000002E-2</v>
          </cell>
          <cell r="H3412"/>
          <cell r="I3412"/>
          <cell r="J3412"/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>
            <v>1.9E-3</v>
          </cell>
        </row>
        <row r="3413">
          <cell r="A3413" t="str">
            <v>51939-362LF</v>
          </cell>
          <cell r="B3413"/>
          <cell r="C3413"/>
          <cell r="D3413"/>
          <cell r="E3413"/>
          <cell r="F3413"/>
          <cell r="G3413">
            <v>2.12E-2</v>
          </cell>
          <cell r="H3413"/>
          <cell r="I3413"/>
          <cell r="J3413"/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>
            <v>1.9E-3</v>
          </cell>
        </row>
        <row r="3414">
          <cell r="A3414" t="str">
            <v>51939-363LF</v>
          </cell>
          <cell r="B3414"/>
          <cell r="C3414"/>
          <cell r="D3414"/>
          <cell r="E3414"/>
          <cell r="F3414"/>
          <cell r="G3414">
            <v>2.1499999999999998E-2</v>
          </cell>
          <cell r="H3414"/>
          <cell r="I3414"/>
          <cell r="J3414"/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>
            <v>6.1000000000000004E-3</v>
          </cell>
        </row>
        <row r="3415">
          <cell r="A3415" t="str">
            <v>51939-367LF</v>
          </cell>
          <cell r="B3415"/>
          <cell r="C3415"/>
          <cell r="D3415"/>
          <cell r="E3415"/>
          <cell r="F3415"/>
          <cell r="G3415">
            <v>2.7099999999999999E-2</v>
          </cell>
          <cell r="H3415"/>
          <cell r="I3415"/>
          <cell r="J3415"/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>
            <v>1.9E-3</v>
          </cell>
        </row>
        <row r="3416">
          <cell r="A3416" t="str">
            <v>51939-368LF</v>
          </cell>
          <cell r="B3416"/>
          <cell r="C3416"/>
          <cell r="D3416"/>
          <cell r="E3416"/>
          <cell r="F3416"/>
          <cell r="G3416">
            <v>2.98E-2</v>
          </cell>
          <cell r="H3416"/>
          <cell r="I3416"/>
          <cell r="J3416"/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>
            <v>1.9E-3</v>
          </cell>
        </row>
        <row r="3417">
          <cell r="A3417" t="str">
            <v>51939-370LF</v>
          </cell>
          <cell r="B3417"/>
          <cell r="C3417"/>
          <cell r="D3417"/>
          <cell r="E3417"/>
          <cell r="F3417"/>
          <cell r="G3417">
            <v>1.5900000000000001E-2</v>
          </cell>
          <cell r="H3417"/>
          <cell r="I3417"/>
          <cell r="J3417"/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>
            <v>6.1000000000000004E-3</v>
          </cell>
        </row>
        <row r="3418">
          <cell r="A3418" t="str">
            <v>51939-371LF</v>
          </cell>
          <cell r="B3418"/>
          <cell r="C3418"/>
          <cell r="D3418"/>
          <cell r="E3418"/>
          <cell r="F3418"/>
          <cell r="G3418">
            <v>3.4599999999999999E-2</v>
          </cell>
          <cell r="H3418"/>
          <cell r="I3418"/>
          <cell r="J3418"/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>
            <v>1.9E-3</v>
          </cell>
        </row>
        <row r="3419">
          <cell r="A3419" t="str">
            <v>51939-372LF</v>
          </cell>
          <cell r="B3419"/>
          <cell r="C3419"/>
          <cell r="D3419"/>
          <cell r="E3419"/>
          <cell r="F3419"/>
          <cell r="G3419">
            <v>3.3700000000000001E-2</v>
          </cell>
          <cell r="H3419"/>
          <cell r="I3419"/>
          <cell r="J3419"/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>
            <v>1.9E-3</v>
          </cell>
        </row>
        <row r="3420">
          <cell r="A3420" t="str">
            <v>51939-374LF</v>
          </cell>
          <cell r="B3420"/>
          <cell r="C3420"/>
          <cell r="D3420"/>
          <cell r="E3420"/>
          <cell r="F3420"/>
          <cell r="G3420">
            <v>3.3700000000000001E-2</v>
          </cell>
          <cell r="H3420"/>
          <cell r="I3420"/>
          <cell r="J3420"/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>
            <v>1.9E-3</v>
          </cell>
        </row>
        <row r="3421">
          <cell r="A3421" t="str">
            <v>51939-375LF</v>
          </cell>
          <cell r="B3421"/>
          <cell r="C3421"/>
          <cell r="D3421"/>
          <cell r="E3421"/>
          <cell r="F3421"/>
          <cell r="G3421">
            <v>2.86E-2</v>
          </cell>
          <cell r="H3421"/>
          <cell r="I3421"/>
          <cell r="J3421"/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>
            <v>1.9E-3</v>
          </cell>
        </row>
        <row r="3422">
          <cell r="A3422" t="str">
            <v>51939-376LF</v>
          </cell>
          <cell r="B3422"/>
          <cell r="C3422"/>
          <cell r="D3422"/>
          <cell r="E3422"/>
          <cell r="F3422"/>
          <cell r="G3422">
            <v>4.4900000000000002E-2</v>
          </cell>
          <cell r="H3422"/>
          <cell r="I3422"/>
          <cell r="J3422"/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>
            <v>1.9E-3</v>
          </cell>
        </row>
        <row r="3423">
          <cell r="A3423" t="str">
            <v>51939-377LF</v>
          </cell>
          <cell r="B3423"/>
          <cell r="C3423"/>
          <cell r="D3423"/>
          <cell r="E3423"/>
          <cell r="F3423"/>
          <cell r="G3423">
            <v>3.3700000000000001E-2</v>
          </cell>
          <cell r="H3423"/>
          <cell r="I3423"/>
          <cell r="J3423"/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>
            <v>1.9E-3</v>
          </cell>
        </row>
        <row r="3424">
          <cell r="A3424" t="str">
            <v>51939-378LF</v>
          </cell>
          <cell r="B3424"/>
          <cell r="C3424"/>
          <cell r="D3424"/>
          <cell r="E3424"/>
          <cell r="F3424"/>
          <cell r="G3424">
            <v>2.06E-2</v>
          </cell>
          <cell r="H3424"/>
          <cell r="I3424"/>
          <cell r="J3424"/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>
            <v>6.1000000000000004E-3</v>
          </cell>
        </row>
        <row r="3425">
          <cell r="A3425" t="str">
            <v>51939-379LF</v>
          </cell>
          <cell r="B3425"/>
          <cell r="C3425"/>
          <cell r="D3425"/>
          <cell r="E3425"/>
          <cell r="F3425"/>
          <cell r="G3425">
            <v>3.6499999999999998E-2</v>
          </cell>
          <cell r="H3425"/>
          <cell r="I3425"/>
          <cell r="J3425"/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>
            <v>1.9E-3</v>
          </cell>
        </row>
        <row r="3426">
          <cell r="A3426" t="str">
            <v>51939-380LF</v>
          </cell>
          <cell r="B3426"/>
          <cell r="C3426"/>
          <cell r="D3426"/>
          <cell r="E3426"/>
          <cell r="F3426"/>
          <cell r="G3426">
            <v>3.9300000000000002E-2</v>
          </cell>
          <cell r="H3426"/>
          <cell r="I3426"/>
          <cell r="J3426"/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>
            <v>2E-3</v>
          </cell>
        </row>
        <row r="3427">
          <cell r="A3427" t="str">
            <v>51939-383LF</v>
          </cell>
          <cell r="B3427"/>
          <cell r="C3427"/>
          <cell r="D3427"/>
          <cell r="E3427"/>
          <cell r="F3427"/>
          <cell r="G3427">
            <v>1.9E-2</v>
          </cell>
          <cell r="H3427"/>
          <cell r="I3427"/>
          <cell r="J3427"/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>
            <v>1.9E-3</v>
          </cell>
        </row>
        <row r="3428">
          <cell r="A3428" t="str">
            <v>51939-384LF</v>
          </cell>
          <cell r="B3428"/>
          <cell r="C3428"/>
          <cell r="D3428"/>
          <cell r="E3428"/>
          <cell r="F3428"/>
          <cell r="G3428">
            <v>3.5499999999999997E-2</v>
          </cell>
          <cell r="H3428"/>
          <cell r="I3428"/>
          <cell r="J3428"/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>
            <v>1.9E-3</v>
          </cell>
        </row>
        <row r="3429">
          <cell r="A3429" t="str">
            <v>51939-386LF</v>
          </cell>
          <cell r="B3429"/>
          <cell r="C3429"/>
          <cell r="D3429"/>
          <cell r="E3429"/>
          <cell r="F3429"/>
          <cell r="G3429">
            <v>3.9E-2</v>
          </cell>
          <cell r="H3429"/>
          <cell r="I3429"/>
          <cell r="J3429"/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>
            <v>2E-3</v>
          </cell>
        </row>
        <row r="3430">
          <cell r="A3430" t="str">
            <v>51939-387LF</v>
          </cell>
          <cell r="B3430"/>
          <cell r="C3430"/>
          <cell r="D3430"/>
          <cell r="E3430"/>
          <cell r="F3430"/>
          <cell r="G3430">
            <v>3.73E-2</v>
          </cell>
          <cell r="H3430"/>
          <cell r="I3430"/>
          <cell r="J3430"/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>
            <v>1.9E-3</v>
          </cell>
        </row>
        <row r="3431">
          <cell r="A3431" t="str">
            <v>51939-389LF</v>
          </cell>
          <cell r="B3431"/>
          <cell r="C3431"/>
          <cell r="D3431"/>
          <cell r="E3431"/>
          <cell r="F3431"/>
          <cell r="G3431">
            <v>1.700424E-2</v>
          </cell>
          <cell r="H3431"/>
          <cell r="I3431"/>
          <cell r="J3431"/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>
            <v>0</v>
          </cell>
        </row>
        <row r="3432">
          <cell r="A3432" t="str">
            <v>51939-392LF</v>
          </cell>
          <cell r="B3432"/>
          <cell r="C3432"/>
          <cell r="D3432"/>
          <cell r="E3432"/>
          <cell r="F3432"/>
          <cell r="G3432">
            <v>3.4000000000000002E-2</v>
          </cell>
          <cell r="H3432"/>
          <cell r="I3432"/>
          <cell r="J3432"/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>
            <v>2E-3</v>
          </cell>
        </row>
        <row r="3433">
          <cell r="A3433" t="str">
            <v>51939-393LF</v>
          </cell>
          <cell r="B3433"/>
          <cell r="C3433"/>
          <cell r="D3433"/>
          <cell r="E3433"/>
          <cell r="F3433"/>
          <cell r="G3433">
            <v>3.9E-2</v>
          </cell>
          <cell r="H3433"/>
          <cell r="I3433"/>
          <cell r="J3433"/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>
            <v>2E-3</v>
          </cell>
        </row>
        <row r="3434">
          <cell r="A3434" t="str">
            <v>51939-394LF</v>
          </cell>
          <cell r="B3434"/>
          <cell r="C3434"/>
          <cell r="D3434"/>
          <cell r="E3434"/>
          <cell r="F3434"/>
          <cell r="G3434">
            <v>6.0999999999999999E-2</v>
          </cell>
          <cell r="H3434"/>
          <cell r="I3434"/>
          <cell r="J3434"/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>
            <v>4.0000000000000001E-3</v>
          </cell>
        </row>
        <row r="3435">
          <cell r="A3435" t="str">
            <v>51939-395LF</v>
          </cell>
          <cell r="B3435"/>
          <cell r="C3435"/>
          <cell r="D3435"/>
          <cell r="E3435"/>
          <cell r="F3435"/>
          <cell r="G3435">
            <v>2.4E-2</v>
          </cell>
          <cell r="H3435"/>
          <cell r="I3435"/>
          <cell r="J3435"/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>
            <v>6.1000000000000004E-3</v>
          </cell>
        </row>
        <row r="3436">
          <cell r="A3436" t="str">
            <v>51939-397LF</v>
          </cell>
          <cell r="B3436"/>
          <cell r="C3436"/>
          <cell r="D3436"/>
          <cell r="E3436"/>
          <cell r="F3436"/>
          <cell r="G3436">
            <v>2.1760000000000002E-2</v>
          </cell>
          <cell r="H3436"/>
          <cell r="I3436"/>
          <cell r="J3436"/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>
            <v>1.9E-3</v>
          </cell>
        </row>
        <row r="3437">
          <cell r="A3437" t="str">
            <v>51939-399LF</v>
          </cell>
          <cell r="B3437"/>
          <cell r="C3437"/>
          <cell r="D3437"/>
          <cell r="E3437"/>
          <cell r="F3437"/>
          <cell r="G3437">
            <v>1.8700000000000001E-2</v>
          </cell>
          <cell r="H3437"/>
          <cell r="I3437"/>
          <cell r="J3437"/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>
            <v>6.1000000000000004E-3</v>
          </cell>
        </row>
        <row r="3438">
          <cell r="A3438" t="str">
            <v>51939-400LF</v>
          </cell>
          <cell r="B3438"/>
          <cell r="C3438"/>
          <cell r="D3438"/>
          <cell r="E3438"/>
          <cell r="F3438"/>
          <cell r="G3438">
            <v>2.0500000000000001E-2</v>
          </cell>
          <cell r="H3438"/>
          <cell r="I3438"/>
          <cell r="J3438"/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>
            <v>2E-3</v>
          </cell>
        </row>
        <row r="3439">
          <cell r="A3439" t="str">
            <v>51939-401LF</v>
          </cell>
          <cell r="B3439"/>
          <cell r="C3439"/>
          <cell r="D3439"/>
          <cell r="E3439"/>
          <cell r="F3439"/>
          <cell r="G3439">
            <v>2.9899999999999999E-2</v>
          </cell>
          <cell r="H3439"/>
          <cell r="I3439"/>
          <cell r="J3439"/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>
            <v>1.9E-3</v>
          </cell>
        </row>
        <row r="3440">
          <cell r="A3440" t="str">
            <v>51939-402LF</v>
          </cell>
          <cell r="B3440"/>
          <cell r="C3440"/>
          <cell r="D3440"/>
          <cell r="E3440"/>
          <cell r="F3440"/>
          <cell r="G3440">
            <v>2.9899999999999999E-2</v>
          </cell>
          <cell r="H3440"/>
          <cell r="I3440"/>
          <cell r="J3440"/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>
            <v>1.9E-3</v>
          </cell>
        </row>
        <row r="3441">
          <cell r="A3441" t="str">
            <v>51939-404LF</v>
          </cell>
          <cell r="B3441"/>
          <cell r="C3441"/>
          <cell r="D3441"/>
          <cell r="E3441"/>
          <cell r="F3441"/>
          <cell r="G3441">
            <v>4.2999999999999997E-2</v>
          </cell>
          <cell r="H3441"/>
          <cell r="I3441"/>
          <cell r="J3441"/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>
            <v>1.9E-3</v>
          </cell>
        </row>
        <row r="3442">
          <cell r="A3442" t="str">
            <v>51939-405LF</v>
          </cell>
          <cell r="B3442"/>
          <cell r="C3442"/>
          <cell r="D3442"/>
          <cell r="E3442"/>
          <cell r="F3442"/>
          <cell r="G3442">
            <v>3.6499999999999998E-2</v>
          </cell>
          <cell r="H3442"/>
          <cell r="I3442"/>
          <cell r="J3442"/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>
            <v>1.9E-3</v>
          </cell>
        </row>
        <row r="3443">
          <cell r="A3443" t="str">
            <v>51939-406LF</v>
          </cell>
          <cell r="B3443"/>
          <cell r="C3443"/>
          <cell r="D3443"/>
          <cell r="E3443"/>
          <cell r="F3443"/>
          <cell r="G3443">
            <v>2.8000000000000001E-2</v>
          </cell>
          <cell r="H3443"/>
          <cell r="I3443"/>
          <cell r="J3443"/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>
            <v>2E-3</v>
          </cell>
        </row>
        <row r="3444">
          <cell r="A3444" t="str">
            <v>51939-409LF</v>
          </cell>
          <cell r="B3444"/>
          <cell r="C3444"/>
          <cell r="D3444"/>
          <cell r="E3444"/>
          <cell r="F3444"/>
          <cell r="G3444">
            <v>2.6200000000000001E-2</v>
          </cell>
          <cell r="H3444"/>
          <cell r="I3444"/>
          <cell r="J3444"/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>
            <v>1.9E-3</v>
          </cell>
        </row>
        <row r="3445">
          <cell r="A3445" t="str">
            <v>51939-410LF</v>
          </cell>
          <cell r="B3445"/>
          <cell r="C3445"/>
          <cell r="D3445"/>
          <cell r="E3445"/>
          <cell r="F3445"/>
          <cell r="G3445">
            <v>2.6200000000000001E-2</v>
          </cell>
          <cell r="H3445"/>
          <cell r="I3445"/>
          <cell r="J3445"/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>
            <v>1.9E-3</v>
          </cell>
        </row>
        <row r="3446">
          <cell r="A3446" t="str">
            <v>51939-411LF</v>
          </cell>
          <cell r="B3446"/>
          <cell r="C3446"/>
          <cell r="D3446"/>
          <cell r="E3446"/>
          <cell r="F3446"/>
          <cell r="G3446">
            <v>3.5999999999999997E-2</v>
          </cell>
          <cell r="H3446"/>
          <cell r="I3446"/>
          <cell r="J3446"/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>
            <v>2E-3</v>
          </cell>
        </row>
        <row r="3447">
          <cell r="A3447" t="str">
            <v>51939-415LF</v>
          </cell>
          <cell r="B3447"/>
          <cell r="C3447"/>
          <cell r="D3447"/>
          <cell r="E3447"/>
          <cell r="F3447"/>
          <cell r="G3447">
            <v>3.1800000000000002E-2</v>
          </cell>
          <cell r="H3447"/>
          <cell r="I3447"/>
          <cell r="J3447"/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>
            <v>1.9E-3</v>
          </cell>
        </row>
        <row r="3448">
          <cell r="A3448" t="str">
            <v>51939-416LF</v>
          </cell>
          <cell r="B3448"/>
          <cell r="C3448"/>
          <cell r="D3448"/>
          <cell r="E3448"/>
          <cell r="F3448"/>
          <cell r="G3448">
            <v>1.7000000000000001E-2</v>
          </cell>
          <cell r="H3448"/>
          <cell r="I3448"/>
          <cell r="J3448"/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>
            <v>6.1000000000000004E-3</v>
          </cell>
        </row>
        <row r="3449">
          <cell r="A3449" t="str">
            <v>51939-419LF</v>
          </cell>
          <cell r="B3449"/>
          <cell r="C3449"/>
          <cell r="D3449"/>
          <cell r="E3449"/>
          <cell r="F3449"/>
          <cell r="G3449">
            <v>2.9000000000000001E-2</v>
          </cell>
          <cell r="H3449"/>
          <cell r="I3449"/>
          <cell r="J3449"/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>
            <v>1.9E-3</v>
          </cell>
        </row>
        <row r="3450">
          <cell r="A3450" t="str">
            <v>51939-420LF</v>
          </cell>
          <cell r="B3450"/>
          <cell r="C3450"/>
          <cell r="D3450"/>
          <cell r="E3450"/>
          <cell r="F3450"/>
          <cell r="G3450">
            <v>3.9E-2</v>
          </cell>
          <cell r="H3450"/>
          <cell r="I3450"/>
          <cell r="J3450"/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>
            <v>2E-3</v>
          </cell>
        </row>
        <row r="3451">
          <cell r="A3451" t="str">
            <v>51939-423LF</v>
          </cell>
          <cell r="B3451"/>
          <cell r="C3451"/>
          <cell r="D3451"/>
          <cell r="E3451"/>
          <cell r="F3451"/>
          <cell r="G3451">
            <v>2.7E-2</v>
          </cell>
          <cell r="H3451"/>
          <cell r="I3451"/>
          <cell r="J3451"/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>
            <v>2E-3</v>
          </cell>
        </row>
        <row r="3452">
          <cell r="A3452" t="str">
            <v>51939-424LF</v>
          </cell>
          <cell r="B3452"/>
          <cell r="C3452"/>
          <cell r="D3452"/>
          <cell r="E3452"/>
          <cell r="F3452"/>
          <cell r="G3452">
            <v>2.9000000000000001E-2</v>
          </cell>
          <cell r="H3452"/>
          <cell r="I3452"/>
          <cell r="J3452"/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>
            <v>2E-3</v>
          </cell>
        </row>
        <row r="3453">
          <cell r="A3453" t="str">
            <v>51939-425LF</v>
          </cell>
          <cell r="B3453"/>
          <cell r="C3453"/>
          <cell r="D3453"/>
          <cell r="E3453"/>
          <cell r="F3453"/>
          <cell r="G3453">
            <v>2.8500000000000001E-2</v>
          </cell>
          <cell r="H3453"/>
          <cell r="I3453"/>
          <cell r="J3453"/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>
            <v>2E-3</v>
          </cell>
        </row>
        <row r="3454">
          <cell r="A3454" t="str">
            <v>51939-427LF</v>
          </cell>
          <cell r="B3454"/>
          <cell r="C3454"/>
          <cell r="D3454"/>
          <cell r="E3454"/>
          <cell r="F3454"/>
          <cell r="G3454">
            <v>5.04E-2</v>
          </cell>
          <cell r="H3454"/>
          <cell r="I3454"/>
          <cell r="J3454"/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>
            <v>6.1000000000000004E-3</v>
          </cell>
        </row>
        <row r="3455">
          <cell r="A3455" t="str">
            <v>51939-428LF</v>
          </cell>
          <cell r="B3455"/>
          <cell r="C3455"/>
          <cell r="D3455"/>
          <cell r="E3455"/>
          <cell r="F3455"/>
          <cell r="G3455">
            <v>3.9E-2</v>
          </cell>
          <cell r="H3455"/>
          <cell r="I3455"/>
          <cell r="J3455"/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>
            <v>2E-3</v>
          </cell>
        </row>
        <row r="3456">
          <cell r="A3456" t="str">
            <v>51939-429LF</v>
          </cell>
          <cell r="B3456"/>
          <cell r="C3456"/>
          <cell r="D3456"/>
          <cell r="E3456"/>
          <cell r="F3456"/>
          <cell r="G3456">
            <v>3.2399999999999998E-2</v>
          </cell>
          <cell r="H3456"/>
          <cell r="I3456"/>
          <cell r="J3456"/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>
            <v>2E-3</v>
          </cell>
        </row>
        <row r="3457">
          <cell r="A3457" t="str">
            <v>51939-430LF</v>
          </cell>
          <cell r="B3457"/>
          <cell r="C3457"/>
          <cell r="D3457"/>
          <cell r="E3457"/>
          <cell r="F3457"/>
          <cell r="G3457">
            <v>3.6999999999999998E-2</v>
          </cell>
          <cell r="H3457"/>
          <cell r="I3457"/>
          <cell r="J3457"/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>
            <v>2E-3</v>
          </cell>
        </row>
        <row r="3458">
          <cell r="A3458" t="str">
            <v>51939-431LF</v>
          </cell>
          <cell r="B3458"/>
          <cell r="C3458"/>
          <cell r="D3458"/>
          <cell r="E3458"/>
          <cell r="F3458"/>
          <cell r="G3458">
            <v>3.1099999999999999E-2</v>
          </cell>
          <cell r="H3458"/>
          <cell r="I3458"/>
          <cell r="J3458"/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>
            <v>2E-3</v>
          </cell>
        </row>
        <row r="3459">
          <cell r="A3459" t="str">
            <v>51939-432LF</v>
          </cell>
          <cell r="B3459"/>
          <cell r="C3459"/>
          <cell r="D3459"/>
          <cell r="E3459"/>
          <cell r="F3459"/>
          <cell r="G3459">
            <v>2.8000000000000001E-2</v>
          </cell>
          <cell r="H3459"/>
          <cell r="I3459"/>
          <cell r="J3459"/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>
            <v>2E-3</v>
          </cell>
        </row>
        <row r="3460">
          <cell r="A3460" t="str">
            <v>51939-433LF</v>
          </cell>
          <cell r="B3460"/>
          <cell r="C3460"/>
          <cell r="D3460"/>
          <cell r="E3460"/>
          <cell r="F3460"/>
          <cell r="G3460">
            <v>5.74E-2</v>
          </cell>
          <cell r="H3460"/>
          <cell r="I3460"/>
          <cell r="J3460"/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>
            <v>2E-3</v>
          </cell>
        </row>
        <row r="3461">
          <cell r="A3461" t="str">
            <v>51939-437LF</v>
          </cell>
          <cell r="B3461"/>
          <cell r="C3461"/>
          <cell r="D3461"/>
          <cell r="E3461"/>
          <cell r="F3461"/>
          <cell r="G3461">
            <v>2.1999999999999999E-2</v>
          </cell>
          <cell r="H3461"/>
          <cell r="I3461"/>
          <cell r="J3461"/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>
            <v>2E-3</v>
          </cell>
        </row>
        <row r="3462">
          <cell r="A3462" t="str">
            <v>51939-438LF</v>
          </cell>
          <cell r="B3462"/>
          <cell r="C3462"/>
          <cell r="D3462"/>
          <cell r="E3462"/>
          <cell r="F3462"/>
          <cell r="G3462">
            <v>4.2999999999999997E-2</v>
          </cell>
          <cell r="H3462"/>
          <cell r="I3462"/>
          <cell r="J3462"/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>
            <v>1.9E-3</v>
          </cell>
        </row>
        <row r="3463">
          <cell r="A3463" t="str">
            <v>51939-439LF</v>
          </cell>
          <cell r="B3463"/>
          <cell r="C3463"/>
          <cell r="D3463"/>
          <cell r="E3463"/>
          <cell r="F3463"/>
          <cell r="G3463">
            <v>3.5999999999999997E-2</v>
          </cell>
          <cell r="H3463"/>
          <cell r="I3463"/>
          <cell r="J3463"/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>
            <v>2E-3</v>
          </cell>
        </row>
        <row r="3464">
          <cell r="A3464" t="str">
            <v>51939-440LF</v>
          </cell>
          <cell r="B3464"/>
          <cell r="C3464"/>
          <cell r="D3464"/>
          <cell r="E3464"/>
          <cell r="F3464"/>
          <cell r="G3464">
            <v>3.6999999999999998E-2</v>
          </cell>
          <cell r="H3464"/>
          <cell r="I3464"/>
          <cell r="J3464"/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>
            <v>2E-3</v>
          </cell>
        </row>
        <row r="3465">
          <cell r="A3465" t="str">
            <v>51939-441LF</v>
          </cell>
          <cell r="B3465"/>
          <cell r="C3465"/>
          <cell r="D3465"/>
          <cell r="E3465"/>
          <cell r="F3465"/>
          <cell r="G3465">
            <v>2.5999999999999999E-2</v>
          </cell>
          <cell r="H3465"/>
          <cell r="I3465"/>
          <cell r="J3465"/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>
            <v>6.1000000000000004E-3</v>
          </cell>
        </row>
        <row r="3466">
          <cell r="A3466" t="str">
            <v>51939-443LF</v>
          </cell>
          <cell r="B3466"/>
          <cell r="C3466"/>
          <cell r="D3466"/>
          <cell r="E3466"/>
          <cell r="F3466"/>
          <cell r="G3466">
            <v>2.01E-2</v>
          </cell>
          <cell r="H3466"/>
          <cell r="I3466"/>
          <cell r="J3466"/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>
            <v>2E-3</v>
          </cell>
        </row>
        <row r="3467">
          <cell r="A3467" t="str">
            <v>51939-444LF</v>
          </cell>
          <cell r="B3467"/>
          <cell r="C3467"/>
          <cell r="D3467"/>
          <cell r="E3467"/>
          <cell r="F3467"/>
          <cell r="G3467">
            <v>1.8700000000000001E-2</v>
          </cell>
          <cell r="H3467"/>
          <cell r="I3467"/>
          <cell r="J3467"/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>
            <v>2E-3</v>
          </cell>
        </row>
        <row r="3468">
          <cell r="A3468" t="str">
            <v>51939-448LF</v>
          </cell>
          <cell r="B3468"/>
          <cell r="C3468"/>
          <cell r="D3468"/>
          <cell r="E3468"/>
          <cell r="F3468"/>
          <cell r="G3468">
            <v>3.4000000000000002E-2</v>
          </cell>
          <cell r="H3468"/>
          <cell r="I3468"/>
          <cell r="J3468"/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>
            <v>2E-3</v>
          </cell>
        </row>
        <row r="3469">
          <cell r="A3469" t="str">
            <v>51939-451LF</v>
          </cell>
          <cell r="B3469"/>
          <cell r="C3469"/>
          <cell r="D3469"/>
          <cell r="E3469"/>
          <cell r="F3469"/>
          <cell r="G3469">
            <v>2.9000000000000001E-2</v>
          </cell>
          <cell r="H3469"/>
          <cell r="I3469"/>
          <cell r="J3469"/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>
            <v>2E-3</v>
          </cell>
        </row>
        <row r="3470">
          <cell r="A3470" t="str">
            <v>51939-453LF</v>
          </cell>
          <cell r="B3470"/>
          <cell r="C3470"/>
          <cell r="D3470"/>
          <cell r="E3470"/>
          <cell r="F3470"/>
          <cell r="G3470">
            <v>2.87E-2</v>
          </cell>
          <cell r="H3470"/>
          <cell r="I3470"/>
          <cell r="J3470"/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>
            <v>2E-3</v>
          </cell>
        </row>
        <row r="3471">
          <cell r="A3471" t="str">
            <v>51939-455LF</v>
          </cell>
          <cell r="B3471"/>
          <cell r="C3471"/>
          <cell r="D3471"/>
          <cell r="E3471"/>
          <cell r="F3471"/>
          <cell r="G3471">
            <v>4.1300000000000003E-2</v>
          </cell>
          <cell r="H3471"/>
          <cell r="I3471"/>
          <cell r="J3471"/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>
            <v>2E-3</v>
          </cell>
        </row>
        <row r="3472">
          <cell r="A3472" t="str">
            <v>51939-456LF</v>
          </cell>
          <cell r="B3472"/>
          <cell r="C3472"/>
          <cell r="D3472"/>
          <cell r="E3472"/>
          <cell r="F3472"/>
          <cell r="G3472">
            <v>2.7199999999999998E-2</v>
          </cell>
          <cell r="H3472"/>
          <cell r="I3472"/>
          <cell r="J3472"/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>
            <v>2E-3</v>
          </cell>
        </row>
        <row r="3473">
          <cell r="A3473" t="str">
            <v>51939-458LF</v>
          </cell>
          <cell r="B3473"/>
          <cell r="C3473"/>
          <cell r="D3473"/>
          <cell r="E3473"/>
          <cell r="F3473"/>
          <cell r="G3473">
            <v>3.6999999999999998E-2</v>
          </cell>
          <cell r="H3473"/>
          <cell r="I3473"/>
          <cell r="J3473"/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>
            <v>2E-3</v>
          </cell>
        </row>
        <row r="3474">
          <cell r="A3474" t="str">
            <v>51939-459LF</v>
          </cell>
          <cell r="B3474"/>
          <cell r="C3474"/>
          <cell r="D3474"/>
          <cell r="E3474"/>
          <cell r="F3474"/>
          <cell r="G3474">
            <v>1.7999999999999999E-2</v>
          </cell>
          <cell r="H3474"/>
          <cell r="I3474"/>
          <cell r="J3474"/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>
            <v>6.1000000000000004E-3</v>
          </cell>
        </row>
        <row r="3475">
          <cell r="A3475" t="str">
            <v>51939-460LF</v>
          </cell>
          <cell r="B3475"/>
          <cell r="C3475"/>
          <cell r="D3475"/>
          <cell r="E3475"/>
          <cell r="F3475"/>
          <cell r="G3475">
            <v>2.1000000000000001E-2</v>
          </cell>
          <cell r="H3475"/>
          <cell r="I3475"/>
          <cell r="J3475"/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>
            <v>2E-3</v>
          </cell>
        </row>
        <row r="3476">
          <cell r="A3476" t="str">
            <v>51939-461LF</v>
          </cell>
          <cell r="B3476"/>
          <cell r="C3476"/>
          <cell r="D3476"/>
          <cell r="E3476"/>
          <cell r="F3476"/>
          <cell r="G3476">
            <v>3.6999999999999998E-2</v>
          </cell>
          <cell r="H3476"/>
          <cell r="I3476"/>
          <cell r="J3476"/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>
            <v>2E-3</v>
          </cell>
        </row>
        <row r="3477">
          <cell r="A3477" t="str">
            <v>51939-465LF</v>
          </cell>
          <cell r="B3477"/>
          <cell r="C3477"/>
          <cell r="D3477"/>
          <cell r="E3477"/>
          <cell r="F3477"/>
          <cell r="G3477">
            <v>3.9E-2</v>
          </cell>
          <cell r="H3477"/>
          <cell r="I3477"/>
          <cell r="J3477"/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>
            <v>2E-3</v>
          </cell>
        </row>
        <row r="3478">
          <cell r="A3478" t="str">
            <v>51939-467LF</v>
          </cell>
          <cell r="B3478"/>
          <cell r="C3478"/>
          <cell r="D3478"/>
          <cell r="E3478"/>
          <cell r="F3478"/>
          <cell r="G3478">
            <v>3.2000000000000001E-2</v>
          </cell>
          <cell r="H3478"/>
          <cell r="I3478"/>
          <cell r="J3478"/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>
            <v>2E-3</v>
          </cell>
        </row>
        <row r="3479">
          <cell r="A3479" t="str">
            <v>51939-468LF</v>
          </cell>
          <cell r="B3479"/>
          <cell r="C3479"/>
          <cell r="D3479"/>
          <cell r="E3479"/>
          <cell r="F3479"/>
          <cell r="G3479">
            <v>3.4000000000000002E-2</v>
          </cell>
          <cell r="H3479"/>
          <cell r="I3479"/>
          <cell r="J3479"/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>
            <v>2E-3</v>
          </cell>
        </row>
        <row r="3480">
          <cell r="A3480" t="str">
            <v>51939-469LF</v>
          </cell>
          <cell r="B3480"/>
          <cell r="C3480"/>
          <cell r="D3480"/>
          <cell r="E3480"/>
          <cell r="F3480"/>
          <cell r="G3480">
            <v>1.84E-2</v>
          </cell>
          <cell r="H3480"/>
          <cell r="I3480"/>
          <cell r="J3480"/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>
            <v>2E-3</v>
          </cell>
        </row>
        <row r="3481">
          <cell r="A3481" t="str">
            <v>51939-470LF</v>
          </cell>
          <cell r="B3481"/>
          <cell r="C3481"/>
          <cell r="D3481"/>
          <cell r="E3481"/>
          <cell r="F3481"/>
          <cell r="G3481">
            <v>2.1000000000000001E-2</v>
          </cell>
          <cell r="H3481"/>
          <cell r="I3481"/>
          <cell r="J3481"/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>
            <v>2E-3</v>
          </cell>
        </row>
        <row r="3482">
          <cell r="A3482" t="str">
            <v>51939-472LF</v>
          </cell>
          <cell r="B3482"/>
          <cell r="C3482"/>
          <cell r="D3482"/>
          <cell r="E3482"/>
          <cell r="F3482"/>
          <cell r="G3482">
            <v>4.9425837E-2</v>
          </cell>
          <cell r="H3482"/>
          <cell r="I3482"/>
          <cell r="J3482"/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>
            <v>2E-3</v>
          </cell>
        </row>
        <row r="3483">
          <cell r="A3483" t="str">
            <v>51939-473LF</v>
          </cell>
          <cell r="B3483"/>
          <cell r="C3483"/>
          <cell r="D3483"/>
          <cell r="E3483"/>
          <cell r="F3483"/>
          <cell r="G3483">
            <v>3.9E-2</v>
          </cell>
          <cell r="H3483"/>
          <cell r="I3483"/>
          <cell r="J3483"/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>
            <v>2E-3</v>
          </cell>
        </row>
        <row r="3484">
          <cell r="A3484" t="str">
            <v>51939-474LF</v>
          </cell>
          <cell r="B3484"/>
          <cell r="C3484"/>
          <cell r="D3484"/>
          <cell r="E3484"/>
          <cell r="F3484"/>
          <cell r="G3484">
            <v>3.4000000000000002E-2</v>
          </cell>
          <cell r="H3484"/>
          <cell r="I3484"/>
          <cell r="J3484"/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>
            <v>2E-3</v>
          </cell>
        </row>
        <row r="3485">
          <cell r="A3485" t="str">
            <v>51939-475LF</v>
          </cell>
          <cell r="B3485"/>
          <cell r="C3485"/>
          <cell r="D3485"/>
          <cell r="E3485"/>
          <cell r="F3485"/>
          <cell r="G3485">
            <v>1.7000000000000001E-2</v>
          </cell>
          <cell r="H3485"/>
          <cell r="I3485"/>
          <cell r="J3485"/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>
            <v>6.1000000000000004E-3</v>
          </cell>
        </row>
        <row r="3486">
          <cell r="A3486" t="str">
            <v>51939-476LF</v>
          </cell>
          <cell r="B3486"/>
          <cell r="C3486"/>
          <cell r="D3486"/>
          <cell r="E3486"/>
          <cell r="F3486"/>
          <cell r="G3486">
            <v>1.375E-2</v>
          </cell>
          <cell r="H3486"/>
          <cell r="I3486"/>
          <cell r="J3486"/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>
            <v>2E-3</v>
          </cell>
        </row>
        <row r="3487">
          <cell r="A3487" t="str">
            <v>51939-481LF</v>
          </cell>
          <cell r="B3487"/>
          <cell r="C3487"/>
          <cell r="D3487"/>
          <cell r="E3487"/>
          <cell r="F3487"/>
          <cell r="G3487">
            <v>2.9000000000000001E-2</v>
          </cell>
          <cell r="H3487"/>
          <cell r="I3487"/>
          <cell r="J3487"/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>
            <v>2E-3</v>
          </cell>
        </row>
        <row r="3488">
          <cell r="A3488" t="str">
            <v>51939-482LF</v>
          </cell>
          <cell r="B3488"/>
          <cell r="C3488"/>
          <cell r="D3488"/>
          <cell r="E3488"/>
          <cell r="F3488"/>
          <cell r="G3488">
            <v>1.9157561E-2</v>
          </cell>
          <cell r="H3488"/>
          <cell r="I3488"/>
          <cell r="J3488"/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>
            <v>2E-3</v>
          </cell>
        </row>
        <row r="3489">
          <cell r="A3489" t="str">
            <v>51939-483LF</v>
          </cell>
          <cell r="B3489"/>
          <cell r="C3489"/>
          <cell r="D3489"/>
          <cell r="E3489"/>
          <cell r="F3489"/>
          <cell r="G3489">
            <v>2.2280688E-2</v>
          </cell>
          <cell r="H3489"/>
          <cell r="I3489"/>
          <cell r="J3489"/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>
            <v>2E-3</v>
          </cell>
        </row>
        <row r="3490">
          <cell r="A3490" t="str">
            <v>51939-486LF</v>
          </cell>
          <cell r="B3490"/>
          <cell r="C3490"/>
          <cell r="D3490"/>
          <cell r="E3490"/>
          <cell r="F3490"/>
          <cell r="G3490">
            <v>4.1940502999999997E-2</v>
          </cell>
          <cell r="H3490"/>
          <cell r="I3490"/>
          <cell r="J3490"/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>
            <v>2E-3</v>
          </cell>
        </row>
        <row r="3491">
          <cell r="A3491" t="str">
            <v>51939-490LF</v>
          </cell>
          <cell r="B3491"/>
          <cell r="C3491"/>
          <cell r="D3491"/>
          <cell r="E3491"/>
          <cell r="F3491"/>
          <cell r="G3491">
            <v>6.5000000000000002E-2</v>
          </cell>
          <cell r="H3491"/>
          <cell r="I3491"/>
          <cell r="J3491"/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>
            <v>4.0000000000000001E-3</v>
          </cell>
        </row>
        <row r="3492">
          <cell r="A3492" t="str">
            <v>51939-491LF</v>
          </cell>
          <cell r="B3492"/>
          <cell r="C3492"/>
          <cell r="D3492"/>
          <cell r="E3492"/>
          <cell r="F3492"/>
          <cell r="G3492">
            <v>2.5556311000000002E-2</v>
          </cell>
          <cell r="H3492"/>
          <cell r="I3492"/>
          <cell r="J3492"/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>
            <v>2E-3</v>
          </cell>
        </row>
        <row r="3493">
          <cell r="A3493" t="str">
            <v>51939-493LF</v>
          </cell>
          <cell r="B3493"/>
          <cell r="C3493"/>
          <cell r="D3493"/>
          <cell r="E3493"/>
          <cell r="F3493"/>
          <cell r="G3493">
            <v>2.3E-2</v>
          </cell>
          <cell r="H3493"/>
          <cell r="I3493"/>
          <cell r="J3493"/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>
            <v>6.1000000000000004E-3</v>
          </cell>
        </row>
        <row r="3494">
          <cell r="A3494" t="str">
            <v>51939-495LF</v>
          </cell>
          <cell r="B3494"/>
          <cell r="C3494"/>
          <cell r="D3494"/>
          <cell r="E3494"/>
          <cell r="F3494"/>
          <cell r="G3494">
            <v>3.5999999999999997E-2</v>
          </cell>
          <cell r="H3494"/>
          <cell r="I3494"/>
          <cell r="J3494"/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>
            <v>2E-3</v>
          </cell>
        </row>
        <row r="3495">
          <cell r="A3495" t="str">
            <v>51939-496LF</v>
          </cell>
          <cell r="B3495"/>
          <cell r="C3495"/>
          <cell r="D3495"/>
          <cell r="E3495"/>
          <cell r="F3495"/>
          <cell r="G3495">
            <v>3.1E-2</v>
          </cell>
          <cell r="H3495"/>
          <cell r="I3495"/>
          <cell r="J3495"/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>
            <v>2E-3</v>
          </cell>
        </row>
        <row r="3496">
          <cell r="A3496" t="str">
            <v>51939-500LF</v>
          </cell>
          <cell r="B3496"/>
          <cell r="C3496"/>
          <cell r="D3496"/>
          <cell r="E3496"/>
          <cell r="F3496"/>
          <cell r="G3496">
            <v>3.9699999999999999E-2</v>
          </cell>
          <cell r="H3496"/>
          <cell r="I3496"/>
          <cell r="J3496"/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>
            <v>2E-3</v>
          </cell>
        </row>
        <row r="3497">
          <cell r="A3497" t="str">
            <v>51939-501LF</v>
          </cell>
          <cell r="B3497"/>
          <cell r="C3497"/>
          <cell r="D3497"/>
          <cell r="E3497"/>
          <cell r="F3497"/>
          <cell r="G3497">
            <v>3.5000000000000003E-2</v>
          </cell>
          <cell r="H3497"/>
          <cell r="I3497"/>
          <cell r="J3497"/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>
            <v>2E-3</v>
          </cell>
        </row>
        <row r="3498">
          <cell r="A3498" t="str">
            <v>51939-502LF</v>
          </cell>
          <cell r="B3498"/>
          <cell r="C3498"/>
          <cell r="D3498"/>
          <cell r="E3498"/>
          <cell r="F3498"/>
          <cell r="G3498">
            <v>3.2000000000000001E-2</v>
          </cell>
          <cell r="H3498"/>
          <cell r="I3498"/>
          <cell r="J3498"/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>
            <v>2E-3</v>
          </cell>
        </row>
        <row r="3499">
          <cell r="A3499" t="str">
            <v>51939-504LF</v>
          </cell>
          <cell r="B3499"/>
          <cell r="C3499"/>
          <cell r="D3499"/>
          <cell r="E3499"/>
          <cell r="F3499"/>
          <cell r="G3499">
            <v>3.6999999999999998E-2</v>
          </cell>
          <cell r="H3499"/>
          <cell r="I3499"/>
          <cell r="J3499"/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>
            <v>2E-3</v>
          </cell>
        </row>
        <row r="3500">
          <cell r="A3500" t="str">
            <v>51939-505LF</v>
          </cell>
          <cell r="B3500"/>
          <cell r="C3500"/>
          <cell r="D3500"/>
          <cell r="E3500"/>
          <cell r="F3500"/>
          <cell r="G3500">
            <v>3.9E-2</v>
          </cell>
          <cell r="H3500"/>
          <cell r="I3500"/>
          <cell r="J3500"/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>
            <v>2E-3</v>
          </cell>
        </row>
        <row r="3501">
          <cell r="A3501" t="str">
            <v>51939-506LF</v>
          </cell>
          <cell r="B3501"/>
          <cell r="C3501"/>
          <cell r="D3501"/>
          <cell r="E3501"/>
          <cell r="F3501"/>
          <cell r="G3501">
            <v>2.1000000000000001E-2</v>
          </cell>
          <cell r="H3501"/>
          <cell r="I3501"/>
          <cell r="J3501"/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>
            <v>2E-3</v>
          </cell>
        </row>
        <row r="3502">
          <cell r="A3502" t="str">
            <v>51939-507LF</v>
          </cell>
          <cell r="B3502"/>
          <cell r="C3502"/>
          <cell r="D3502"/>
          <cell r="E3502"/>
          <cell r="F3502"/>
          <cell r="G3502">
            <v>2.9000000000000001E-2</v>
          </cell>
          <cell r="H3502"/>
          <cell r="I3502"/>
          <cell r="J3502"/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>
            <v>2E-3</v>
          </cell>
        </row>
        <row r="3503">
          <cell r="A3503" t="str">
            <v>51939-508LF</v>
          </cell>
          <cell r="B3503"/>
          <cell r="C3503"/>
          <cell r="D3503"/>
          <cell r="E3503"/>
          <cell r="F3503"/>
          <cell r="G3503">
            <v>2.9000000000000001E-2</v>
          </cell>
          <cell r="H3503"/>
          <cell r="I3503"/>
          <cell r="J3503"/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>
            <v>2E-3</v>
          </cell>
        </row>
        <row r="3504">
          <cell r="A3504" t="str">
            <v>51939-511LF</v>
          </cell>
          <cell r="B3504"/>
          <cell r="C3504"/>
          <cell r="D3504"/>
          <cell r="E3504"/>
          <cell r="F3504"/>
          <cell r="G3504">
            <v>3.2000000000000001E-2</v>
          </cell>
          <cell r="H3504"/>
          <cell r="I3504"/>
          <cell r="J3504"/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>
            <v>2E-3</v>
          </cell>
        </row>
        <row r="3505">
          <cell r="A3505" t="str">
            <v>51939-512LF</v>
          </cell>
          <cell r="B3505"/>
          <cell r="C3505"/>
          <cell r="D3505"/>
          <cell r="E3505"/>
          <cell r="F3505"/>
          <cell r="G3505">
            <v>3.6999999999999998E-2</v>
          </cell>
          <cell r="H3505"/>
          <cell r="I3505"/>
          <cell r="J3505"/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>
            <v>2E-3</v>
          </cell>
        </row>
        <row r="3506">
          <cell r="A3506" t="str">
            <v>51939-513LF</v>
          </cell>
          <cell r="B3506"/>
          <cell r="C3506"/>
          <cell r="D3506"/>
          <cell r="E3506"/>
          <cell r="F3506"/>
          <cell r="G3506">
            <v>6.8000000000000005E-2</v>
          </cell>
          <cell r="H3506"/>
          <cell r="I3506"/>
          <cell r="J3506"/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>
            <v>4.0000000000000001E-3</v>
          </cell>
        </row>
        <row r="3507">
          <cell r="A3507" t="str">
            <v>51939-515LF</v>
          </cell>
          <cell r="B3507"/>
          <cell r="C3507"/>
          <cell r="D3507"/>
          <cell r="E3507"/>
          <cell r="F3507"/>
          <cell r="G3507">
            <v>3.6999999999999998E-2</v>
          </cell>
          <cell r="H3507"/>
          <cell r="I3507"/>
          <cell r="J3507"/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>
            <v>2E-3</v>
          </cell>
        </row>
        <row r="3508">
          <cell r="A3508" t="str">
            <v>51939-516LF</v>
          </cell>
          <cell r="B3508"/>
          <cell r="C3508"/>
          <cell r="D3508"/>
          <cell r="E3508"/>
          <cell r="F3508"/>
          <cell r="G3508">
            <v>3.2000000000000001E-2</v>
          </cell>
          <cell r="H3508"/>
          <cell r="I3508"/>
          <cell r="J3508"/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>
            <v>2E-3</v>
          </cell>
        </row>
        <row r="3509">
          <cell r="A3509" t="str">
            <v>51939-517LF</v>
          </cell>
          <cell r="B3509"/>
          <cell r="C3509"/>
          <cell r="D3509"/>
          <cell r="E3509"/>
          <cell r="F3509"/>
          <cell r="G3509">
            <v>3.7999999999999999E-2</v>
          </cell>
          <cell r="H3509"/>
          <cell r="I3509"/>
          <cell r="J3509"/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>
            <v>2E-3</v>
          </cell>
        </row>
        <row r="3510">
          <cell r="A3510" t="str">
            <v>51939-521LF</v>
          </cell>
          <cell r="B3510"/>
          <cell r="C3510"/>
          <cell r="D3510"/>
          <cell r="E3510"/>
          <cell r="F3510"/>
          <cell r="G3510">
            <v>1.7000000000000001E-2</v>
          </cell>
          <cell r="H3510"/>
          <cell r="I3510"/>
          <cell r="J3510"/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>
            <v>6.1000000000000004E-3</v>
          </cell>
        </row>
        <row r="3511">
          <cell r="A3511" t="str">
            <v>51939-522LF</v>
          </cell>
          <cell r="B3511"/>
          <cell r="C3511"/>
          <cell r="D3511"/>
          <cell r="E3511"/>
          <cell r="F3511"/>
          <cell r="G3511">
            <v>0.104</v>
          </cell>
          <cell r="H3511"/>
          <cell r="I3511"/>
          <cell r="J3511"/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>
            <v>2E-3</v>
          </cell>
        </row>
        <row r="3512">
          <cell r="A3512" t="str">
            <v>51939-523LF</v>
          </cell>
          <cell r="B3512"/>
          <cell r="C3512"/>
          <cell r="D3512"/>
          <cell r="E3512"/>
          <cell r="F3512"/>
          <cell r="G3512">
            <v>2.6499999999999999E-2</v>
          </cell>
          <cell r="H3512"/>
          <cell r="I3512"/>
          <cell r="J3512"/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>
            <v>6.1000000000000004E-3</v>
          </cell>
        </row>
        <row r="3513">
          <cell r="A3513" t="str">
            <v>51939-524LF</v>
          </cell>
          <cell r="B3513"/>
          <cell r="C3513"/>
          <cell r="D3513"/>
          <cell r="E3513"/>
          <cell r="F3513"/>
          <cell r="G3513">
            <v>4.2200000000000001E-2</v>
          </cell>
          <cell r="H3513"/>
          <cell r="I3513"/>
          <cell r="J3513"/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>
            <v>2E-3</v>
          </cell>
        </row>
        <row r="3514">
          <cell r="A3514" t="str">
            <v>51939-525LF</v>
          </cell>
          <cell r="B3514"/>
          <cell r="C3514"/>
          <cell r="D3514"/>
          <cell r="E3514"/>
          <cell r="F3514"/>
          <cell r="G3514">
            <v>4.3999999999999997E-2</v>
          </cell>
          <cell r="H3514"/>
          <cell r="I3514"/>
          <cell r="J3514"/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>
            <v>2E-3</v>
          </cell>
        </row>
        <row r="3515">
          <cell r="A3515" t="str">
            <v>51939-531LF</v>
          </cell>
          <cell r="B3515"/>
          <cell r="C3515"/>
          <cell r="D3515"/>
          <cell r="E3515"/>
          <cell r="F3515"/>
          <cell r="G3515">
            <v>3.5000000000000003E-2</v>
          </cell>
          <cell r="H3515"/>
          <cell r="I3515"/>
          <cell r="J3515"/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>
            <v>2E-3</v>
          </cell>
        </row>
        <row r="3516">
          <cell r="A3516" t="str">
            <v>51939-533LF</v>
          </cell>
          <cell r="B3516"/>
          <cell r="C3516"/>
          <cell r="D3516"/>
          <cell r="E3516"/>
          <cell r="F3516"/>
          <cell r="G3516">
            <v>2.4814950999999998E-2</v>
          </cell>
          <cell r="H3516"/>
          <cell r="I3516"/>
          <cell r="J3516"/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>
            <v>2E-3</v>
          </cell>
        </row>
        <row r="3517">
          <cell r="A3517" t="str">
            <v>51939-535LF</v>
          </cell>
          <cell r="B3517"/>
          <cell r="C3517"/>
          <cell r="D3517"/>
          <cell r="E3517"/>
          <cell r="F3517"/>
          <cell r="G3517">
            <v>3.9E-2</v>
          </cell>
          <cell r="H3517"/>
          <cell r="I3517"/>
          <cell r="J3517"/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>
            <v>2E-3</v>
          </cell>
        </row>
        <row r="3518">
          <cell r="A3518" t="str">
            <v>51939-536LF</v>
          </cell>
          <cell r="B3518"/>
          <cell r="C3518"/>
          <cell r="D3518"/>
          <cell r="E3518"/>
          <cell r="F3518"/>
          <cell r="G3518">
            <v>2.7E-2</v>
          </cell>
          <cell r="H3518"/>
          <cell r="I3518"/>
          <cell r="J3518"/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>
            <v>2E-3</v>
          </cell>
        </row>
        <row r="3519">
          <cell r="A3519" t="str">
            <v>51939-538LF</v>
          </cell>
          <cell r="B3519"/>
          <cell r="C3519"/>
          <cell r="D3519"/>
          <cell r="E3519"/>
          <cell r="F3519"/>
          <cell r="G3519">
            <v>1.4999999999999999E-2</v>
          </cell>
          <cell r="H3519"/>
          <cell r="I3519"/>
          <cell r="J3519"/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>
            <v>6.1000000000000004E-3</v>
          </cell>
        </row>
        <row r="3520">
          <cell r="A3520" t="str">
            <v>51939-540LF</v>
          </cell>
          <cell r="B3520"/>
          <cell r="C3520"/>
          <cell r="D3520"/>
          <cell r="E3520"/>
          <cell r="F3520"/>
          <cell r="G3520">
            <v>8.5064939999999999E-3</v>
          </cell>
          <cell r="H3520"/>
          <cell r="I3520"/>
          <cell r="J3520"/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>
            <v>6.1000000000000004E-3</v>
          </cell>
        </row>
        <row r="3521">
          <cell r="A3521" t="str">
            <v>51939-541LF</v>
          </cell>
          <cell r="B3521"/>
          <cell r="C3521"/>
          <cell r="D3521"/>
          <cell r="E3521"/>
          <cell r="F3521"/>
          <cell r="G3521">
            <v>2.9000000000000001E-2</v>
          </cell>
          <cell r="H3521"/>
          <cell r="I3521"/>
          <cell r="J3521"/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>
            <v>2E-3</v>
          </cell>
        </row>
        <row r="3522">
          <cell r="A3522" t="str">
            <v>51939-542LF</v>
          </cell>
          <cell r="B3522"/>
          <cell r="C3522"/>
          <cell r="D3522"/>
          <cell r="E3522"/>
          <cell r="F3522"/>
          <cell r="G3522">
            <v>1.7999999999999999E-2</v>
          </cell>
          <cell r="H3522"/>
          <cell r="I3522"/>
          <cell r="J3522"/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>
            <v>6.1000000000000004E-3</v>
          </cell>
        </row>
        <row r="3523">
          <cell r="A3523" t="str">
            <v>51939-543LF</v>
          </cell>
          <cell r="B3523"/>
          <cell r="C3523"/>
          <cell r="D3523"/>
          <cell r="E3523"/>
          <cell r="F3523"/>
          <cell r="G3523">
            <v>3.4000000000000002E-2</v>
          </cell>
          <cell r="H3523"/>
          <cell r="I3523"/>
          <cell r="J3523"/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>
            <v>2E-3</v>
          </cell>
        </row>
        <row r="3524">
          <cell r="A3524" t="str">
            <v>51939-544LF</v>
          </cell>
          <cell r="B3524"/>
          <cell r="C3524"/>
          <cell r="D3524"/>
          <cell r="E3524"/>
          <cell r="F3524"/>
          <cell r="G3524">
            <v>3.4000000000000002E-2</v>
          </cell>
          <cell r="H3524"/>
          <cell r="I3524"/>
          <cell r="J3524"/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>
            <v>2E-3</v>
          </cell>
        </row>
        <row r="3525">
          <cell r="A3525" t="str">
            <v>51939-545LF</v>
          </cell>
          <cell r="B3525"/>
          <cell r="C3525"/>
          <cell r="D3525"/>
          <cell r="E3525"/>
          <cell r="F3525"/>
          <cell r="G3525">
            <v>4.2000000000000003E-2</v>
          </cell>
          <cell r="H3525"/>
          <cell r="I3525"/>
          <cell r="J3525"/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>
            <v>6.1000000000000004E-3</v>
          </cell>
        </row>
        <row r="3526">
          <cell r="A3526" t="str">
            <v>51939-546LF</v>
          </cell>
          <cell r="B3526"/>
          <cell r="C3526"/>
          <cell r="D3526"/>
          <cell r="E3526"/>
          <cell r="F3526"/>
          <cell r="G3526">
            <v>4.1399999999999999E-2</v>
          </cell>
          <cell r="H3526"/>
          <cell r="I3526"/>
          <cell r="J3526"/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>
            <v>2E-3</v>
          </cell>
        </row>
        <row r="3527">
          <cell r="A3527" t="str">
            <v>51939-547LF</v>
          </cell>
          <cell r="B3527"/>
          <cell r="C3527"/>
          <cell r="D3527"/>
          <cell r="E3527"/>
          <cell r="F3527"/>
          <cell r="G3527">
            <v>1.7000000000000001E-2</v>
          </cell>
          <cell r="H3527"/>
          <cell r="I3527"/>
          <cell r="J3527"/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>
            <v>6.1000000000000004E-3</v>
          </cell>
        </row>
        <row r="3528">
          <cell r="A3528" t="str">
            <v>51939-548LF</v>
          </cell>
          <cell r="B3528"/>
          <cell r="C3528"/>
          <cell r="D3528"/>
          <cell r="E3528"/>
          <cell r="F3528"/>
          <cell r="G3528">
            <v>3.3000000000000002E-2</v>
          </cell>
          <cell r="H3528"/>
          <cell r="I3528"/>
          <cell r="J3528"/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>
            <v>2E-3</v>
          </cell>
        </row>
        <row r="3529">
          <cell r="A3529" t="str">
            <v>51939-552LF</v>
          </cell>
          <cell r="B3529"/>
          <cell r="C3529"/>
          <cell r="D3529"/>
          <cell r="E3529"/>
          <cell r="F3529"/>
          <cell r="G3529">
            <v>2.9000000000000001E-2</v>
          </cell>
          <cell r="H3529"/>
          <cell r="I3529"/>
          <cell r="J3529"/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>
            <v>2E-3</v>
          </cell>
        </row>
        <row r="3530">
          <cell r="A3530" t="str">
            <v>51939-553LF</v>
          </cell>
          <cell r="B3530"/>
          <cell r="C3530"/>
          <cell r="D3530"/>
          <cell r="E3530"/>
          <cell r="F3530"/>
          <cell r="G3530">
            <v>2.1999999999999999E-2</v>
          </cell>
          <cell r="H3530"/>
          <cell r="I3530"/>
          <cell r="J3530"/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>
            <v>2E-3</v>
          </cell>
        </row>
        <row r="3531">
          <cell r="A3531" t="str">
            <v>51939-557LF</v>
          </cell>
          <cell r="B3531"/>
          <cell r="C3531"/>
          <cell r="D3531"/>
          <cell r="E3531"/>
          <cell r="F3531"/>
          <cell r="G3531">
            <v>4.7E-2</v>
          </cell>
          <cell r="H3531"/>
          <cell r="I3531"/>
          <cell r="J3531"/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>
            <v>2E-3</v>
          </cell>
        </row>
        <row r="3532">
          <cell r="A3532" t="str">
            <v>51939-558LF</v>
          </cell>
          <cell r="B3532"/>
          <cell r="C3532"/>
          <cell r="D3532"/>
          <cell r="E3532"/>
          <cell r="F3532"/>
          <cell r="G3532">
            <v>2.8000000000000001E-2</v>
          </cell>
          <cell r="H3532"/>
          <cell r="I3532"/>
          <cell r="J3532"/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>
            <v>2E-3</v>
          </cell>
        </row>
        <row r="3533">
          <cell r="A3533" t="str">
            <v>51939-561LF</v>
          </cell>
          <cell r="B3533"/>
          <cell r="C3533"/>
          <cell r="D3533"/>
          <cell r="E3533"/>
          <cell r="F3533"/>
          <cell r="G3533">
            <v>3.9E-2</v>
          </cell>
          <cell r="H3533"/>
          <cell r="I3533"/>
          <cell r="J3533"/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>
            <v>2E-3</v>
          </cell>
        </row>
        <row r="3534">
          <cell r="A3534" t="str">
            <v>51939-563LF</v>
          </cell>
          <cell r="B3534"/>
          <cell r="C3534"/>
          <cell r="D3534"/>
          <cell r="E3534"/>
          <cell r="F3534"/>
          <cell r="G3534">
            <v>2.9000000000000001E-2</v>
          </cell>
          <cell r="H3534"/>
          <cell r="I3534"/>
          <cell r="J3534"/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>
            <v>2E-3</v>
          </cell>
        </row>
        <row r="3535">
          <cell r="A3535" t="str">
            <v>51939-564LF</v>
          </cell>
          <cell r="B3535"/>
          <cell r="C3535"/>
          <cell r="D3535"/>
          <cell r="E3535"/>
          <cell r="F3535"/>
          <cell r="G3535">
            <v>3.5999999999999997E-2</v>
          </cell>
          <cell r="H3535"/>
          <cell r="I3535"/>
          <cell r="J3535"/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>
            <v>2E-3</v>
          </cell>
        </row>
        <row r="3536">
          <cell r="A3536" t="str">
            <v>51939-565LF</v>
          </cell>
          <cell r="B3536"/>
          <cell r="C3536"/>
          <cell r="D3536"/>
          <cell r="E3536"/>
          <cell r="F3536"/>
          <cell r="G3536">
            <v>2.8000000000000001E-2</v>
          </cell>
          <cell r="H3536"/>
          <cell r="I3536"/>
          <cell r="J3536"/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>
            <v>2E-3</v>
          </cell>
        </row>
        <row r="3537">
          <cell r="A3537" t="str">
            <v>51939-566LF</v>
          </cell>
          <cell r="B3537"/>
          <cell r="C3537"/>
          <cell r="D3537"/>
          <cell r="E3537"/>
          <cell r="F3537"/>
          <cell r="G3537">
            <v>2.1999999999999999E-2</v>
          </cell>
          <cell r="H3537"/>
          <cell r="I3537"/>
          <cell r="J3537"/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>
            <v>2E-3</v>
          </cell>
        </row>
        <row r="3538">
          <cell r="A3538" t="str">
            <v>51939-568LF</v>
          </cell>
          <cell r="B3538"/>
          <cell r="C3538"/>
          <cell r="D3538"/>
          <cell r="E3538"/>
          <cell r="F3538"/>
          <cell r="G3538">
            <v>1.7745455E-2</v>
          </cell>
          <cell r="H3538"/>
          <cell r="I3538"/>
          <cell r="J3538"/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>
            <v>2E-3</v>
          </cell>
        </row>
        <row r="3539">
          <cell r="A3539" t="str">
            <v>51939-569LF</v>
          </cell>
          <cell r="B3539"/>
          <cell r="C3539"/>
          <cell r="D3539"/>
          <cell r="E3539"/>
          <cell r="F3539"/>
          <cell r="G3539">
            <v>2.9000000000000001E-2</v>
          </cell>
          <cell r="H3539"/>
          <cell r="I3539"/>
          <cell r="J3539"/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>
            <v>2E-3</v>
          </cell>
        </row>
        <row r="3540">
          <cell r="A3540" t="str">
            <v>51939-571LF</v>
          </cell>
          <cell r="B3540"/>
          <cell r="C3540"/>
          <cell r="D3540"/>
          <cell r="E3540"/>
          <cell r="F3540"/>
          <cell r="G3540">
            <v>3.1E-2</v>
          </cell>
          <cell r="H3540"/>
          <cell r="I3540"/>
          <cell r="J3540"/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>
            <v>2E-3</v>
          </cell>
        </row>
        <row r="3541">
          <cell r="A3541" t="str">
            <v>51939-573LF</v>
          </cell>
          <cell r="B3541"/>
          <cell r="C3541"/>
          <cell r="D3541"/>
          <cell r="E3541"/>
          <cell r="F3541"/>
          <cell r="G3541">
            <v>2.46E-2</v>
          </cell>
          <cell r="H3541"/>
          <cell r="I3541"/>
          <cell r="J3541"/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>
            <v>2E-3</v>
          </cell>
        </row>
        <row r="3542">
          <cell r="A3542" t="str">
            <v>51939-576LF</v>
          </cell>
          <cell r="B3542"/>
          <cell r="C3542"/>
          <cell r="D3542"/>
          <cell r="E3542"/>
          <cell r="F3542"/>
          <cell r="G3542">
            <v>2.1505E-2</v>
          </cell>
          <cell r="H3542"/>
          <cell r="I3542"/>
          <cell r="J3542"/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>
            <v>2E-3</v>
          </cell>
        </row>
        <row r="3543">
          <cell r="A3543" t="str">
            <v>51939-577LF</v>
          </cell>
          <cell r="B3543"/>
          <cell r="C3543"/>
          <cell r="D3543"/>
          <cell r="E3543"/>
          <cell r="F3543"/>
          <cell r="G3543">
            <v>2.7E-2</v>
          </cell>
          <cell r="H3543"/>
          <cell r="I3543"/>
          <cell r="J3543"/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>
            <v>2E-3</v>
          </cell>
        </row>
        <row r="3544">
          <cell r="A3544" t="str">
            <v>51939-578LF</v>
          </cell>
          <cell r="B3544"/>
          <cell r="C3544"/>
          <cell r="D3544"/>
          <cell r="E3544"/>
          <cell r="F3544"/>
          <cell r="G3544">
            <v>5.1999999999999998E-2</v>
          </cell>
          <cell r="H3544"/>
          <cell r="I3544"/>
          <cell r="J3544"/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>
            <v>2E-3</v>
          </cell>
        </row>
        <row r="3545">
          <cell r="A3545" t="str">
            <v>51939-579LF</v>
          </cell>
          <cell r="B3545"/>
          <cell r="C3545"/>
          <cell r="D3545"/>
          <cell r="E3545"/>
          <cell r="F3545"/>
          <cell r="G3545">
            <v>2.9000000000000001E-2</v>
          </cell>
          <cell r="H3545"/>
          <cell r="I3545"/>
          <cell r="J3545"/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>
            <v>2E-3</v>
          </cell>
        </row>
        <row r="3546">
          <cell r="A3546" t="str">
            <v>51939-580LF</v>
          </cell>
          <cell r="B3546"/>
          <cell r="C3546"/>
          <cell r="D3546"/>
          <cell r="E3546"/>
          <cell r="F3546"/>
          <cell r="G3546">
            <v>3.2000000000000001E-2</v>
          </cell>
          <cell r="H3546"/>
          <cell r="I3546"/>
          <cell r="J3546"/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>
            <v>2E-3</v>
          </cell>
        </row>
        <row r="3547">
          <cell r="A3547" t="str">
            <v>51939-581LF</v>
          </cell>
          <cell r="B3547"/>
          <cell r="C3547"/>
          <cell r="D3547"/>
          <cell r="E3547"/>
          <cell r="F3547"/>
          <cell r="G3547">
            <v>2.52E-2</v>
          </cell>
          <cell r="H3547"/>
          <cell r="I3547"/>
          <cell r="J3547"/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>
            <v>2E-3</v>
          </cell>
        </row>
        <row r="3548">
          <cell r="A3548" t="str">
            <v>51939-582LF</v>
          </cell>
          <cell r="B3548"/>
          <cell r="C3548"/>
          <cell r="D3548"/>
          <cell r="E3548"/>
          <cell r="F3548"/>
          <cell r="G3548">
            <v>1.6E-2</v>
          </cell>
          <cell r="H3548"/>
          <cell r="I3548"/>
          <cell r="J3548"/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>
            <v>2E-3</v>
          </cell>
        </row>
        <row r="3549">
          <cell r="A3549" t="str">
            <v>51939-586LF</v>
          </cell>
          <cell r="B3549"/>
          <cell r="C3549"/>
          <cell r="D3549"/>
          <cell r="E3549"/>
          <cell r="F3549"/>
          <cell r="G3549">
            <v>2.1999999999999999E-2</v>
          </cell>
          <cell r="H3549"/>
          <cell r="I3549"/>
          <cell r="J3549"/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>
            <v>2E-3</v>
          </cell>
        </row>
        <row r="3550">
          <cell r="A3550" t="str">
            <v>51939-587LF</v>
          </cell>
          <cell r="B3550"/>
          <cell r="C3550"/>
          <cell r="D3550"/>
          <cell r="E3550"/>
          <cell r="F3550"/>
          <cell r="G3550">
            <v>2.1999999999999999E-2</v>
          </cell>
          <cell r="H3550"/>
          <cell r="I3550"/>
          <cell r="J3550"/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>
            <v>2E-3</v>
          </cell>
        </row>
        <row r="3551">
          <cell r="A3551" t="str">
            <v>51939-589LF</v>
          </cell>
          <cell r="B3551"/>
          <cell r="C3551"/>
          <cell r="D3551"/>
          <cell r="E3551"/>
          <cell r="F3551"/>
          <cell r="G3551">
            <v>2.1000000000000001E-2</v>
          </cell>
          <cell r="H3551"/>
          <cell r="I3551"/>
          <cell r="J3551"/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>
            <v>2E-3</v>
          </cell>
        </row>
        <row r="3552">
          <cell r="A3552" t="str">
            <v>51939-590LF</v>
          </cell>
          <cell r="B3552"/>
          <cell r="C3552"/>
          <cell r="D3552"/>
          <cell r="E3552"/>
          <cell r="F3552"/>
          <cell r="G3552">
            <v>2.1000000000000001E-2</v>
          </cell>
          <cell r="H3552"/>
          <cell r="I3552"/>
          <cell r="J3552"/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>
            <v>2E-3</v>
          </cell>
        </row>
        <row r="3553">
          <cell r="A3553" t="str">
            <v>51939-591LF</v>
          </cell>
          <cell r="B3553"/>
          <cell r="C3553"/>
          <cell r="D3553"/>
          <cell r="E3553"/>
          <cell r="F3553"/>
          <cell r="G3553">
            <v>2.7E-2</v>
          </cell>
          <cell r="H3553"/>
          <cell r="I3553"/>
          <cell r="J3553"/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>
            <v>6.1000000000000004E-3</v>
          </cell>
        </row>
        <row r="3554">
          <cell r="A3554" t="str">
            <v>51939-592LF</v>
          </cell>
          <cell r="B3554"/>
          <cell r="C3554"/>
          <cell r="D3554"/>
          <cell r="E3554"/>
          <cell r="F3554"/>
          <cell r="G3554">
            <v>3.2883572999999999E-2</v>
          </cell>
          <cell r="H3554"/>
          <cell r="I3554"/>
          <cell r="J3554"/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>
            <v>2E-3</v>
          </cell>
        </row>
        <row r="3555">
          <cell r="A3555" t="str">
            <v>51939-593LF</v>
          </cell>
          <cell r="B3555"/>
          <cell r="C3555"/>
          <cell r="D3555"/>
          <cell r="E3555"/>
          <cell r="F3555"/>
          <cell r="G3555">
            <v>1.7999999999999999E-2</v>
          </cell>
          <cell r="H3555"/>
          <cell r="I3555"/>
          <cell r="J3555"/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>
            <v>6.1000000000000004E-3</v>
          </cell>
        </row>
        <row r="3556">
          <cell r="A3556" t="str">
            <v>51939-594LF</v>
          </cell>
          <cell r="B3556"/>
          <cell r="C3556"/>
          <cell r="D3556"/>
          <cell r="E3556"/>
          <cell r="F3556"/>
          <cell r="G3556">
            <v>3.9E-2</v>
          </cell>
          <cell r="H3556"/>
          <cell r="I3556"/>
          <cell r="J3556"/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>
            <v>2E-3</v>
          </cell>
        </row>
        <row r="3557">
          <cell r="A3557" t="str">
            <v>51939-595LF</v>
          </cell>
          <cell r="B3557"/>
          <cell r="C3557"/>
          <cell r="D3557"/>
          <cell r="E3557"/>
          <cell r="F3557"/>
          <cell r="G3557">
            <v>2.1000000000000001E-2</v>
          </cell>
          <cell r="H3557"/>
          <cell r="I3557"/>
          <cell r="J3557"/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>
            <v>2E-3</v>
          </cell>
        </row>
        <row r="3558">
          <cell r="A3558" t="str">
            <v>51939-597LF</v>
          </cell>
          <cell r="B3558"/>
          <cell r="C3558"/>
          <cell r="D3558"/>
          <cell r="E3558"/>
          <cell r="F3558"/>
          <cell r="G3558">
            <v>2.5999999999999999E-2</v>
          </cell>
          <cell r="H3558"/>
          <cell r="I3558"/>
          <cell r="J3558"/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>
            <v>2E-3</v>
          </cell>
        </row>
        <row r="3559">
          <cell r="A3559" t="str">
            <v>51939-598LF</v>
          </cell>
          <cell r="B3559"/>
          <cell r="C3559"/>
          <cell r="D3559"/>
          <cell r="E3559"/>
          <cell r="F3559"/>
          <cell r="G3559">
            <v>6.5000000000000002E-2</v>
          </cell>
          <cell r="H3559"/>
          <cell r="I3559"/>
          <cell r="J3559"/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>
            <v>0.01</v>
          </cell>
        </row>
        <row r="3560">
          <cell r="A3560" t="str">
            <v>51939-599LF</v>
          </cell>
          <cell r="B3560"/>
          <cell r="C3560"/>
          <cell r="D3560"/>
          <cell r="E3560"/>
          <cell r="F3560"/>
          <cell r="G3560">
            <v>3.2000000000000001E-2</v>
          </cell>
          <cell r="H3560"/>
          <cell r="I3560"/>
          <cell r="J3560"/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>
            <v>2E-3</v>
          </cell>
        </row>
        <row r="3561">
          <cell r="A3561" t="str">
            <v>51939-608LF</v>
          </cell>
          <cell r="B3561"/>
          <cell r="C3561"/>
          <cell r="D3561"/>
          <cell r="E3561"/>
          <cell r="F3561"/>
          <cell r="G3561">
            <v>7.0999999999999994E-2</v>
          </cell>
          <cell r="H3561"/>
          <cell r="I3561"/>
          <cell r="J3561"/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>
            <v>4.0000000000000001E-3</v>
          </cell>
        </row>
        <row r="3562">
          <cell r="A3562" t="str">
            <v>51939-609LF</v>
          </cell>
          <cell r="B3562"/>
          <cell r="C3562"/>
          <cell r="D3562"/>
          <cell r="E3562"/>
          <cell r="F3562"/>
          <cell r="G3562">
            <v>1.3791536E-2</v>
          </cell>
          <cell r="H3562"/>
          <cell r="I3562"/>
          <cell r="J3562"/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</row>
        <row r="3563">
          <cell r="A3563" t="str">
            <v>51939-614LF</v>
          </cell>
          <cell r="B3563"/>
          <cell r="C3563"/>
          <cell r="D3563"/>
          <cell r="E3563"/>
          <cell r="F3563"/>
          <cell r="G3563">
            <v>3.4000000000000002E-2</v>
          </cell>
          <cell r="H3563"/>
          <cell r="I3563"/>
          <cell r="J3563"/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>
            <v>2E-3</v>
          </cell>
        </row>
        <row r="3564">
          <cell r="A3564" t="str">
            <v>51939-617LF</v>
          </cell>
          <cell r="B3564"/>
          <cell r="C3564"/>
          <cell r="D3564"/>
          <cell r="E3564"/>
          <cell r="F3564"/>
          <cell r="G3564">
            <v>3.2000000000000001E-2</v>
          </cell>
          <cell r="H3564"/>
          <cell r="I3564"/>
          <cell r="J3564"/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>
            <v>2E-3</v>
          </cell>
        </row>
        <row r="3565">
          <cell r="A3565" t="str">
            <v>51939-618LF</v>
          </cell>
          <cell r="B3565"/>
          <cell r="C3565"/>
          <cell r="D3565"/>
          <cell r="E3565"/>
          <cell r="F3565"/>
          <cell r="G3565">
            <v>3.9E-2</v>
          </cell>
          <cell r="H3565"/>
          <cell r="I3565"/>
          <cell r="J3565"/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>
            <v>2E-3</v>
          </cell>
        </row>
        <row r="3566">
          <cell r="A3566" t="str">
            <v>51939-619LF</v>
          </cell>
          <cell r="B3566"/>
          <cell r="C3566"/>
          <cell r="D3566"/>
          <cell r="E3566"/>
          <cell r="F3566"/>
          <cell r="G3566">
            <v>7.0999999999999994E-2</v>
          </cell>
          <cell r="H3566"/>
          <cell r="I3566"/>
          <cell r="J3566"/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>
            <v>4.0000000000000001E-3</v>
          </cell>
        </row>
        <row r="3567">
          <cell r="A3567" t="str">
            <v>51939-620LF</v>
          </cell>
          <cell r="B3567"/>
          <cell r="C3567"/>
          <cell r="D3567"/>
          <cell r="E3567"/>
          <cell r="F3567"/>
          <cell r="G3567">
            <v>2.8000000000000001E-2</v>
          </cell>
          <cell r="H3567"/>
          <cell r="I3567"/>
          <cell r="J3567"/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>
            <v>2E-3</v>
          </cell>
        </row>
        <row r="3568">
          <cell r="A3568" t="str">
            <v>51939-622LF</v>
          </cell>
          <cell r="B3568"/>
          <cell r="C3568"/>
          <cell r="D3568"/>
          <cell r="E3568"/>
          <cell r="F3568"/>
          <cell r="G3568">
            <v>2.8000000000000001E-2</v>
          </cell>
          <cell r="H3568"/>
          <cell r="I3568"/>
          <cell r="J3568"/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>
            <v>2E-3</v>
          </cell>
        </row>
        <row r="3569">
          <cell r="A3569" t="str">
            <v>51939-623LF</v>
          </cell>
          <cell r="B3569"/>
          <cell r="C3569"/>
          <cell r="D3569"/>
          <cell r="E3569"/>
          <cell r="F3569"/>
          <cell r="G3569">
            <v>6.2E-2</v>
          </cell>
          <cell r="H3569"/>
          <cell r="I3569"/>
          <cell r="J3569"/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>
            <v>2E-3</v>
          </cell>
        </row>
        <row r="3570">
          <cell r="A3570" t="str">
            <v>51939-629LF</v>
          </cell>
          <cell r="B3570"/>
          <cell r="C3570"/>
          <cell r="D3570"/>
          <cell r="E3570"/>
          <cell r="F3570"/>
          <cell r="G3570">
            <v>2.5999999999999999E-2</v>
          </cell>
          <cell r="H3570"/>
          <cell r="I3570"/>
          <cell r="J3570"/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>
            <v>2E-3</v>
          </cell>
        </row>
        <row r="3571">
          <cell r="A3571" t="str">
            <v>51939-631LF</v>
          </cell>
          <cell r="B3571"/>
          <cell r="C3571"/>
          <cell r="D3571"/>
          <cell r="E3571"/>
          <cell r="F3571"/>
          <cell r="G3571">
            <v>2.2278996999999998E-2</v>
          </cell>
          <cell r="H3571"/>
          <cell r="I3571"/>
          <cell r="J3571"/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>
            <v>2E-3</v>
          </cell>
        </row>
        <row r="3572">
          <cell r="A3572" t="str">
            <v>51939-633LF</v>
          </cell>
          <cell r="B3572"/>
          <cell r="C3572"/>
          <cell r="D3572"/>
          <cell r="E3572"/>
          <cell r="F3572"/>
          <cell r="G3572">
            <v>2.9000000000000001E-2</v>
          </cell>
          <cell r="H3572"/>
          <cell r="I3572"/>
          <cell r="J3572"/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>
            <v>2E-3</v>
          </cell>
        </row>
        <row r="3573">
          <cell r="A3573" t="str">
            <v>51939-636LF</v>
          </cell>
          <cell r="B3573"/>
          <cell r="C3573"/>
          <cell r="D3573"/>
          <cell r="E3573"/>
          <cell r="F3573"/>
          <cell r="G3573">
            <v>8.6999999999999994E-2</v>
          </cell>
          <cell r="H3573"/>
          <cell r="I3573"/>
          <cell r="J3573"/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>
            <v>2E-3</v>
          </cell>
        </row>
        <row r="3574">
          <cell r="A3574" t="str">
            <v>51939-637LF</v>
          </cell>
          <cell r="B3574"/>
          <cell r="C3574"/>
          <cell r="D3574"/>
          <cell r="E3574"/>
          <cell r="F3574"/>
          <cell r="G3574">
            <v>2.1999999999999999E-2</v>
          </cell>
          <cell r="H3574"/>
          <cell r="I3574"/>
          <cell r="J3574"/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>
            <v>6.1000000000000004E-3</v>
          </cell>
        </row>
        <row r="3575">
          <cell r="A3575" t="str">
            <v>51939-641LF</v>
          </cell>
          <cell r="B3575"/>
          <cell r="C3575"/>
          <cell r="D3575"/>
          <cell r="E3575"/>
          <cell r="F3575"/>
          <cell r="G3575">
            <v>3.4000000000000002E-2</v>
          </cell>
          <cell r="H3575"/>
          <cell r="I3575"/>
          <cell r="J3575"/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>
            <v>2E-3</v>
          </cell>
        </row>
        <row r="3576">
          <cell r="A3576" t="str">
            <v>51939-642LF</v>
          </cell>
          <cell r="B3576"/>
          <cell r="C3576"/>
          <cell r="D3576"/>
          <cell r="E3576"/>
          <cell r="F3576"/>
          <cell r="G3576">
            <v>3.5999999999999997E-2</v>
          </cell>
          <cell r="H3576"/>
          <cell r="I3576"/>
          <cell r="J3576"/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>
            <v>2E-3</v>
          </cell>
        </row>
        <row r="3577">
          <cell r="A3577" t="str">
            <v>51939-644CAULF</v>
          </cell>
          <cell r="B3577"/>
          <cell r="C3577"/>
          <cell r="D3577"/>
          <cell r="E3577"/>
          <cell r="F3577"/>
          <cell r="G3577">
            <v>1.26E-2</v>
          </cell>
          <cell r="H3577"/>
          <cell r="I3577"/>
          <cell r="J3577"/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>
            <v>2E-3</v>
          </cell>
        </row>
        <row r="3578">
          <cell r="A3578" t="str">
            <v>51939-646LF</v>
          </cell>
          <cell r="B3578"/>
          <cell r="C3578"/>
          <cell r="D3578"/>
          <cell r="E3578"/>
          <cell r="F3578"/>
          <cell r="G3578">
            <v>4.3999999999999997E-2</v>
          </cell>
          <cell r="H3578"/>
          <cell r="I3578"/>
          <cell r="J3578"/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>
            <v>2E-3</v>
          </cell>
        </row>
        <row r="3579">
          <cell r="A3579" t="str">
            <v>51939-647LF</v>
          </cell>
          <cell r="B3579"/>
          <cell r="C3579"/>
          <cell r="D3579"/>
          <cell r="E3579"/>
          <cell r="F3579"/>
          <cell r="G3579">
            <v>6.7000000000000004E-2</v>
          </cell>
          <cell r="H3579"/>
          <cell r="I3579"/>
          <cell r="J3579"/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>
            <v>2E-3</v>
          </cell>
        </row>
        <row r="3580">
          <cell r="A3580" t="str">
            <v>51939-648LF</v>
          </cell>
          <cell r="B3580"/>
          <cell r="C3580"/>
          <cell r="D3580"/>
          <cell r="E3580"/>
          <cell r="F3580"/>
          <cell r="G3580">
            <v>3.4000000000000002E-2</v>
          </cell>
          <cell r="H3580"/>
          <cell r="I3580"/>
          <cell r="J3580"/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>
            <v>2E-3</v>
          </cell>
        </row>
        <row r="3581">
          <cell r="A3581" t="str">
            <v>51939-649LF</v>
          </cell>
          <cell r="B3581"/>
          <cell r="C3581"/>
          <cell r="D3581"/>
          <cell r="E3581"/>
          <cell r="F3581"/>
          <cell r="G3581">
            <v>2.1000000000000001E-2</v>
          </cell>
          <cell r="H3581"/>
          <cell r="I3581"/>
          <cell r="J3581"/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>
            <v>6.1000000000000004E-3</v>
          </cell>
        </row>
        <row r="3582">
          <cell r="A3582" t="str">
            <v>51939-650LF</v>
          </cell>
          <cell r="B3582"/>
          <cell r="C3582"/>
          <cell r="D3582"/>
          <cell r="E3582"/>
          <cell r="F3582"/>
          <cell r="G3582">
            <v>2.1000000000000001E-2</v>
          </cell>
          <cell r="H3582"/>
          <cell r="I3582"/>
          <cell r="J3582"/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>
            <v>6.1000000000000004E-3</v>
          </cell>
        </row>
        <row r="3583">
          <cell r="A3583" t="str">
            <v>51939-652LF</v>
          </cell>
          <cell r="B3583"/>
          <cell r="C3583"/>
          <cell r="D3583"/>
          <cell r="E3583"/>
          <cell r="F3583"/>
          <cell r="G3583">
            <v>5.6000000000000001E-2</v>
          </cell>
          <cell r="H3583"/>
          <cell r="I3583"/>
          <cell r="J3583"/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>
            <v>6.1000000000000004E-3</v>
          </cell>
        </row>
        <row r="3584">
          <cell r="A3584" t="str">
            <v>51939-653LF</v>
          </cell>
          <cell r="B3584"/>
          <cell r="C3584"/>
          <cell r="D3584"/>
          <cell r="E3584"/>
          <cell r="F3584"/>
          <cell r="G3584">
            <v>2.6200000000000001E-2</v>
          </cell>
          <cell r="H3584"/>
          <cell r="I3584"/>
          <cell r="J3584"/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>
            <v>2E-3</v>
          </cell>
        </row>
        <row r="3585">
          <cell r="A3585" t="str">
            <v>51939-654LF</v>
          </cell>
          <cell r="B3585"/>
          <cell r="C3585"/>
          <cell r="D3585"/>
          <cell r="E3585"/>
          <cell r="F3585"/>
          <cell r="G3585">
            <v>2.4E-2</v>
          </cell>
          <cell r="H3585"/>
          <cell r="I3585"/>
          <cell r="J3585"/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>
            <v>2E-3</v>
          </cell>
        </row>
        <row r="3586">
          <cell r="A3586" t="str">
            <v>51939-655LF</v>
          </cell>
          <cell r="B3586"/>
          <cell r="C3586"/>
          <cell r="D3586"/>
          <cell r="E3586"/>
          <cell r="F3586"/>
          <cell r="G3586">
            <v>2.5999999999999999E-2</v>
          </cell>
          <cell r="H3586"/>
          <cell r="I3586"/>
          <cell r="J3586"/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>
            <v>2E-3</v>
          </cell>
        </row>
        <row r="3587">
          <cell r="A3587" t="str">
            <v>51939-660LF</v>
          </cell>
          <cell r="B3587"/>
          <cell r="C3587"/>
          <cell r="D3587"/>
          <cell r="E3587"/>
          <cell r="F3587"/>
          <cell r="G3587">
            <v>3.2000000000000001E-2</v>
          </cell>
          <cell r="H3587"/>
          <cell r="I3587"/>
          <cell r="J3587"/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>
            <v>2E-3</v>
          </cell>
        </row>
        <row r="3588">
          <cell r="A3588" t="str">
            <v>51939-661LF</v>
          </cell>
          <cell r="B3588"/>
          <cell r="C3588"/>
          <cell r="D3588"/>
          <cell r="E3588"/>
          <cell r="F3588"/>
          <cell r="G3588">
            <v>3.6999999999999998E-2</v>
          </cell>
          <cell r="H3588"/>
          <cell r="I3588"/>
          <cell r="J3588"/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>
            <v>2E-3</v>
          </cell>
        </row>
        <row r="3589">
          <cell r="A3589" t="str">
            <v>51939-662LF</v>
          </cell>
          <cell r="B3589"/>
          <cell r="C3589"/>
          <cell r="D3589"/>
          <cell r="E3589"/>
          <cell r="F3589"/>
          <cell r="G3589">
            <v>2.1999999999999999E-2</v>
          </cell>
          <cell r="H3589"/>
          <cell r="I3589"/>
          <cell r="J3589"/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>
            <v>2E-3</v>
          </cell>
        </row>
        <row r="3590">
          <cell r="A3590" t="str">
            <v>51939-663LF</v>
          </cell>
          <cell r="B3590"/>
          <cell r="C3590"/>
          <cell r="D3590"/>
          <cell r="E3590"/>
          <cell r="F3590"/>
          <cell r="G3590">
            <v>2.5999999999999999E-2</v>
          </cell>
          <cell r="H3590"/>
          <cell r="I3590"/>
          <cell r="J3590"/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>
            <v>4.0000000000000001E-3</v>
          </cell>
        </row>
        <row r="3591">
          <cell r="A3591" t="str">
            <v>51939-665LF</v>
          </cell>
          <cell r="B3591"/>
          <cell r="C3591"/>
          <cell r="D3591"/>
          <cell r="E3591"/>
          <cell r="F3591"/>
          <cell r="G3591">
            <v>2.9000000000000001E-2</v>
          </cell>
          <cell r="H3591"/>
          <cell r="I3591"/>
          <cell r="J3591"/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>
            <v>2E-3</v>
          </cell>
        </row>
        <row r="3592">
          <cell r="A3592" t="str">
            <v>51939-666LF</v>
          </cell>
          <cell r="B3592"/>
          <cell r="C3592"/>
          <cell r="D3592"/>
          <cell r="E3592"/>
          <cell r="F3592"/>
          <cell r="G3592">
            <v>2.1999999999999999E-2</v>
          </cell>
          <cell r="H3592"/>
          <cell r="I3592"/>
          <cell r="J3592"/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>
            <v>2E-3</v>
          </cell>
        </row>
        <row r="3593">
          <cell r="A3593" t="str">
            <v>51939-667LF</v>
          </cell>
          <cell r="B3593"/>
          <cell r="C3593"/>
          <cell r="D3593"/>
          <cell r="E3593"/>
          <cell r="F3593"/>
          <cell r="G3593">
            <v>3.9E-2</v>
          </cell>
          <cell r="H3593"/>
          <cell r="I3593"/>
          <cell r="J3593"/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>
            <v>2E-3</v>
          </cell>
        </row>
        <row r="3594">
          <cell r="A3594" t="str">
            <v>51939-669LF</v>
          </cell>
          <cell r="B3594"/>
          <cell r="C3594"/>
          <cell r="D3594"/>
          <cell r="E3594"/>
          <cell r="F3594"/>
          <cell r="G3594">
            <v>4.2000000000000003E-2</v>
          </cell>
          <cell r="H3594"/>
          <cell r="I3594"/>
          <cell r="J3594"/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>
            <v>2E-3</v>
          </cell>
        </row>
        <row r="3595">
          <cell r="A3595" t="str">
            <v>51939-670LF</v>
          </cell>
          <cell r="B3595"/>
          <cell r="C3595"/>
          <cell r="D3595"/>
          <cell r="E3595"/>
          <cell r="F3595"/>
          <cell r="G3595">
            <v>2.5000000000000001E-2</v>
          </cell>
          <cell r="H3595"/>
          <cell r="I3595"/>
          <cell r="J3595"/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>
            <v>6.1000000000000004E-3</v>
          </cell>
        </row>
        <row r="3596">
          <cell r="A3596" t="str">
            <v>51939-674LF</v>
          </cell>
          <cell r="B3596"/>
          <cell r="C3596"/>
          <cell r="D3596"/>
          <cell r="E3596"/>
          <cell r="F3596"/>
          <cell r="G3596">
            <v>4.2000000000000003E-2</v>
          </cell>
          <cell r="H3596"/>
          <cell r="I3596"/>
          <cell r="J3596"/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>
            <v>2E-3</v>
          </cell>
        </row>
        <row r="3597">
          <cell r="A3597" t="str">
            <v>51939-675LF</v>
          </cell>
          <cell r="B3597"/>
          <cell r="C3597"/>
          <cell r="D3597"/>
          <cell r="E3597"/>
          <cell r="F3597"/>
          <cell r="G3597">
            <v>3.2000000000000001E-2</v>
          </cell>
          <cell r="H3597"/>
          <cell r="I3597"/>
          <cell r="J3597"/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>
            <v>2E-3</v>
          </cell>
        </row>
        <row r="3598">
          <cell r="A3598" t="str">
            <v>51939-676PLF</v>
          </cell>
          <cell r="B3598"/>
          <cell r="C3598"/>
          <cell r="D3598"/>
          <cell r="E3598"/>
          <cell r="F3598"/>
          <cell r="G3598">
            <v>1.41E-2</v>
          </cell>
          <cell r="H3598"/>
          <cell r="I3598"/>
          <cell r="J3598"/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>
            <v>2.8E-3</v>
          </cell>
        </row>
        <row r="3599">
          <cell r="A3599" t="str">
            <v>51939-679LF</v>
          </cell>
          <cell r="B3599"/>
          <cell r="C3599"/>
          <cell r="D3599"/>
          <cell r="E3599"/>
          <cell r="F3599"/>
          <cell r="G3599">
            <v>3.3815179000000001E-2</v>
          </cell>
          <cell r="H3599"/>
          <cell r="I3599"/>
          <cell r="J3599"/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>
            <v>2E-3</v>
          </cell>
        </row>
        <row r="3600">
          <cell r="A3600" t="str">
            <v>51939-681LF</v>
          </cell>
          <cell r="B3600"/>
          <cell r="C3600"/>
          <cell r="D3600"/>
          <cell r="E3600"/>
          <cell r="F3600"/>
          <cell r="G3600">
            <v>3.6999999999999998E-2</v>
          </cell>
          <cell r="H3600"/>
          <cell r="I3600"/>
          <cell r="J3600"/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>
            <v>6.1000000000000004E-3</v>
          </cell>
        </row>
        <row r="3601">
          <cell r="A3601" t="str">
            <v>51939-682LF</v>
          </cell>
          <cell r="B3601"/>
          <cell r="C3601"/>
          <cell r="D3601"/>
          <cell r="E3601"/>
          <cell r="F3601"/>
          <cell r="G3601">
            <v>3.5000000000000003E-2</v>
          </cell>
          <cell r="H3601"/>
          <cell r="I3601"/>
          <cell r="J3601"/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>
            <v>2E-3</v>
          </cell>
        </row>
        <row r="3602">
          <cell r="A3602" t="str">
            <v>51939-683LF</v>
          </cell>
          <cell r="B3602"/>
          <cell r="C3602"/>
          <cell r="D3602"/>
          <cell r="E3602"/>
          <cell r="F3602"/>
          <cell r="G3602">
            <v>3.9E-2</v>
          </cell>
          <cell r="H3602"/>
          <cell r="I3602"/>
          <cell r="J3602"/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>
            <v>2E-3</v>
          </cell>
        </row>
        <row r="3603">
          <cell r="A3603" t="str">
            <v>51939-689LF</v>
          </cell>
          <cell r="B3603"/>
          <cell r="C3603"/>
          <cell r="D3603"/>
          <cell r="E3603"/>
          <cell r="F3603"/>
          <cell r="G3603">
            <v>1.6E-2</v>
          </cell>
          <cell r="H3603"/>
          <cell r="I3603"/>
          <cell r="J3603"/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>
            <v>2E-3</v>
          </cell>
        </row>
        <row r="3604">
          <cell r="A3604" t="str">
            <v>51939-691LF</v>
          </cell>
          <cell r="B3604"/>
          <cell r="C3604"/>
          <cell r="D3604"/>
          <cell r="E3604"/>
          <cell r="F3604"/>
          <cell r="G3604">
            <v>2.1000000000000001E-2</v>
          </cell>
          <cell r="H3604"/>
          <cell r="I3604"/>
          <cell r="J3604"/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>
            <v>2E-3</v>
          </cell>
        </row>
        <row r="3605">
          <cell r="A3605" t="str">
            <v>51939-692LF</v>
          </cell>
          <cell r="B3605"/>
          <cell r="C3605"/>
          <cell r="D3605"/>
          <cell r="E3605"/>
          <cell r="F3605"/>
          <cell r="G3605">
            <v>2.5999999999999999E-2</v>
          </cell>
          <cell r="H3605"/>
          <cell r="I3605"/>
          <cell r="J3605"/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>
            <v>2E-3</v>
          </cell>
        </row>
        <row r="3606">
          <cell r="A3606" t="str">
            <v>51939-695LF</v>
          </cell>
          <cell r="B3606"/>
          <cell r="C3606"/>
          <cell r="D3606"/>
          <cell r="E3606"/>
          <cell r="F3606"/>
          <cell r="G3606">
            <v>5.7000000000000002E-2</v>
          </cell>
          <cell r="H3606"/>
          <cell r="I3606"/>
          <cell r="J3606"/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>
            <v>6.1000000000000004E-3</v>
          </cell>
        </row>
        <row r="3607">
          <cell r="A3607" t="str">
            <v>51939-697LF</v>
          </cell>
          <cell r="B3607"/>
          <cell r="C3607"/>
          <cell r="D3607"/>
          <cell r="E3607"/>
          <cell r="F3607"/>
          <cell r="G3607">
            <v>3.1E-2</v>
          </cell>
          <cell r="H3607"/>
          <cell r="I3607"/>
          <cell r="J3607"/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>
            <v>2E-3</v>
          </cell>
        </row>
        <row r="3608">
          <cell r="A3608" t="str">
            <v>51939-698LF</v>
          </cell>
          <cell r="B3608"/>
          <cell r="C3608"/>
          <cell r="D3608"/>
          <cell r="E3608"/>
          <cell r="F3608"/>
          <cell r="G3608">
            <v>2.5999999999999999E-2</v>
          </cell>
          <cell r="H3608"/>
          <cell r="I3608"/>
          <cell r="J3608"/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>
            <v>2E-3</v>
          </cell>
        </row>
        <row r="3609">
          <cell r="A3609" t="str">
            <v>51939-699LF</v>
          </cell>
          <cell r="B3609"/>
          <cell r="C3609"/>
          <cell r="D3609"/>
          <cell r="E3609"/>
          <cell r="F3609"/>
          <cell r="G3609">
            <v>2.8000000000000001E-2</v>
          </cell>
          <cell r="H3609"/>
          <cell r="I3609"/>
          <cell r="J3609"/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>
            <v>2E-3</v>
          </cell>
        </row>
        <row r="3610">
          <cell r="A3610" t="str">
            <v>51939-700LF</v>
          </cell>
          <cell r="B3610"/>
          <cell r="C3610"/>
          <cell r="D3610"/>
          <cell r="E3610"/>
          <cell r="F3610"/>
          <cell r="G3610">
            <v>2.5999999999999999E-2</v>
          </cell>
          <cell r="H3610"/>
          <cell r="I3610"/>
          <cell r="J3610"/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>
            <v>2E-3</v>
          </cell>
        </row>
        <row r="3611">
          <cell r="A3611" t="str">
            <v>51939-701LF</v>
          </cell>
          <cell r="B3611"/>
          <cell r="C3611"/>
          <cell r="D3611"/>
          <cell r="E3611"/>
          <cell r="F3611"/>
          <cell r="G3611">
            <v>2.7E-2</v>
          </cell>
          <cell r="H3611"/>
          <cell r="I3611"/>
          <cell r="J3611"/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>
            <v>2E-3</v>
          </cell>
        </row>
        <row r="3612">
          <cell r="A3612" t="str">
            <v>51939-703LF</v>
          </cell>
          <cell r="B3612"/>
          <cell r="C3612"/>
          <cell r="D3612"/>
          <cell r="E3612"/>
          <cell r="F3612"/>
          <cell r="G3612">
            <v>3.2000000000000001E-2</v>
          </cell>
          <cell r="H3612"/>
          <cell r="I3612"/>
          <cell r="J3612"/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>
            <v>6.1000000000000004E-3</v>
          </cell>
        </row>
        <row r="3613">
          <cell r="A3613" t="str">
            <v>51939-704LF</v>
          </cell>
          <cell r="B3613"/>
          <cell r="C3613"/>
          <cell r="D3613"/>
          <cell r="E3613"/>
          <cell r="F3613"/>
          <cell r="G3613">
            <v>4.4999999999999998E-2</v>
          </cell>
          <cell r="H3613"/>
          <cell r="I3613"/>
          <cell r="J3613"/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>
            <v>2E-3</v>
          </cell>
        </row>
        <row r="3614">
          <cell r="A3614" t="str">
            <v>51939-705LF</v>
          </cell>
          <cell r="B3614"/>
          <cell r="C3614"/>
          <cell r="D3614"/>
          <cell r="E3614"/>
          <cell r="F3614"/>
          <cell r="G3614">
            <v>2.5999999999999999E-2</v>
          </cell>
          <cell r="H3614"/>
          <cell r="I3614"/>
          <cell r="J3614"/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>
            <v>2E-3</v>
          </cell>
        </row>
        <row r="3615">
          <cell r="A3615" t="str">
            <v>51939-706LF</v>
          </cell>
          <cell r="B3615"/>
          <cell r="C3615"/>
          <cell r="D3615"/>
          <cell r="E3615"/>
          <cell r="F3615"/>
          <cell r="G3615">
            <v>1.4999999999999999E-2</v>
          </cell>
          <cell r="H3615"/>
          <cell r="I3615"/>
          <cell r="J3615"/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>
            <v>6.1000000000000004E-3</v>
          </cell>
        </row>
        <row r="3616">
          <cell r="A3616" t="str">
            <v>51939-707LF</v>
          </cell>
          <cell r="B3616"/>
          <cell r="C3616"/>
          <cell r="D3616"/>
          <cell r="E3616"/>
          <cell r="F3616"/>
          <cell r="G3616">
            <v>3.9E-2</v>
          </cell>
          <cell r="H3616"/>
          <cell r="I3616"/>
          <cell r="J3616"/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>
            <v>2E-3</v>
          </cell>
        </row>
        <row r="3617">
          <cell r="A3617" t="str">
            <v>51939-708LF</v>
          </cell>
          <cell r="B3617"/>
          <cell r="C3617"/>
          <cell r="D3617"/>
          <cell r="E3617"/>
          <cell r="F3617"/>
          <cell r="G3617">
            <v>2.5000000000000001E-2</v>
          </cell>
          <cell r="H3617"/>
          <cell r="I3617"/>
          <cell r="J3617"/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>
            <v>3.5000000000000001E-3</v>
          </cell>
        </row>
        <row r="3618">
          <cell r="A3618" t="str">
            <v>51939-709LF</v>
          </cell>
          <cell r="B3618"/>
          <cell r="C3618"/>
          <cell r="D3618"/>
          <cell r="E3618"/>
          <cell r="F3618"/>
          <cell r="G3618">
            <v>3.9E-2</v>
          </cell>
          <cell r="H3618"/>
          <cell r="I3618"/>
          <cell r="J3618"/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>
            <v>2E-3</v>
          </cell>
        </row>
        <row r="3619">
          <cell r="A3619" t="str">
            <v>51939-710LF</v>
          </cell>
          <cell r="B3619"/>
          <cell r="C3619"/>
          <cell r="D3619"/>
          <cell r="E3619"/>
          <cell r="F3619"/>
          <cell r="G3619">
            <v>3.2000000000000001E-2</v>
          </cell>
          <cell r="H3619"/>
          <cell r="I3619"/>
          <cell r="J3619"/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>
            <v>2E-3</v>
          </cell>
        </row>
        <row r="3620">
          <cell r="A3620" t="str">
            <v>51939-711LF</v>
          </cell>
          <cell r="B3620"/>
          <cell r="C3620"/>
          <cell r="D3620"/>
          <cell r="E3620"/>
          <cell r="F3620"/>
          <cell r="G3620">
            <v>8.8200000000000001E-2</v>
          </cell>
          <cell r="H3620"/>
          <cell r="I3620"/>
          <cell r="J3620"/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>
            <v>2E-3</v>
          </cell>
        </row>
        <row r="3621">
          <cell r="A3621" t="str">
            <v>51939-712LF</v>
          </cell>
          <cell r="B3621"/>
          <cell r="C3621"/>
          <cell r="D3621"/>
          <cell r="E3621"/>
          <cell r="F3621"/>
          <cell r="G3621">
            <v>7.0999999999999994E-2</v>
          </cell>
          <cell r="H3621"/>
          <cell r="I3621"/>
          <cell r="J3621"/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>
            <v>4.0000000000000001E-3</v>
          </cell>
        </row>
        <row r="3622">
          <cell r="A3622" t="str">
            <v>51939-713LF</v>
          </cell>
          <cell r="B3622"/>
          <cell r="C3622"/>
          <cell r="D3622"/>
          <cell r="E3622"/>
          <cell r="F3622"/>
          <cell r="G3622">
            <v>2.9000000000000001E-2</v>
          </cell>
          <cell r="H3622"/>
          <cell r="I3622"/>
          <cell r="J3622"/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>
            <v>2E-3</v>
          </cell>
        </row>
        <row r="3623">
          <cell r="A3623" t="str">
            <v>51939-715LF</v>
          </cell>
          <cell r="B3623"/>
          <cell r="C3623"/>
          <cell r="D3623"/>
          <cell r="E3623"/>
          <cell r="F3623"/>
          <cell r="G3623">
            <v>3.5999999999999997E-2</v>
          </cell>
          <cell r="H3623"/>
          <cell r="I3623"/>
          <cell r="J3623"/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>
            <v>0.02</v>
          </cell>
        </row>
        <row r="3624">
          <cell r="A3624" t="str">
            <v>51939-716LF</v>
          </cell>
          <cell r="B3624"/>
          <cell r="C3624"/>
          <cell r="D3624"/>
          <cell r="E3624"/>
          <cell r="F3624"/>
          <cell r="G3624">
            <v>1.7999999999999999E-2</v>
          </cell>
          <cell r="H3624"/>
          <cell r="I3624"/>
          <cell r="J3624"/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>
            <v>6.1000000000000004E-3</v>
          </cell>
        </row>
        <row r="3625">
          <cell r="A3625" t="str">
            <v>51939-717LF</v>
          </cell>
          <cell r="B3625"/>
          <cell r="C3625"/>
          <cell r="D3625"/>
          <cell r="E3625"/>
          <cell r="F3625"/>
          <cell r="G3625">
            <v>2.7E-2</v>
          </cell>
          <cell r="H3625"/>
          <cell r="I3625"/>
          <cell r="J3625"/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>
            <v>2E-3</v>
          </cell>
        </row>
        <row r="3626">
          <cell r="A3626" t="str">
            <v>51939-718LF</v>
          </cell>
          <cell r="B3626"/>
          <cell r="C3626"/>
          <cell r="D3626"/>
          <cell r="E3626"/>
          <cell r="F3626"/>
          <cell r="G3626">
            <v>8.8200000000000001E-2</v>
          </cell>
          <cell r="H3626"/>
          <cell r="I3626"/>
          <cell r="J3626"/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>
            <v>2E-3</v>
          </cell>
        </row>
        <row r="3627">
          <cell r="A3627" t="str">
            <v>51939-719LF</v>
          </cell>
          <cell r="B3627"/>
          <cell r="C3627"/>
          <cell r="D3627"/>
          <cell r="E3627"/>
          <cell r="F3627"/>
          <cell r="G3627">
            <v>1.7999999999999999E-2</v>
          </cell>
          <cell r="H3627"/>
          <cell r="I3627"/>
          <cell r="J3627"/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>
            <v>6.1000000000000004E-3</v>
          </cell>
        </row>
        <row r="3628">
          <cell r="A3628" t="str">
            <v>51939-721LF</v>
          </cell>
          <cell r="B3628"/>
          <cell r="C3628"/>
          <cell r="D3628"/>
          <cell r="E3628"/>
          <cell r="F3628"/>
          <cell r="G3628">
            <v>7.9000000000000001E-2</v>
          </cell>
          <cell r="H3628"/>
          <cell r="I3628"/>
          <cell r="J3628"/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>
            <v>4.0000000000000001E-3</v>
          </cell>
        </row>
        <row r="3629">
          <cell r="A3629" t="str">
            <v>51939-722LF</v>
          </cell>
          <cell r="B3629"/>
          <cell r="C3629"/>
          <cell r="D3629"/>
          <cell r="E3629"/>
          <cell r="F3629"/>
          <cell r="G3629">
            <v>3.1E-2</v>
          </cell>
          <cell r="H3629"/>
          <cell r="I3629"/>
          <cell r="J3629"/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>
            <v>2E-3</v>
          </cell>
        </row>
        <row r="3630">
          <cell r="A3630" t="str">
            <v>51939-723LF</v>
          </cell>
          <cell r="B3630"/>
          <cell r="C3630"/>
          <cell r="D3630"/>
          <cell r="E3630"/>
          <cell r="F3630"/>
          <cell r="G3630">
            <v>2.7E-2</v>
          </cell>
          <cell r="H3630"/>
          <cell r="I3630"/>
          <cell r="J3630"/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>
            <v>2E-3</v>
          </cell>
        </row>
        <row r="3631">
          <cell r="A3631" t="str">
            <v>51939-725LF</v>
          </cell>
          <cell r="B3631"/>
          <cell r="C3631"/>
          <cell r="D3631"/>
          <cell r="E3631"/>
          <cell r="F3631"/>
          <cell r="G3631">
            <v>0.05</v>
          </cell>
          <cell r="H3631"/>
          <cell r="I3631"/>
          <cell r="J3631"/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>
            <v>2E-3</v>
          </cell>
        </row>
        <row r="3632">
          <cell r="A3632" t="str">
            <v>51939-726LF</v>
          </cell>
          <cell r="B3632"/>
          <cell r="C3632"/>
          <cell r="D3632"/>
          <cell r="E3632"/>
          <cell r="F3632"/>
          <cell r="G3632">
            <v>2.3649091000000001E-2</v>
          </cell>
          <cell r="H3632"/>
          <cell r="I3632"/>
          <cell r="J3632"/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>
            <v>2E-3</v>
          </cell>
        </row>
        <row r="3633">
          <cell r="A3633" t="str">
            <v>51939-727LF</v>
          </cell>
          <cell r="B3633"/>
          <cell r="C3633"/>
          <cell r="D3633"/>
          <cell r="E3633"/>
          <cell r="F3633"/>
          <cell r="G3633">
            <v>3.7999999999999999E-2</v>
          </cell>
          <cell r="H3633"/>
          <cell r="I3633"/>
          <cell r="J3633"/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>
            <v>2E-3</v>
          </cell>
        </row>
        <row r="3634">
          <cell r="A3634" t="str">
            <v>51939-730LF</v>
          </cell>
          <cell r="B3634"/>
          <cell r="C3634"/>
          <cell r="D3634"/>
          <cell r="E3634"/>
          <cell r="F3634"/>
          <cell r="G3634">
            <v>3.7999999999999999E-2</v>
          </cell>
          <cell r="H3634"/>
          <cell r="I3634"/>
          <cell r="J3634"/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>
            <v>2E-3</v>
          </cell>
        </row>
        <row r="3635">
          <cell r="A3635" t="str">
            <v>51939-731LF</v>
          </cell>
          <cell r="B3635"/>
          <cell r="C3635"/>
          <cell r="D3635"/>
          <cell r="E3635"/>
          <cell r="F3635"/>
          <cell r="G3635">
            <v>3.9E-2</v>
          </cell>
          <cell r="H3635"/>
          <cell r="I3635"/>
          <cell r="J3635"/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>
            <v>2E-3</v>
          </cell>
        </row>
        <row r="3636">
          <cell r="A3636" t="str">
            <v>51939-732LF</v>
          </cell>
          <cell r="B3636"/>
          <cell r="C3636"/>
          <cell r="D3636"/>
          <cell r="E3636"/>
          <cell r="F3636"/>
          <cell r="G3636">
            <v>1.6299999999999999E-2</v>
          </cell>
          <cell r="H3636"/>
          <cell r="I3636"/>
          <cell r="J3636"/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>
            <v>6.1000000000000004E-3</v>
          </cell>
        </row>
        <row r="3637">
          <cell r="A3637" t="str">
            <v>51939-732NKLF</v>
          </cell>
          <cell r="B3637"/>
          <cell r="C3637"/>
          <cell r="D3637"/>
          <cell r="E3637"/>
          <cell r="F3637"/>
          <cell r="G3637">
            <v>1.47E-2</v>
          </cell>
          <cell r="H3637"/>
          <cell r="I3637"/>
          <cell r="J3637"/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>
            <v>6.1000000000000004E-3</v>
          </cell>
        </row>
        <row r="3638">
          <cell r="A3638" t="str">
            <v>51939-734LF</v>
          </cell>
          <cell r="B3638"/>
          <cell r="C3638"/>
          <cell r="D3638"/>
          <cell r="E3638"/>
          <cell r="F3638"/>
          <cell r="G3638">
            <v>3.15E-2</v>
          </cell>
          <cell r="H3638"/>
          <cell r="I3638"/>
          <cell r="J3638"/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>
            <v>2E-3</v>
          </cell>
        </row>
        <row r="3639">
          <cell r="A3639" t="str">
            <v>51939-736LF</v>
          </cell>
          <cell r="B3639"/>
          <cell r="C3639"/>
          <cell r="D3639"/>
          <cell r="E3639"/>
          <cell r="F3639"/>
          <cell r="G3639">
            <v>2.8000000000000001E-2</v>
          </cell>
          <cell r="H3639"/>
          <cell r="I3639"/>
          <cell r="J3639"/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>
            <v>2E-3</v>
          </cell>
        </row>
        <row r="3640">
          <cell r="A3640" t="str">
            <v>51939-737LF</v>
          </cell>
          <cell r="B3640"/>
          <cell r="C3640"/>
          <cell r="D3640"/>
          <cell r="E3640"/>
          <cell r="F3640"/>
          <cell r="G3640">
            <v>3.5999999999999997E-2</v>
          </cell>
          <cell r="H3640"/>
          <cell r="I3640"/>
          <cell r="J3640"/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>
            <v>2E-3</v>
          </cell>
        </row>
        <row r="3641">
          <cell r="A3641" t="str">
            <v>51939-739LF</v>
          </cell>
          <cell r="B3641"/>
          <cell r="C3641"/>
          <cell r="D3641"/>
          <cell r="E3641"/>
          <cell r="F3641"/>
          <cell r="G3641">
            <v>3.6999999999999998E-2</v>
          </cell>
          <cell r="H3641"/>
          <cell r="I3641"/>
          <cell r="J3641"/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>
            <v>2E-3</v>
          </cell>
        </row>
        <row r="3642">
          <cell r="A3642" t="str">
            <v>51939-740LF</v>
          </cell>
          <cell r="B3642"/>
          <cell r="C3642"/>
          <cell r="D3642"/>
          <cell r="E3642"/>
          <cell r="F3642"/>
          <cell r="G3642">
            <v>4.2000000000000003E-2</v>
          </cell>
          <cell r="H3642"/>
          <cell r="I3642"/>
          <cell r="J3642"/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>
            <v>2E-3</v>
          </cell>
        </row>
        <row r="3643">
          <cell r="A3643" t="str">
            <v>51939-742LF</v>
          </cell>
          <cell r="B3643"/>
          <cell r="C3643"/>
          <cell r="D3643"/>
          <cell r="E3643"/>
          <cell r="F3643"/>
          <cell r="G3643">
            <v>2.7E-2</v>
          </cell>
          <cell r="H3643"/>
          <cell r="I3643"/>
          <cell r="J3643"/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>
            <v>2E-3</v>
          </cell>
        </row>
        <row r="3644">
          <cell r="A3644" t="str">
            <v>51939-744LF</v>
          </cell>
          <cell r="B3644"/>
          <cell r="C3644"/>
          <cell r="D3644"/>
          <cell r="E3644"/>
          <cell r="F3644"/>
          <cell r="G3644">
            <v>1.7999999999999999E-2</v>
          </cell>
          <cell r="H3644"/>
          <cell r="I3644"/>
          <cell r="J3644"/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>
            <v>6.1000000000000004E-3</v>
          </cell>
        </row>
        <row r="3645">
          <cell r="A3645" t="str">
            <v>51939-747LF</v>
          </cell>
          <cell r="B3645"/>
          <cell r="C3645"/>
          <cell r="D3645"/>
          <cell r="E3645"/>
          <cell r="F3645"/>
          <cell r="G3645">
            <v>2.1999999999999999E-2</v>
          </cell>
          <cell r="H3645"/>
          <cell r="I3645"/>
          <cell r="J3645"/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>
            <v>2E-3</v>
          </cell>
        </row>
        <row r="3646">
          <cell r="A3646" t="str">
            <v>51939-748LF</v>
          </cell>
          <cell r="B3646"/>
          <cell r="C3646"/>
          <cell r="D3646"/>
          <cell r="E3646"/>
          <cell r="F3646"/>
          <cell r="G3646">
            <v>0.02</v>
          </cell>
          <cell r="H3646"/>
          <cell r="I3646"/>
          <cell r="J3646"/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>
            <v>6.1000000000000004E-3</v>
          </cell>
        </row>
        <row r="3647">
          <cell r="A3647" t="str">
            <v>51939-751LF</v>
          </cell>
          <cell r="B3647"/>
          <cell r="C3647"/>
          <cell r="D3647"/>
          <cell r="E3647"/>
          <cell r="F3647"/>
          <cell r="G3647">
            <v>1.24E-2</v>
          </cell>
          <cell r="H3647"/>
          <cell r="I3647"/>
          <cell r="J3647"/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>
            <v>6.1000000000000004E-3</v>
          </cell>
        </row>
        <row r="3648">
          <cell r="A3648" t="str">
            <v>51939-751NPPLF</v>
          </cell>
          <cell r="B3648"/>
          <cell r="C3648"/>
          <cell r="D3648"/>
          <cell r="E3648"/>
          <cell r="F3648"/>
          <cell r="G3648">
            <v>1.4999999999999999E-2</v>
          </cell>
          <cell r="H3648"/>
          <cell r="I3648"/>
          <cell r="J3648"/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>
            <v>6.1000000000000004E-3</v>
          </cell>
        </row>
        <row r="3649">
          <cell r="A3649" t="str">
            <v>51939-753LF</v>
          </cell>
          <cell r="B3649"/>
          <cell r="C3649"/>
          <cell r="D3649"/>
          <cell r="E3649"/>
          <cell r="F3649"/>
          <cell r="G3649">
            <v>3.5000000000000003E-2</v>
          </cell>
          <cell r="H3649"/>
          <cell r="I3649"/>
          <cell r="J3649"/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>
            <v>2E-3</v>
          </cell>
        </row>
        <row r="3650">
          <cell r="A3650" t="str">
            <v>51939-754LF</v>
          </cell>
          <cell r="B3650"/>
          <cell r="C3650"/>
          <cell r="D3650"/>
          <cell r="E3650"/>
          <cell r="F3650"/>
          <cell r="G3650">
            <v>1.4999999999999999E-2</v>
          </cell>
          <cell r="H3650"/>
          <cell r="I3650"/>
          <cell r="J3650"/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>
            <v>6.1000000000000004E-3</v>
          </cell>
        </row>
        <row r="3651">
          <cell r="A3651" t="str">
            <v>51939-757LF</v>
          </cell>
          <cell r="B3651"/>
          <cell r="C3651"/>
          <cell r="D3651"/>
          <cell r="E3651"/>
          <cell r="F3651"/>
          <cell r="G3651">
            <v>2.1999999999999999E-2</v>
          </cell>
          <cell r="H3651"/>
          <cell r="I3651"/>
          <cell r="J3651"/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>
            <v>2E-3</v>
          </cell>
        </row>
        <row r="3652">
          <cell r="A3652" t="str">
            <v>51939-758LF</v>
          </cell>
          <cell r="B3652"/>
          <cell r="C3652"/>
          <cell r="D3652"/>
          <cell r="E3652"/>
          <cell r="F3652"/>
          <cell r="G3652">
            <v>4.8000000000000001E-2</v>
          </cell>
          <cell r="H3652"/>
          <cell r="I3652"/>
          <cell r="J3652"/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>
            <v>3.0000000000000001E-3</v>
          </cell>
        </row>
        <row r="3653">
          <cell r="A3653" t="str">
            <v>51939-759LF</v>
          </cell>
          <cell r="B3653"/>
          <cell r="C3653"/>
          <cell r="D3653"/>
          <cell r="E3653"/>
          <cell r="F3653"/>
          <cell r="G3653">
            <v>2.4E-2</v>
          </cell>
          <cell r="H3653"/>
          <cell r="I3653"/>
          <cell r="J3653"/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>
            <v>2E-3</v>
          </cell>
        </row>
        <row r="3654">
          <cell r="A3654" t="str">
            <v>51939-760LF</v>
          </cell>
          <cell r="B3654"/>
          <cell r="C3654"/>
          <cell r="D3654"/>
          <cell r="E3654"/>
          <cell r="F3654"/>
          <cell r="G3654">
            <v>2.4E-2</v>
          </cell>
          <cell r="H3654"/>
          <cell r="I3654"/>
          <cell r="J3654"/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>
            <v>2E-3</v>
          </cell>
        </row>
        <row r="3655">
          <cell r="A3655" t="str">
            <v>51939-761LF</v>
          </cell>
          <cell r="B3655"/>
          <cell r="C3655"/>
          <cell r="D3655"/>
          <cell r="E3655"/>
          <cell r="F3655"/>
          <cell r="G3655">
            <v>3.4000000000000002E-2</v>
          </cell>
          <cell r="H3655"/>
          <cell r="I3655"/>
          <cell r="J3655"/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>
            <v>2E-3</v>
          </cell>
        </row>
        <row r="3656">
          <cell r="A3656" t="str">
            <v>51939-765LF</v>
          </cell>
          <cell r="B3656"/>
          <cell r="C3656"/>
          <cell r="D3656"/>
          <cell r="E3656"/>
          <cell r="F3656"/>
          <cell r="G3656">
            <v>5.6000000000000001E-2</v>
          </cell>
          <cell r="H3656"/>
          <cell r="I3656"/>
          <cell r="J3656"/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>
            <v>3.0000000000000001E-3</v>
          </cell>
        </row>
        <row r="3657">
          <cell r="A3657" t="str">
            <v>51939-766LF</v>
          </cell>
          <cell r="B3657"/>
          <cell r="C3657"/>
          <cell r="D3657"/>
          <cell r="E3657"/>
          <cell r="F3657"/>
          <cell r="G3657">
            <v>5.2499999999999998E-2</v>
          </cell>
          <cell r="H3657"/>
          <cell r="I3657"/>
          <cell r="J3657"/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>
            <v>3.0000000000000001E-3</v>
          </cell>
        </row>
        <row r="3658">
          <cell r="A3658" t="str">
            <v>51939-767LF</v>
          </cell>
          <cell r="B3658"/>
          <cell r="C3658"/>
          <cell r="D3658"/>
          <cell r="E3658"/>
          <cell r="F3658"/>
          <cell r="G3658">
            <v>5.5E-2</v>
          </cell>
          <cell r="H3658"/>
          <cell r="I3658"/>
          <cell r="J3658"/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>
            <v>3.0000000000000001E-3</v>
          </cell>
        </row>
        <row r="3659">
          <cell r="A3659" t="str">
            <v>51939-768LF</v>
          </cell>
          <cell r="B3659"/>
          <cell r="C3659"/>
          <cell r="D3659"/>
          <cell r="E3659"/>
          <cell r="F3659"/>
          <cell r="G3659">
            <v>1.43E-2</v>
          </cell>
          <cell r="H3659"/>
          <cell r="I3659"/>
          <cell r="J3659"/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>
            <v>2E-3</v>
          </cell>
        </row>
        <row r="3660">
          <cell r="A3660" t="str">
            <v>51939-770LF</v>
          </cell>
          <cell r="B3660"/>
          <cell r="C3660"/>
          <cell r="D3660"/>
          <cell r="E3660"/>
          <cell r="F3660"/>
          <cell r="G3660">
            <v>3.1E-2</v>
          </cell>
          <cell r="H3660"/>
          <cell r="I3660"/>
          <cell r="J3660"/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>
            <v>2E-3</v>
          </cell>
        </row>
        <row r="3661">
          <cell r="A3661" t="str">
            <v>51939-779LF</v>
          </cell>
          <cell r="B3661"/>
          <cell r="C3661"/>
          <cell r="D3661"/>
          <cell r="E3661"/>
          <cell r="F3661"/>
          <cell r="G3661">
            <v>4.3999999999999997E-2</v>
          </cell>
          <cell r="H3661"/>
          <cell r="I3661"/>
          <cell r="J3661"/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>
            <v>2E-3</v>
          </cell>
        </row>
        <row r="3662">
          <cell r="A3662" t="str">
            <v>51939-780LF</v>
          </cell>
          <cell r="B3662"/>
          <cell r="C3662"/>
          <cell r="D3662"/>
          <cell r="E3662"/>
          <cell r="F3662"/>
          <cell r="G3662">
            <v>3.2000000000000001E-2</v>
          </cell>
          <cell r="H3662"/>
          <cell r="I3662"/>
          <cell r="J3662"/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>
            <v>2E-3</v>
          </cell>
        </row>
        <row r="3663">
          <cell r="A3663" t="str">
            <v>51939-783LF</v>
          </cell>
          <cell r="B3663"/>
          <cell r="C3663"/>
          <cell r="D3663"/>
          <cell r="E3663"/>
          <cell r="F3663"/>
          <cell r="G3663">
            <v>2.4E-2</v>
          </cell>
          <cell r="H3663"/>
          <cell r="I3663"/>
          <cell r="J3663"/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>
            <v>2E-3</v>
          </cell>
        </row>
        <row r="3664">
          <cell r="A3664" t="str">
            <v>51939-784LF</v>
          </cell>
          <cell r="B3664"/>
          <cell r="C3664"/>
          <cell r="D3664"/>
          <cell r="E3664"/>
          <cell r="F3664"/>
          <cell r="G3664">
            <v>6.5000000000000002E-2</v>
          </cell>
          <cell r="H3664"/>
          <cell r="I3664"/>
          <cell r="J3664"/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>
            <v>6.1000000000000004E-3</v>
          </cell>
        </row>
        <row r="3665">
          <cell r="A3665" t="str">
            <v>51939-785LF</v>
          </cell>
          <cell r="B3665"/>
          <cell r="C3665"/>
          <cell r="D3665"/>
          <cell r="E3665"/>
          <cell r="F3665"/>
          <cell r="G3665">
            <v>2.5000000000000001E-2</v>
          </cell>
          <cell r="H3665"/>
          <cell r="I3665"/>
          <cell r="J3665"/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</row>
        <row r="3666">
          <cell r="A3666" t="str">
            <v>51939-786LF</v>
          </cell>
          <cell r="B3666"/>
          <cell r="C3666"/>
          <cell r="D3666"/>
          <cell r="E3666"/>
          <cell r="F3666"/>
          <cell r="G3666">
            <v>3.3000000000000002E-2</v>
          </cell>
          <cell r="H3666"/>
          <cell r="I3666"/>
          <cell r="J3666"/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>
            <v>2E-3</v>
          </cell>
        </row>
        <row r="3667">
          <cell r="A3667" t="str">
            <v>51939-787LF</v>
          </cell>
          <cell r="B3667"/>
          <cell r="C3667"/>
          <cell r="D3667"/>
          <cell r="E3667"/>
          <cell r="F3667"/>
          <cell r="G3667">
            <v>5.1299999999999998E-2</v>
          </cell>
          <cell r="H3667"/>
          <cell r="I3667"/>
          <cell r="J3667"/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>
            <v>3.0000000000000001E-3</v>
          </cell>
        </row>
        <row r="3668">
          <cell r="A3668" t="str">
            <v>51939-789LF</v>
          </cell>
          <cell r="B3668"/>
          <cell r="C3668"/>
          <cell r="D3668"/>
          <cell r="E3668"/>
          <cell r="F3668"/>
          <cell r="G3668">
            <v>2.5999999999999999E-2</v>
          </cell>
          <cell r="H3668"/>
          <cell r="I3668"/>
          <cell r="J3668"/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>
            <v>2E-3</v>
          </cell>
        </row>
        <row r="3669">
          <cell r="A3669" t="str">
            <v>51939-790LF</v>
          </cell>
          <cell r="B3669"/>
          <cell r="C3669"/>
          <cell r="D3669"/>
          <cell r="E3669"/>
          <cell r="F3669"/>
          <cell r="G3669">
            <v>2.7E-2</v>
          </cell>
          <cell r="H3669"/>
          <cell r="I3669"/>
          <cell r="J3669"/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>
            <v>2E-3</v>
          </cell>
        </row>
        <row r="3670">
          <cell r="A3670" t="str">
            <v>51939-792LF</v>
          </cell>
          <cell r="B3670"/>
          <cell r="C3670"/>
          <cell r="D3670"/>
          <cell r="E3670"/>
          <cell r="F3670"/>
          <cell r="G3670">
            <v>3.7400000000000003E-2</v>
          </cell>
          <cell r="H3670"/>
          <cell r="I3670"/>
          <cell r="J3670"/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>
            <v>2E-3</v>
          </cell>
        </row>
        <row r="3671">
          <cell r="A3671" t="str">
            <v>51939-796LF</v>
          </cell>
          <cell r="B3671"/>
          <cell r="C3671"/>
          <cell r="D3671"/>
          <cell r="E3671"/>
          <cell r="F3671"/>
          <cell r="G3671">
            <v>6.8000000000000005E-2</v>
          </cell>
          <cell r="H3671"/>
          <cell r="I3671"/>
          <cell r="J3671"/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>
            <v>4.0000000000000001E-3</v>
          </cell>
        </row>
        <row r="3672">
          <cell r="A3672" t="str">
            <v>51939-798LF</v>
          </cell>
          <cell r="B3672"/>
          <cell r="C3672"/>
          <cell r="D3672"/>
          <cell r="E3672"/>
          <cell r="F3672"/>
          <cell r="G3672">
            <v>2.8000000000000001E-2</v>
          </cell>
          <cell r="H3672"/>
          <cell r="I3672"/>
          <cell r="J3672"/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>
            <v>2E-3</v>
          </cell>
        </row>
        <row r="3673">
          <cell r="A3673" t="str">
            <v>51939-802LF</v>
          </cell>
          <cell r="B3673"/>
          <cell r="C3673"/>
          <cell r="D3673"/>
          <cell r="E3673"/>
          <cell r="F3673"/>
          <cell r="G3673">
            <v>2.7E-2</v>
          </cell>
          <cell r="H3673"/>
          <cell r="I3673"/>
          <cell r="J3673"/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>
            <v>2E-3</v>
          </cell>
        </row>
        <row r="3674">
          <cell r="A3674" t="str">
            <v>51939-803LF</v>
          </cell>
          <cell r="B3674"/>
          <cell r="C3674"/>
          <cell r="D3674"/>
          <cell r="E3674"/>
          <cell r="F3674"/>
          <cell r="G3674">
            <v>4.2000000000000003E-2</v>
          </cell>
          <cell r="H3674"/>
          <cell r="I3674"/>
          <cell r="J3674"/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>
            <v>2E-3</v>
          </cell>
        </row>
        <row r="3675">
          <cell r="A3675" t="str">
            <v>51939-804LF</v>
          </cell>
          <cell r="B3675"/>
          <cell r="C3675"/>
          <cell r="D3675"/>
          <cell r="E3675"/>
          <cell r="F3675"/>
          <cell r="G3675">
            <v>6.8000000000000005E-2</v>
          </cell>
          <cell r="H3675"/>
          <cell r="I3675"/>
          <cell r="J3675"/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>
            <v>4.0000000000000001E-3</v>
          </cell>
        </row>
        <row r="3676">
          <cell r="A3676" t="str">
            <v>51939-805LF</v>
          </cell>
          <cell r="B3676"/>
          <cell r="C3676"/>
          <cell r="D3676"/>
          <cell r="E3676"/>
          <cell r="F3676"/>
          <cell r="G3676">
            <v>2.1999999999999999E-2</v>
          </cell>
          <cell r="H3676"/>
          <cell r="I3676"/>
          <cell r="J3676"/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>
            <v>2E-3</v>
          </cell>
        </row>
        <row r="3677">
          <cell r="A3677" t="str">
            <v>51939-807LF</v>
          </cell>
          <cell r="B3677"/>
          <cell r="C3677"/>
          <cell r="D3677"/>
          <cell r="E3677"/>
          <cell r="F3677"/>
          <cell r="G3677">
            <v>2.8000000000000001E-2</v>
          </cell>
          <cell r="H3677"/>
          <cell r="I3677"/>
          <cell r="J3677"/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>
            <v>2E-3</v>
          </cell>
        </row>
        <row r="3678">
          <cell r="A3678" t="str">
            <v>51939-808LF</v>
          </cell>
          <cell r="B3678"/>
          <cell r="C3678"/>
          <cell r="D3678"/>
          <cell r="E3678"/>
          <cell r="F3678"/>
          <cell r="G3678">
            <v>2.7210525999999999E-2</v>
          </cell>
          <cell r="H3678"/>
          <cell r="I3678"/>
          <cell r="J3678"/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>
            <v>2E-3</v>
          </cell>
        </row>
        <row r="3679">
          <cell r="A3679" t="str">
            <v>51939-810LF</v>
          </cell>
          <cell r="B3679"/>
          <cell r="C3679"/>
          <cell r="D3679"/>
          <cell r="E3679"/>
          <cell r="F3679"/>
          <cell r="G3679">
            <v>2.9000000000000001E-2</v>
          </cell>
          <cell r="H3679"/>
          <cell r="I3679"/>
          <cell r="J3679"/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>
            <v>2E-3</v>
          </cell>
        </row>
        <row r="3680">
          <cell r="A3680" t="str">
            <v>51939-812LF</v>
          </cell>
          <cell r="B3680"/>
          <cell r="C3680"/>
          <cell r="D3680"/>
          <cell r="E3680"/>
          <cell r="F3680"/>
          <cell r="G3680">
            <v>4.9000000000000002E-2</v>
          </cell>
          <cell r="H3680"/>
          <cell r="I3680"/>
          <cell r="J3680"/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>
            <v>2E-3</v>
          </cell>
        </row>
        <row r="3681">
          <cell r="A3681" t="str">
            <v>51939-814NSPLF</v>
          </cell>
          <cell r="B3681"/>
          <cell r="C3681"/>
          <cell r="D3681"/>
          <cell r="E3681"/>
          <cell r="F3681"/>
          <cell r="G3681">
            <v>2.9000000000000001E-2</v>
          </cell>
          <cell r="H3681"/>
          <cell r="I3681"/>
          <cell r="J3681"/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>
            <v>2E-3</v>
          </cell>
        </row>
        <row r="3682">
          <cell r="A3682" t="str">
            <v>51939-815LF</v>
          </cell>
          <cell r="B3682"/>
          <cell r="C3682"/>
          <cell r="D3682"/>
          <cell r="E3682"/>
          <cell r="F3682"/>
          <cell r="G3682">
            <v>3.2000000000000001E-2</v>
          </cell>
          <cell r="H3682"/>
          <cell r="I3682"/>
          <cell r="J3682"/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>
            <v>2E-3</v>
          </cell>
        </row>
        <row r="3683">
          <cell r="A3683" t="str">
            <v>51939-816LF</v>
          </cell>
          <cell r="B3683"/>
          <cell r="C3683"/>
          <cell r="D3683"/>
          <cell r="E3683"/>
          <cell r="F3683"/>
          <cell r="G3683">
            <v>2.9000000000000001E-2</v>
          </cell>
          <cell r="H3683"/>
          <cell r="I3683"/>
          <cell r="J3683"/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>
            <v>2E-3</v>
          </cell>
        </row>
        <row r="3684">
          <cell r="A3684" t="str">
            <v>51939-820LF</v>
          </cell>
          <cell r="B3684"/>
          <cell r="C3684"/>
          <cell r="D3684"/>
          <cell r="E3684"/>
          <cell r="F3684"/>
          <cell r="G3684">
            <v>3.7999999999999999E-2</v>
          </cell>
          <cell r="H3684"/>
          <cell r="I3684"/>
          <cell r="J3684"/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>
            <v>2E-3</v>
          </cell>
        </row>
        <row r="3685">
          <cell r="A3685" t="str">
            <v>51939-822LF</v>
          </cell>
          <cell r="B3685"/>
          <cell r="C3685"/>
          <cell r="D3685"/>
          <cell r="E3685"/>
          <cell r="F3685"/>
          <cell r="G3685">
            <v>4.4999999999999998E-2</v>
          </cell>
          <cell r="H3685"/>
          <cell r="I3685"/>
          <cell r="J3685"/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>
            <v>2E-3</v>
          </cell>
        </row>
        <row r="3686">
          <cell r="A3686" t="str">
            <v>51939-824LF</v>
          </cell>
          <cell r="B3686"/>
          <cell r="C3686"/>
          <cell r="D3686"/>
          <cell r="E3686"/>
          <cell r="F3686"/>
          <cell r="G3686">
            <v>2.8000000000000001E-2</v>
          </cell>
          <cell r="H3686"/>
          <cell r="I3686"/>
          <cell r="J3686"/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>
            <v>6.1000000000000004E-3</v>
          </cell>
        </row>
        <row r="3687">
          <cell r="A3687" t="str">
            <v>51939-826LF</v>
          </cell>
          <cell r="B3687"/>
          <cell r="C3687"/>
          <cell r="D3687"/>
          <cell r="E3687"/>
          <cell r="F3687"/>
          <cell r="G3687">
            <v>3.6999999999999998E-2</v>
          </cell>
          <cell r="H3687"/>
          <cell r="I3687"/>
          <cell r="J3687"/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>
            <v>2E-3</v>
          </cell>
        </row>
        <row r="3688">
          <cell r="A3688" t="str">
            <v>51939-829LF</v>
          </cell>
          <cell r="B3688"/>
          <cell r="C3688"/>
          <cell r="D3688"/>
          <cell r="E3688"/>
          <cell r="F3688"/>
          <cell r="G3688">
            <v>3.6999999999999998E-2</v>
          </cell>
          <cell r="H3688"/>
          <cell r="I3688"/>
          <cell r="J3688"/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>
            <v>2E-3</v>
          </cell>
        </row>
        <row r="3689">
          <cell r="A3689" t="str">
            <v>51939-830LF</v>
          </cell>
          <cell r="B3689"/>
          <cell r="C3689"/>
          <cell r="D3689"/>
          <cell r="E3689"/>
          <cell r="F3689"/>
          <cell r="G3689">
            <v>2.7E-2</v>
          </cell>
          <cell r="H3689"/>
          <cell r="I3689"/>
          <cell r="J3689"/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>
            <v>2E-3</v>
          </cell>
        </row>
        <row r="3690">
          <cell r="A3690" t="str">
            <v>51939-833LF</v>
          </cell>
          <cell r="B3690"/>
          <cell r="C3690"/>
          <cell r="D3690"/>
          <cell r="E3690"/>
          <cell r="F3690"/>
          <cell r="G3690">
            <v>2.1999999999999999E-2</v>
          </cell>
          <cell r="H3690"/>
          <cell r="I3690"/>
          <cell r="J3690"/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>
            <v>2E-3</v>
          </cell>
        </row>
        <row r="3691">
          <cell r="A3691" t="str">
            <v>51939-834LF</v>
          </cell>
          <cell r="B3691"/>
          <cell r="C3691"/>
          <cell r="D3691"/>
          <cell r="E3691"/>
          <cell r="F3691"/>
          <cell r="G3691">
            <v>2.1984119999999999E-2</v>
          </cell>
          <cell r="H3691"/>
          <cell r="I3691"/>
          <cell r="J3691"/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>
            <v>5.0000000000000001E-3</v>
          </cell>
        </row>
        <row r="3692">
          <cell r="A3692" t="str">
            <v>51939-835LF</v>
          </cell>
          <cell r="B3692"/>
          <cell r="C3692"/>
          <cell r="D3692"/>
          <cell r="E3692"/>
          <cell r="F3692"/>
          <cell r="G3692">
            <v>4.3999999999999997E-2</v>
          </cell>
          <cell r="H3692"/>
          <cell r="I3692"/>
          <cell r="J3692"/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>
            <v>2E-3</v>
          </cell>
        </row>
        <row r="3693">
          <cell r="A3693" t="str">
            <v>51939-838LF</v>
          </cell>
          <cell r="B3693"/>
          <cell r="C3693"/>
          <cell r="D3693"/>
          <cell r="E3693"/>
          <cell r="F3693"/>
          <cell r="G3693">
            <v>3.5999999999999997E-2</v>
          </cell>
          <cell r="H3693"/>
          <cell r="I3693"/>
          <cell r="J3693"/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>
            <v>2E-3</v>
          </cell>
        </row>
        <row r="3694">
          <cell r="A3694" t="str">
            <v>51939-841LF</v>
          </cell>
          <cell r="B3694"/>
          <cell r="C3694"/>
          <cell r="D3694"/>
          <cell r="E3694"/>
          <cell r="F3694"/>
          <cell r="G3694">
            <v>1.7600000000000001E-2</v>
          </cell>
          <cell r="H3694"/>
          <cell r="I3694"/>
          <cell r="J3694"/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>
            <v>6.1000000000000004E-3</v>
          </cell>
        </row>
        <row r="3695">
          <cell r="A3695" t="str">
            <v>51939-842LF</v>
          </cell>
          <cell r="B3695"/>
          <cell r="C3695"/>
          <cell r="D3695"/>
          <cell r="E3695"/>
          <cell r="F3695"/>
          <cell r="G3695">
            <v>5.1999999999999998E-2</v>
          </cell>
          <cell r="H3695"/>
          <cell r="I3695"/>
          <cell r="J3695"/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>
            <v>4.0000000000000001E-3</v>
          </cell>
        </row>
        <row r="3696">
          <cell r="A3696" t="str">
            <v>51939-843LF</v>
          </cell>
          <cell r="B3696"/>
          <cell r="C3696"/>
          <cell r="D3696"/>
          <cell r="E3696"/>
          <cell r="F3696"/>
          <cell r="G3696">
            <v>1.7000000000000001E-2</v>
          </cell>
          <cell r="H3696"/>
          <cell r="I3696"/>
          <cell r="J3696"/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>
            <v>6.1000000000000004E-3</v>
          </cell>
        </row>
        <row r="3697">
          <cell r="A3697" t="str">
            <v>51939-845LF</v>
          </cell>
          <cell r="B3697"/>
          <cell r="C3697"/>
          <cell r="D3697"/>
          <cell r="E3697"/>
          <cell r="F3697"/>
          <cell r="G3697">
            <v>2.9000000000000001E-2</v>
          </cell>
          <cell r="H3697"/>
          <cell r="I3697"/>
          <cell r="J3697"/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>
            <v>2E-3</v>
          </cell>
        </row>
        <row r="3698">
          <cell r="A3698" t="str">
            <v>51939-846LF</v>
          </cell>
          <cell r="B3698"/>
          <cell r="C3698"/>
          <cell r="D3698"/>
          <cell r="E3698"/>
          <cell r="F3698"/>
          <cell r="G3698">
            <v>1.7000000000000001E-2</v>
          </cell>
          <cell r="H3698"/>
          <cell r="I3698"/>
          <cell r="J3698"/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>
            <v>6.1000000000000004E-3</v>
          </cell>
        </row>
        <row r="3699">
          <cell r="A3699" t="str">
            <v>51939-847LF</v>
          </cell>
          <cell r="B3699"/>
          <cell r="C3699"/>
          <cell r="D3699"/>
          <cell r="E3699"/>
          <cell r="F3699"/>
          <cell r="G3699">
            <v>3.5000000000000003E-2</v>
          </cell>
          <cell r="H3699"/>
          <cell r="I3699"/>
          <cell r="J3699"/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>
            <v>2E-3</v>
          </cell>
        </row>
        <row r="3700">
          <cell r="A3700" t="str">
            <v>51939-848LF</v>
          </cell>
          <cell r="B3700"/>
          <cell r="C3700"/>
          <cell r="D3700"/>
          <cell r="E3700"/>
          <cell r="F3700"/>
          <cell r="G3700">
            <v>2.1100000000000001E-2</v>
          </cell>
          <cell r="H3700"/>
          <cell r="I3700"/>
          <cell r="J3700"/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>
            <v>2E-3</v>
          </cell>
        </row>
        <row r="3701">
          <cell r="A3701" t="str">
            <v>51939-849LF</v>
          </cell>
          <cell r="B3701"/>
          <cell r="C3701"/>
          <cell r="D3701"/>
          <cell r="E3701"/>
          <cell r="F3701"/>
          <cell r="G3701">
            <v>3.9E-2</v>
          </cell>
          <cell r="H3701"/>
          <cell r="I3701"/>
          <cell r="J3701"/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>
            <v>2E-3</v>
          </cell>
        </row>
        <row r="3702">
          <cell r="A3702" t="str">
            <v>51939-850LF</v>
          </cell>
          <cell r="B3702"/>
          <cell r="C3702"/>
          <cell r="D3702"/>
          <cell r="E3702"/>
          <cell r="F3702"/>
          <cell r="G3702">
            <v>2.9000000000000001E-2</v>
          </cell>
          <cell r="H3702"/>
          <cell r="I3702"/>
          <cell r="J3702"/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>
            <v>2E-3</v>
          </cell>
        </row>
        <row r="3703">
          <cell r="A3703" t="str">
            <v>51939-851LF</v>
          </cell>
          <cell r="B3703"/>
          <cell r="C3703"/>
          <cell r="D3703"/>
          <cell r="E3703"/>
          <cell r="F3703"/>
          <cell r="G3703">
            <v>0.04</v>
          </cell>
          <cell r="H3703"/>
          <cell r="I3703"/>
          <cell r="J3703"/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>
            <v>4.0000000000000001E-3</v>
          </cell>
        </row>
        <row r="3704">
          <cell r="A3704" t="str">
            <v>51939-853LF</v>
          </cell>
          <cell r="B3704"/>
          <cell r="C3704"/>
          <cell r="D3704"/>
          <cell r="E3704"/>
          <cell r="F3704"/>
          <cell r="G3704">
            <v>3.1E-2</v>
          </cell>
          <cell r="H3704"/>
          <cell r="I3704"/>
          <cell r="J3704"/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>
            <v>2E-3</v>
          </cell>
        </row>
        <row r="3705">
          <cell r="A3705" t="str">
            <v>51939-857LF</v>
          </cell>
          <cell r="B3705"/>
          <cell r="C3705"/>
          <cell r="D3705"/>
          <cell r="E3705"/>
          <cell r="F3705"/>
          <cell r="G3705">
            <v>2.5999999999999999E-2</v>
          </cell>
          <cell r="H3705"/>
          <cell r="I3705"/>
          <cell r="J3705"/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>
            <v>2E-3</v>
          </cell>
        </row>
        <row r="3706">
          <cell r="A3706" t="str">
            <v>51939-861LF</v>
          </cell>
          <cell r="B3706"/>
          <cell r="C3706"/>
          <cell r="D3706"/>
          <cell r="E3706"/>
          <cell r="F3706"/>
          <cell r="G3706">
            <v>3.9E-2</v>
          </cell>
          <cell r="H3706"/>
          <cell r="I3706"/>
          <cell r="J3706"/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>
            <v>2E-3</v>
          </cell>
        </row>
        <row r="3707">
          <cell r="A3707" t="str">
            <v>51939-862LF</v>
          </cell>
          <cell r="B3707"/>
          <cell r="C3707"/>
          <cell r="D3707"/>
          <cell r="E3707"/>
          <cell r="F3707"/>
          <cell r="G3707">
            <v>2.7E-2</v>
          </cell>
          <cell r="H3707"/>
          <cell r="I3707"/>
          <cell r="J3707"/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>
            <v>2E-3</v>
          </cell>
        </row>
        <row r="3708">
          <cell r="A3708" t="str">
            <v>51939-863LF</v>
          </cell>
          <cell r="B3708"/>
          <cell r="C3708"/>
          <cell r="D3708"/>
          <cell r="E3708"/>
          <cell r="F3708"/>
          <cell r="G3708">
            <v>2.7E-2</v>
          </cell>
          <cell r="H3708"/>
          <cell r="I3708"/>
          <cell r="J3708"/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>
            <v>2E-3</v>
          </cell>
        </row>
        <row r="3709">
          <cell r="A3709" t="str">
            <v>51939-864LF</v>
          </cell>
          <cell r="B3709"/>
          <cell r="C3709"/>
          <cell r="D3709"/>
          <cell r="E3709"/>
          <cell r="F3709"/>
          <cell r="G3709">
            <v>2.0799999999999999E-2</v>
          </cell>
          <cell r="H3709"/>
          <cell r="I3709"/>
          <cell r="J3709"/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>
            <v>2E-3</v>
          </cell>
        </row>
        <row r="3710">
          <cell r="A3710" t="str">
            <v>51939-865LF</v>
          </cell>
          <cell r="B3710"/>
          <cell r="C3710"/>
          <cell r="D3710"/>
          <cell r="E3710"/>
          <cell r="F3710"/>
          <cell r="G3710">
            <v>6.5000000000000002E-2</v>
          </cell>
          <cell r="H3710"/>
          <cell r="I3710"/>
          <cell r="J3710"/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>
            <v>6.1000000000000004E-3</v>
          </cell>
        </row>
        <row r="3711">
          <cell r="A3711" t="str">
            <v>51939-866LF</v>
          </cell>
          <cell r="B3711"/>
          <cell r="C3711"/>
          <cell r="D3711"/>
          <cell r="E3711"/>
          <cell r="F3711"/>
          <cell r="G3711">
            <v>1.7999999999999999E-2</v>
          </cell>
          <cell r="H3711"/>
          <cell r="I3711"/>
          <cell r="J3711"/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>
            <v>6.1000000000000004E-3</v>
          </cell>
        </row>
        <row r="3712">
          <cell r="A3712" t="str">
            <v>51939-868LF</v>
          </cell>
          <cell r="B3712"/>
          <cell r="C3712"/>
          <cell r="D3712"/>
          <cell r="E3712"/>
          <cell r="F3712"/>
          <cell r="G3712">
            <v>4.5999999999999999E-2</v>
          </cell>
          <cell r="H3712"/>
          <cell r="I3712"/>
          <cell r="J3712"/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>
            <v>2E-3</v>
          </cell>
        </row>
        <row r="3713">
          <cell r="A3713" t="str">
            <v>51939-869LF</v>
          </cell>
          <cell r="B3713"/>
          <cell r="C3713"/>
          <cell r="D3713"/>
          <cell r="E3713"/>
          <cell r="F3713"/>
          <cell r="G3713">
            <v>6.5000000000000002E-2</v>
          </cell>
          <cell r="H3713"/>
          <cell r="I3713"/>
          <cell r="J3713"/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>
            <v>4.0000000000000001E-3</v>
          </cell>
        </row>
        <row r="3714">
          <cell r="A3714" t="str">
            <v>51939-881NSPLF</v>
          </cell>
          <cell r="B3714"/>
          <cell r="C3714"/>
          <cell r="D3714"/>
          <cell r="E3714"/>
          <cell r="F3714"/>
          <cell r="G3714">
            <v>2.9000000000000001E-2</v>
          </cell>
          <cell r="H3714"/>
          <cell r="I3714"/>
          <cell r="J3714"/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>
            <v>2E-3</v>
          </cell>
        </row>
        <row r="3715">
          <cell r="A3715" t="str">
            <v>51939-882LF</v>
          </cell>
          <cell r="B3715"/>
          <cell r="C3715"/>
          <cell r="D3715"/>
          <cell r="E3715"/>
          <cell r="F3715"/>
          <cell r="G3715">
            <v>4.1000000000000002E-2</v>
          </cell>
          <cell r="H3715"/>
          <cell r="I3715"/>
          <cell r="J3715"/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>
            <v>2E-3</v>
          </cell>
        </row>
        <row r="3716">
          <cell r="A3716" t="str">
            <v>51939-883NSPLF</v>
          </cell>
          <cell r="B3716"/>
          <cell r="C3716"/>
          <cell r="D3716"/>
          <cell r="E3716"/>
          <cell r="F3716"/>
          <cell r="G3716">
            <v>2.7E-2</v>
          </cell>
          <cell r="H3716"/>
          <cell r="I3716"/>
          <cell r="J3716"/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>
            <v>2E-3</v>
          </cell>
        </row>
        <row r="3717">
          <cell r="A3717" t="str">
            <v>51939-884LF</v>
          </cell>
          <cell r="B3717"/>
          <cell r="C3717"/>
          <cell r="D3717"/>
          <cell r="E3717"/>
          <cell r="F3717"/>
          <cell r="G3717">
            <v>3.5999999999999997E-2</v>
          </cell>
          <cell r="H3717"/>
          <cell r="I3717"/>
          <cell r="J3717"/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>
            <v>6.1000000000000004E-3</v>
          </cell>
        </row>
        <row r="3718">
          <cell r="A3718" t="str">
            <v>51939-888LF</v>
          </cell>
          <cell r="B3718"/>
          <cell r="C3718"/>
          <cell r="D3718"/>
          <cell r="E3718"/>
          <cell r="F3718"/>
          <cell r="G3718">
            <v>4.2000000000000003E-2</v>
          </cell>
          <cell r="H3718"/>
          <cell r="I3718"/>
          <cell r="J3718"/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>
            <v>2E-3</v>
          </cell>
        </row>
        <row r="3719">
          <cell r="A3719" t="str">
            <v>51939-889LF</v>
          </cell>
          <cell r="B3719"/>
          <cell r="C3719"/>
          <cell r="D3719"/>
          <cell r="E3719"/>
          <cell r="F3719"/>
          <cell r="G3719">
            <v>0.02</v>
          </cell>
          <cell r="H3719"/>
          <cell r="I3719"/>
          <cell r="J3719"/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>
            <v>6.1000000000000004E-3</v>
          </cell>
        </row>
        <row r="3720">
          <cell r="A3720" t="str">
            <v>51939-890LF</v>
          </cell>
          <cell r="B3720"/>
          <cell r="C3720"/>
          <cell r="D3720"/>
          <cell r="E3720"/>
          <cell r="F3720"/>
          <cell r="G3720">
            <v>2.8000000000000001E-2</v>
          </cell>
          <cell r="H3720"/>
          <cell r="I3720"/>
          <cell r="J3720"/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>
            <v>2E-3</v>
          </cell>
        </row>
        <row r="3721">
          <cell r="A3721" t="str">
            <v>51939-893LF</v>
          </cell>
          <cell r="B3721"/>
          <cell r="C3721"/>
          <cell r="D3721"/>
          <cell r="E3721"/>
          <cell r="F3721"/>
          <cell r="G3721">
            <v>3.1E-2</v>
          </cell>
          <cell r="H3721"/>
          <cell r="I3721"/>
          <cell r="J3721"/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>
            <v>2E-3</v>
          </cell>
        </row>
        <row r="3722">
          <cell r="A3722" t="str">
            <v>51939-894LF</v>
          </cell>
          <cell r="B3722"/>
          <cell r="C3722"/>
          <cell r="D3722"/>
          <cell r="E3722"/>
          <cell r="F3722"/>
          <cell r="G3722">
            <v>1.4999999999999999E-2</v>
          </cell>
          <cell r="H3722"/>
          <cell r="I3722"/>
          <cell r="J3722"/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>
            <v>6.1000000000000004E-3</v>
          </cell>
        </row>
        <row r="3723">
          <cell r="A3723" t="str">
            <v>51939-898LF</v>
          </cell>
          <cell r="B3723"/>
          <cell r="C3723"/>
          <cell r="D3723"/>
          <cell r="E3723"/>
          <cell r="F3723"/>
          <cell r="G3723">
            <v>3.5999999999999997E-2</v>
          </cell>
          <cell r="H3723"/>
          <cell r="I3723"/>
          <cell r="J3723"/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>
            <v>2E-3</v>
          </cell>
        </row>
        <row r="3724">
          <cell r="A3724" t="str">
            <v>51939-900LF</v>
          </cell>
          <cell r="B3724"/>
          <cell r="C3724"/>
          <cell r="D3724"/>
          <cell r="E3724"/>
          <cell r="F3724"/>
          <cell r="G3724">
            <v>2.5999999999999999E-2</v>
          </cell>
          <cell r="H3724"/>
          <cell r="I3724"/>
          <cell r="J3724"/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>
            <v>2E-3</v>
          </cell>
        </row>
        <row r="3725">
          <cell r="A3725" t="str">
            <v>51939-901SLF</v>
          </cell>
          <cell r="B3725"/>
          <cell r="C3725"/>
          <cell r="D3725"/>
          <cell r="E3725"/>
          <cell r="F3725"/>
          <cell r="G3725">
            <v>6.5000000000000002E-2</v>
          </cell>
          <cell r="H3725"/>
          <cell r="I3725"/>
          <cell r="J3725"/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>
            <v>6.1000000000000004E-3</v>
          </cell>
        </row>
        <row r="3726">
          <cell r="A3726" t="str">
            <v>51939-902LF</v>
          </cell>
          <cell r="B3726"/>
          <cell r="C3726"/>
          <cell r="D3726"/>
          <cell r="E3726"/>
          <cell r="F3726"/>
          <cell r="G3726">
            <v>5.5E-2</v>
          </cell>
          <cell r="H3726"/>
          <cell r="I3726"/>
          <cell r="J3726"/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>
            <v>3.0000000000000001E-3</v>
          </cell>
        </row>
        <row r="3727">
          <cell r="A3727" t="str">
            <v>51939-903LF</v>
          </cell>
          <cell r="B3727"/>
          <cell r="C3727"/>
          <cell r="D3727"/>
          <cell r="E3727"/>
          <cell r="F3727"/>
          <cell r="G3727">
            <v>2.5999999999999999E-2</v>
          </cell>
          <cell r="H3727"/>
          <cell r="I3727"/>
          <cell r="J3727"/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>
            <v>2E-3</v>
          </cell>
        </row>
        <row r="3728">
          <cell r="A3728" t="str">
            <v>51939-904LF</v>
          </cell>
          <cell r="B3728"/>
          <cell r="C3728"/>
          <cell r="D3728"/>
          <cell r="E3728"/>
          <cell r="F3728"/>
          <cell r="G3728">
            <v>0.05</v>
          </cell>
          <cell r="H3728"/>
          <cell r="I3728"/>
          <cell r="J3728"/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>
            <v>3.0000000000000001E-3</v>
          </cell>
        </row>
        <row r="3729">
          <cell r="A3729" t="str">
            <v>51939-905LF</v>
          </cell>
          <cell r="B3729"/>
          <cell r="C3729"/>
          <cell r="D3729"/>
          <cell r="E3729"/>
          <cell r="F3729"/>
          <cell r="G3729">
            <v>2.5999999999999999E-2</v>
          </cell>
          <cell r="H3729"/>
          <cell r="I3729"/>
          <cell r="J3729"/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>
            <v>2E-3</v>
          </cell>
        </row>
        <row r="3730">
          <cell r="A3730" t="str">
            <v>51939-906LF</v>
          </cell>
          <cell r="B3730"/>
          <cell r="C3730"/>
          <cell r="D3730"/>
          <cell r="E3730"/>
          <cell r="F3730"/>
          <cell r="G3730">
            <v>2.6977273E-2</v>
          </cell>
          <cell r="H3730"/>
          <cell r="I3730"/>
          <cell r="J3730"/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>
            <v>2E-3</v>
          </cell>
        </row>
        <row r="3731">
          <cell r="A3731" t="str">
            <v>51939-907LF</v>
          </cell>
          <cell r="B3731"/>
          <cell r="C3731"/>
          <cell r="D3731"/>
          <cell r="E3731"/>
          <cell r="F3731"/>
          <cell r="G3731">
            <v>5.6000000000000001E-2</v>
          </cell>
          <cell r="H3731"/>
          <cell r="I3731"/>
          <cell r="J3731"/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>
            <v>3.0000000000000001E-3</v>
          </cell>
        </row>
        <row r="3732">
          <cell r="A3732" t="str">
            <v>51939-908LF</v>
          </cell>
          <cell r="B3732"/>
          <cell r="C3732"/>
          <cell r="D3732"/>
          <cell r="E3732"/>
          <cell r="F3732"/>
          <cell r="G3732">
            <v>5.6000000000000001E-2</v>
          </cell>
          <cell r="H3732"/>
          <cell r="I3732"/>
          <cell r="J3732"/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>
            <v>2E-3</v>
          </cell>
        </row>
        <row r="3733">
          <cell r="A3733" t="str">
            <v>51939-909LF</v>
          </cell>
          <cell r="B3733"/>
          <cell r="C3733"/>
          <cell r="D3733"/>
          <cell r="E3733"/>
          <cell r="F3733"/>
          <cell r="G3733">
            <v>4.1000000000000002E-2</v>
          </cell>
          <cell r="H3733"/>
          <cell r="I3733"/>
          <cell r="J3733"/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>
            <v>2.7000000000000001E-3</v>
          </cell>
        </row>
        <row r="3734">
          <cell r="A3734" t="str">
            <v>51939-910LF</v>
          </cell>
          <cell r="B3734"/>
          <cell r="C3734"/>
          <cell r="D3734"/>
          <cell r="E3734"/>
          <cell r="F3734"/>
          <cell r="G3734">
            <v>2.1999999999999999E-2</v>
          </cell>
          <cell r="H3734"/>
          <cell r="I3734"/>
          <cell r="J3734"/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>
            <v>2E-3</v>
          </cell>
        </row>
        <row r="3735">
          <cell r="A3735" t="str">
            <v>51939-911LF</v>
          </cell>
          <cell r="B3735"/>
          <cell r="C3735"/>
          <cell r="D3735"/>
          <cell r="E3735"/>
          <cell r="F3735"/>
          <cell r="G3735">
            <v>0.02</v>
          </cell>
          <cell r="H3735"/>
          <cell r="I3735"/>
          <cell r="J3735"/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>
            <v>6.1000000000000004E-3</v>
          </cell>
        </row>
        <row r="3736">
          <cell r="A3736" t="str">
            <v>51939-911SLF</v>
          </cell>
          <cell r="B3736"/>
          <cell r="C3736"/>
          <cell r="D3736"/>
          <cell r="E3736"/>
          <cell r="F3736"/>
          <cell r="G3736">
            <v>0.02</v>
          </cell>
          <cell r="H3736"/>
          <cell r="I3736"/>
          <cell r="J3736"/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>
            <v>6.1000000000000004E-3</v>
          </cell>
        </row>
        <row r="3737">
          <cell r="A3737" t="str">
            <v>51939-912LF</v>
          </cell>
          <cell r="B3737"/>
          <cell r="C3737"/>
          <cell r="D3737"/>
          <cell r="E3737"/>
          <cell r="F3737"/>
          <cell r="G3737">
            <v>2.7E-2</v>
          </cell>
          <cell r="H3737"/>
          <cell r="I3737"/>
          <cell r="J3737"/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>
            <v>2E-3</v>
          </cell>
        </row>
        <row r="3738">
          <cell r="A3738" t="str">
            <v>51939-913LF</v>
          </cell>
          <cell r="B3738"/>
          <cell r="C3738"/>
          <cell r="D3738"/>
          <cell r="E3738"/>
          <cell r="F3738"/>
          <cell r="G3738">
            <v>2.7E-2</v>
          </cell>
          <cell r="H3738"/>
          <cell r="I3738"/>
          <cell r="J3738"/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>
            <v>2E-3</v>
          </cell>
        </row>
        <row r="3739">
          <cell r="A3739" t="str">
            <v>51939-915LF</v>
          </cell>
          <cell r="B3739"/>
          <cell r="C3739"/>
          <cell r="D3739"/>
          <cell r="E3739"/>
          <cell r="F3739"/>
          <cell r="G3739">
            <v>4.1000000000000002E-2</v>
          </cell>
          <cell r="H3739"/>
          <cell r="I3739"/>
          <cell r="J3739"/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>
            <v>2.7000000000000001E-3</v>
          </cell>
        </row>
        <row r="3740">
          <cell r="A3740" t="str">
            <v>51939-917LF</v>
          </cell>
          <cell r="B3740"/>
          <cell r="C3740"/>
          <cell r="D3740"/>
          <cell r="E3740"/>
          <cell r="F3740"/>
          <cell r="G3740">
            <v>4.2000000000000003E-2</v>
          </cell>
          <cell r="H3740"/>
          <cell r="I3740"/>
          <cell r="J3740"/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>
            <v>2E-3</v>
          </cell>
        </row>
        <row r="3741">
          <cell r="A3741" t="str">
            <v>51939-920LF</v>
          </cell>
          <cell r="B3741"/>
          <cell r="C3741"/>
          <cell r="D3741"/>
          <cell r="E3741"/>
          <cell r="F3741"/>
          <cell r="G3741">
            <v>2.1999999999999999E-2</v>
          </cell>
          <cell r="H3741"/>
          <cell r="I3741"/>
          <cell r="J3741"/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>
            <v>2E-3</v>
          </cell>
        </row>
        <row r="3742">
          <cell r="A3742" t="str">
            <v>51939-921LF</v>
          </cell>
          <cell r="B3742"/>
          <cell r="C3742"/>
          <cell r="D3742"/>
          <cell r="E3742"/>
          <cell r="F3742"/>
          <cell r="G3742">
            <v>4.3999999999999997E-2</v>
          </cell>
          <cell r="H3742"/>
          <cell r="I3742"/>
          <cell r="J3742"/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>
            <v>2E-3</v>
          </cell>
        </row>
        <row r="3743">
          <cell r="A3743" t="str">
            <v>51939-922LF</v>
          </cell>
          <cell r="B3743"/>
          <cell r="C3743"/>
          <cell r="D3743"/>
          <cell r="E3743"/>
          <cell r="F3743"/>
          <cell r="G3743">
            <v>2.5999999999999999E-2</v>
          </cell>
          <cell r="H3743"/>
          <cell r="I3743"/>
          <cell r="J3743"/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>
            <v>3.0000000000000001E-3</v>
          </cell>
        </row>
        <row r="3744">
          <cell r="A3744" t="str">
            <v>51939-923LF</v>
          </cell>
          <cell r="B3744"/>
          <cell r="C3744"/>
          <cell r="D3744"/>
          <cell r="E3744"/>
          <cell r="F3744"/>
          <cell r="G3744">
            <v>0.04</v>
          </cell>
          <cell r="H3744"/>
          <cell r="I3744"/>
          <cell r="J3744"/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>
            <v>2E-3</v>
          </cell>
        </row>
        <row r="3745">
          <cell r="A3745" t="str">
            <v>51939-926LF</v>
          </cell>
          <cell r="B3745"/>
          <cell r="C3745"/>
          <cell r="D3745"/>
          <cell r="E3745"/>
          <cell r="F3745"/>
          <cell r="G3745">
            <v>3.2000000000000001E-2</v>
          </cell>
          <cell r="H3745"/>
          <cell r="I3745"/>
          <cell r="J3745"/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>
            <v>2E-3</v>
          </cell>
        </row>
        <row r="3746">
          <cell r="A3746" t="str">
            <v>51939-927LF</v>
          </cell>
          <cell r="B3746"/>
          <cell r="C3746"/>
          <cell r="D3746"/>
          <cell r="E3746"/>
          <cell r="F3746"/>
          <cell r="G3746">
            <v>2.3800000000000002E-2</v>
          </cell>
          <cell r="H3746"/>
          <cell r="I3746"/>
          <cell r="J3746"/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>
            <v>2E-3</v>
          </cell>
        </row>
        <row r="3747">
          <cell r="A3747" t="str">
            <v>51939-928LF</v>
          </cell>
          <cell r="B3747"/>
          <cell r="C3747"/>
          <cell r="D3747"/>
          <cell r="E3747"/>
          <cell r="F3747"/>
          <cell r="G3747">
            <v>8.3000000000000004E-2</v>
          </cell>
          <cell r="H3747"/>
          <cell r="I3747"/>
          <cell r="J3747"/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>
            <v>4.0000000000000001E-3</v>
          </cell>
        </row>
        <row r="3748">
          <cell r="A3748" t="str">
            <v>51939-929LF</v>
          </cell>
          <cell r="B3748"/>
          <cell r="C3748"/>
          <cell r="D3748"/>
          <cell r="E3748"/>
          <cell r="F3748"/>
          <cell r="G3748">
            <v>1.7000000000000001E-2</v>
          </cell>
          <cell r="H3748"/>
          <cell r="I3748"/>
          <cell r="J3748"/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>
            <v>6.1000000000000004E-3</v>
          </cell>
        </row>
        <row r="3749">
          <cell r="A3749" t="str">
            <v>51939-930LF</v>
          </cell>
          <cell r="B3749"/>
          <cell r="C3749"/>
          <cell r="D3749"/>
          <cell r="E3749"/>
          <cell r="F3749"/>
          <cell r="G3749">
            <v>2.7186603E-2</v>
          </cell>
          <cell r="H3749"/>
          <cell r="I3749"/>
          <cell r="J3749"/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>
            <v>2E-3</v>
          </cell>
        </row>
        <row r="3750">
          <cell r="A3750" t="str">
            <v>51939-933LF</v>
          </cell>
          <cell r="B3750"/>
          <cell r="C3750"/>
          <cell r="D3750"/>
          <cell r="E3750"/>
          <cell r="F3750"/>
          <cell r="G3750">
            <v>4.2000000000000003E-2</v>
          </cell>
          <cell r="H3750"/>
          <cell r="I3750"/>
          <cell r="J3750"/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>
            <v>2E-3</v>
          </cell>
        </row>
        <row r="3751">
          <cell r="A3751" t="str">
            <v>51939-935LF</v>
          </cell>
          <cell r="B3751"/>
          <cell r="C3751"/>
          <cell r="D3751"/>
          <cell r="E3751"/>
          <cell r="F3751"/>
          <cell r="G3751">
            <v>3.1E-2</v>
          </cell>
          <cell r="H3751"/>
          <cell r="I3751"/>
          <cell r="J3751"/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>
            <v>2E-3</v>
          </cell>
        </row>
        <row r="3752">
          <cell r="A3752" t="str">
            <v>51939-936LF</v>
          </cell>
          <cell r="B3752"/>
          <cell r="C3752"/>
          <cell r="D3752"/>
          <cell r="E3752"/>
          <cell r="F3752"/>
          <cell r="G3752">
            <v>1.7000000000000001E-2</v>
          </cell>
          <cell r="H3752"/>
          <cell r="I3752"/>
          <cell r="J3752"/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>
            <v>6.1000000000000004E-3</v>
          </cell>
        </row>
        <row r="3753">
          <cell r="A3753" t="str">
            <v>51939-937LF</v>
          </cell>
          <cell r="B3753"/>
          <cell r="C3753"/>
          <cell r="D3753"/>
          <cell r="E3753"/>
          <cell r="F3753"/>
          <cell r="G3753">
            <v>2.7E-2</v>
          </cell>
          <cell r="H3753"/>
          <cell r="I3753"/>
          <cell r="J3753"/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>
            <v>2E-3</v>
          </cell>
        </row>
        <row r="3754">
          <cell r="A3754" t="str">
            <v>51939-938LF</v>
          </cell>
          <cell r="B3754"/>
          <cell r="C3754"/>
          <cell r="D3754"/>
          <cell r="E3754"/>
          <cell r="F3754"/>
          <cell r="G3754">
            <v>2.5999999999999999E-2</v>
          </cell>
          <cell r="H3754"/>
          <cell r="I3754"/>
          <cell r="J3754"/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>
            <v>6.1000000000000004E-3</v>
          </cell>
        </row>
        <row r="3755">
          <cell r="A3755" t="str">
            <v>51939-941LF</v>
          </cell>
          <cell r="B3755"/>
          <cell r="C3755"/>
          <cell r="D3755"/>
          <cell r="E3755"/>
          <cell r="F3755"/>
          <cell r="G3755">
            <v>2.1999999999999999E-2</v>
          </cell>
          <cell r="H3755"/>
          <cell r="I3755"/>
          <cell r="J3755"/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>
            <v>6.1000000000000004E-3</v>
          </cell>
        </row>
        <row r="3756">
          <cell r="A3756" t="str">
            <v>51939-942LF</v>
          </cell>
          <cell r="B3756"/>
          <cell r="C3756"/>
          <cell r="D3756"/>
          <cell r="E3756"/>
          <cell r="F3756"/>
          <cell r="G3756">
            <v>2.9000000000000001E-2</v>
          </cell>
          <cell r="H3756"/>
          <cell r="I3756"/>
          <cell r="J3756"/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>
            <v>2E-3</v>
          </cell>
        </row>
        <row r="3757">
          <cell r="A3757" t="str">
            <v>51939-947LHLF</v>
          </cell>
          <cell r="B3757"/>
          <cell r="C3757"/>
          <cell r="D3757"/>
          <cell r="E3757"/>
          <cell r="F3757"/>
          <cell r="G3757">
            <v>3.1E-2</v>
          </cell>
          <cell r="H3757"/>
          <cell r="I3757"/>
          <cell r="J3757"/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>
            <v>2E-3</v>
          </cell>
        </row>
        <row r="3758">
          <cell r="A3758" t="str">
            <v>51939-948LHLF</v>
          </cell>
          <cell r="B3758"/>
          <cell r="C3758"/>
          <cell r="D3758"/>
          <cell r="E3758"/>
          <cell r="F3758"/>
          <cell r="G3758">
            <v>2.8000000000000001E-2</v>
          </cell>
          <cell r="H3758"/>
          <cell r="I3758"/>
          <cell r="J3758"/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>
            <v>3.3E-3</v>
          </cell>
        </row>
        <row r="3759">
          <cell r="A3759" t="str">
            <v>51939-949LHLF</v>
          </cell>
          <cell r="B3759"/>
          <cell r="C3759"/>
          <cell r="D3759"/>
          <cell r="E3759"/>
          <cell r="F3759"/>
          <cell r="G3759">
            <v>2.9000000000000001E-2</v>
          </cell>
          <cell r="H3759"/>
          <cell r="I3759"/>
          <cell r="J3759"/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>
            <v>2E-3</v>
          </cell>
        </row>
        <row r="3760">
          <cell r="A3760" t="str">
            <v>51939-950LF</v>
          </cell>
          <cell r="B3760"/>
          <cell r="C3760"/>
          <cell r="D3760"/>
          <cell r="E3760"/>
          <cell r="F3760"/>
          <cell r="G3760">
            <v>2.8000000000000001E-2</v>
          </cell>
          <cell r="H3760"/>
          <cell r="I3760"/>
          <cell r="J3760"/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>
            <v>2E-3</v>
          </cell>
        </row>
        <row r="3761">
          <cell r="A3761" t="str">
            <v>51939-953LF</v>
          </cell>
          <cell r="B3761"/>
          <cell r="C3761"/>
          <cell r="D3761"/>
          <cell r="E3761"/>
          <cell r="F3761"/>
          <cell r="G3761">
            <v>4.2000000000000003E-2</v>
          </cell>
          <cell r="H3761"/>
          <cell r="I3761"/>
          <cell r="J3761"/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>
            <v>2E-3</v>
          </cell>
        </row>
        <row r="3762">
          <cell r="A3762" t="str">
            <v>51939-954LF</v>
          </cell>
          <cell r="B3762"/>
          <cell r="C3762"/>
          <cell r="D3762"/>
          <cell r="E3762"/>
          <cell r="F3762"/>
          <cell r="G3762">
            <v>2.9000000000000001E-2</v>
          </cell>
          <cell r="H3762"/>
          <cell r="I3762"/>
          <cell r="J3762"/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>
            <v>2E-3</v>
          </cell>
        </row>
        <row r="3763">
          <cell r="A3763" t="str">
            <v>51939-957LF</v>
          </cell>
          <cell r="B3763"/>
          <cell r="C3763"/>
          <cell r="D3763"/>
          <cell r="E3763"/>
          <cell r="F3763"/>
          <cell r="G3763">
            <v>0.05</v>
          </cell>
          <cell r="H3763"/>
          <cell r="I3763"/>
          <cell r="J3763"/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>
            <v>5.0000000000000001E-3</v>
          </cell>
        </row>
        <row r="3764">
          <cell r="A3764" t="str">
            <v>51939-960LF</v>
          </cell>
          <cell r="B3764"/>
          <cell r="C3764"/>
          <cell r="D3764"/>
          <cell r="E3764"/>
          <cell r="F3764"/>
          <cell r="G3764">
            <v>0.05</v>
          </cell>
          <cell r="H3764"/>
          <cell r="I3764"/>
          <cell r="J3764"/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>
            <v>6.0000000000000001E-3</v>
          </cell>
        </row>
        <row r="3765">
          <cell r="A3765" t="str">
            <v>51939-965LF</v>
          </cell>
          <cell r="B3765"/>
          <cell r="C3765"/>
          <cell r="D3765"/>
          <cell r="E3765"/>
          <cell r="F3765"/>
          <cell r="G3765">
            <v>3.5999999999999997E-2</v>
          </cell>
          <cell r="H3765"/>
          <cell r="I3765"/>
          <cell r="J3765"/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>
            <v>2E-3</v>
          </cell>
        </row>
        <row r="3766">
          <cell r="A3766" t="str">
            <v>51939-966LF</v>
          </cell>
          <cell r="B3766"/>
          <cell r="C3766"/>
          <cell r="D3766"/>
          <cell r="E3766"/>
          <cell r="F3766"/>
          <cell r="G3766">
            <v>2.8000000000000001E-2</v>
          </cell>
          <cell r="H3766"/>
          <cell r="I3766"/>
          <cell r="J3766"/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>
            <v>2E-3</v>
          </cell>
        </row>
        <row r="3767">
          <cell r="A3767" t="str">
            <v>51939-967LF</v>
          </cell>
          <cell r="B3767"/>
          <cell r="C3767"/>
          <cell r="D3767"/>
          <cell r="E3767"/>
          <cell r="F3767"/>
          <cell r="G3767">
            <v>0.04</v>
          </cell>
          <cell r="H3767"/>
          <cell r="I3767"/>
          <cell r="J3767"/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>
            <v>3.3E-3</v>
          </cell>
        </row>
        <row r="3768">
          <cell r="A3768" t="str">
            <v>51939-969LF</v>
          </cell>
          <cell r="B3768"/>
          <cell r="C3768"/>
          <cell r="D3768"/>
          <cell r="E3768"/>
          <cell r="F3768"/>
          <cell r="G3768">
            <v>2.7E-2</v>
          </cell>
          <cell r="H3768"/>
          <cell r="I3768"/>
          <cell r="J3768"/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>
            <v>2E-3</v>
          </cell>
        </row>
        <row r="3769">
          <cell r="A3769" t="str">
            <v>51939-970LF</v>
          </cell>
          <cell r="B3769"/>
          <cell r="C3769"/>
          <cell r="D3769"/>
          <cell r="E3769"/>
          <cell r="F3769"/>
          <cell r="G3769">
            <v>2.3E-2</v>
          </cell>
          <cell r="H3769"/>
          <cell r="I3769"/>
          <cell r="J3769"/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>
            <v>6.1000000000000004E-3</v>
          </cell>
        </row>
        <row r="3770">
          <cell r="A3770" t="str">
            <v>51939-973LF</v>
          </cell>
          <cell r="B3770"/>
          <cell r="C3770"/>
          <cell r="D3770"/>
          <cell r="E3770"/>
          <cell r="F3770"/>
          <cell r="G3770">
            <v>1.3140000000000001E-2</v>
          </cell>
          <cell r="H3770"/>
          <cell r="I3770"/>
          <cell r="J3770"/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>
            <v>1.4599999999999999E-3</v>
          </cell>
        </row>
        <row r="3771">
          <cell r="A3771" t="str">
            <v>51939-974NSPLF</v>
          </cell>
          <cell r="B3771"/>
          <cell r="C3771"/>
          <cell r="D3771"/>
          <cell r="E3771"/>
          <cell r="F3771"/>
          <cell r="G3771">
            <v>2.5000000000000001E-2</v>
          </cell>
          <cell r="H3771"/>
          <cell r="I3771"/>
          <cell r="J3771"/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>
            <v>6.1000000000000004E-3</v>
          </cell>
        </row>
        <row r="3772">
          <cell r="A3772" t="str">
            <v>51939-977LF</v>
          </cell>
          <cell r="B3772"/>
          <cell r="C3772"/>
          <cell r="D3772"/>
          <cell r="E3772"/>
          <cell r="F3772"/>
          <cell r="G3772">
            <v>4.2000000000000003E-2</v>
          </cell>
          <cell r="H3772"/>
          <cell r="I3772"/>
          <cell r="J3772"/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>
            <v>2E-3</v>
          </cell>
        </row>
        <row r="3773">
          <cell r="A3773" t="str">
            <v>51939-978LF</v>
          </cell>
          <cell r="B3773"/>
          <cell r="C3773"/>
          <cell r="D3773"/>
          <cell r="E3773"/>
          <cell r="F3773"/>
          <cell r="G3773">
            <v>6.7000000000000004E-2</v>
          </cell>
          <cell r="H3773"/>
          <cell r="I3773"/>
          <cell r="J3773"/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>
            <v>0.01</v>
          </cell>
        </row>
        <row r="3774">
          <cell r="A3774" t="str">
            <v>51939-979LF</v>
          </cell>
          <cell r="B3774"/>
          <cell r="C3774"/>
          <cell r="D3774"/>
          <cell r="E3774"/>
          <cell r="F3774"/>
          <cell r="G3774">
            <v>5.5E-2</v>
          </cell>
          <cell r="H3774"/>
          <cell r="I3774"/>
          <cell r="J3774"/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>
            <v>3.3E-3</v>
          </cell>
        </row>
        <row r="3775">
          <cell r="A3775" t="str">
            <v>51939-980NSPLF</v>
          </cell>
          <cell r="B3775"/>
          <cell r="C3775"/>
          <cell r="D3775"/>
          <cell r="E3775"/>
          <cell r="F3775"/>
          <cell r="G3775">
            <v>3.2000000000000001E-2</v>
          </cell>
          <cell r="H3775"/>
          <cell r="I3775"/>
          <cell r="J3775"/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>
            <v>6.1000000000000004E-3</v>
          </cell>
        </row>
        <row r="3776">
          <cell r="A3776" t="str">
            <v>51939-981LF</v>
          </cell>
          <cell r="B3776"/>
          <cell r="C3776"/>
          <cell r="D3776"/>
          <cell r="E3776"/>
          <cell r="F3776"/>
          <cell r="G3776">
            <v>6.5000000000000002E-2</v>
          </cell>
          <cell r="H3776"/>
          <cell r="I3776"/>
          <cell r="J3776"/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>
            <v>6.7000000000000002E-3</v>
          </cell>
        </row>
        <row r="3777">
          <cell r="A3777" t="str">
            <v>51939-982LF</v>
          </cell>
          <cell r="B3777"/>
          <cell r="C3777"/>
          <cell r="D3777"/>
          <cell r="E3777"/>
          <cell r="F3777"/>
          <cell r="G3777">
            <v>4.3999999999999997E-2</v>
          </cell>
          <cell r="H3777"/>
          <cell r="I3777"/>
          <cell r="J3777"/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>
            <v>3.3E-3</v>
          </cell>
        </row>
        <row r="3778">
          <cell r="A3778" t="str">
            <v>51939-983LF</v>
          </cell>
          <cell r="B3778"/>
          <cell r="C3778"/>
          <cell r="D3778"/>
          <cell r="E3778"/>
          <cell r="F3778"/>
          <cell r="G3778">
            <v>6.6000000000000003E-2</v>
          </cell>
          <cell r="H3778"/>
          <cell r="I3778"/>
          <cell r="J3778"/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>
            <v>6.7000000000000002E-3</v>
          </cell>
        </row>
        <row r="3779">
          <cell r="A3779" t="str">
            <v>51939-984LF</v>
          </cell>
          <cell r="B3779"/>
          <cell r="C3779"/>
          <cell r="D3779"/>
          <cell r="E3779"/>
          <cell r="F3779"/>
          <cell r="G3779">
            <v>5.0999999999999997E-2</v>
          </cell>
          <cell r="H3779"/>
          <cell r="I3779"/>
          <cell r="J3779"/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>
            <v>3.3E-3</v>
          </cell>
        </row>
        <row r="3780">
          <cell r="A3780" t="str">
            <v>51939-985LF</v>
          </cell>
          <cell r="B3780"/>
          <cell r="C3780"/>
          <cell r="D3780"/>
          <cell r="E3780"/>
          <cell r="F3780"/>
          <cell r="G3780">
            <v>3.6999999999999998E-2</v>
          </cell>
          <cell r="H3780"/>
          <cell r="I3780"/>
          <cell r="J3780"/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>
            <v>2E-3</v>
          </cell>
        </row>
        <row r="3781">
          <cell r="A3781" t="str">
            <v>51939-986LF</v>
          </cell>
          <cell r="B3781"/>
          <cell r="C3781"/>
          <cell r="D3781"/>
          <cell r="E3781"/>
          <cell r="F3781"/>
          <cell r="G3781">
            <v>3.5999999999999997E-2</v>
          </cell>
          <cell r="H3781"/>
          <cell r="I3781"/>
          <cell r="J3781"/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>
            <v>2E-3</v>
          </cell>
        </row>
        <row r="3782">
          <cell r="A3782" t="str">
            <v>51939-987LF</v>
          </cell>
          <cell r="B3782"/>
          <cell r="C3782"/>
          <cell r="D3782"/>
          <cell r="E3782"/>
          <cell r="F3782"/>
          <cell r="G3782">
            <v>1.7999999999999999E-2</v>
          </cell>
          <cell r="H3782"/>
          <cell r="I3782"/>
          <cell r="J3782"/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>
            <v>6.1000000000000004E-3</v>
          </cell>
        </row>
        <row r="3783">
          <cell r="A3783" t="str">
            <v>51939-988LF</v>
          </cell>
          <cell r="B3783"/>
          <cell r="C3783"/>
          <cell r="D3783"/>
          <cell r="E3783"/>
          <cell r="F3783"/>
          <cell r="G3783">
            <v>2.8000000000000001E-2</v>
          </cell>
          <cell r="H3783"/>
          <cell r="I3783"/>
          <cell r="J3783"/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>
            <v>2E-3</v>
          </cell>
        </row>
        <row r="3784">
          <cell r="A3784" t="str">
            <v>51939-990LF</v>
          </cell>
          <cell r="B3784"/>
          <cell r="C3784"/>
          <cell r="D3784"/>
          <cell r="E3784"/>
          <cell r="F3784"/>
          <cell r="G3784">
            <v>4.3999999999999997E-2</v>
          </cell>
          <cell r="H3784"/>
          <cell r="I3784"/>
          <cell r="J3784"/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>
            <v>2E-3</v>
          </cell>
        </row>
        <row r="3785">
          <cell r="A3785" t="str">
            <v>51939-992PLF</v>
          </cell>
          <cell r="B3785"/>
          <cell r="C3785"/>
          <cell r="D3785"/>
          <cell r="E3785"/>
          <cell r="F3785"/>
          <cell r="G3785">
            <v>3.2000000000000001E-2</v>
          </cell>
          <cell r="H3785"/>
          <cell r="I3785"/>
          <cell r="J3785"/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>
            <v>2E-3</v>
          </cell>
        </row>
        <row r="3786">
          <cell r="A3786" t="str">
            <v>51939-993LF</v>
          </cell>
          <cell r="B3786"/>
          <cell r="C3786"/>
          <cell r="D3786"/>
          <cell r="E3786"/>
          <cell r="F3786"/>
          <cell r="G3786">
            <v>4.1000000000000002E-2</v>
          </cell>
          <cell r="H3786"/>
          <cell r="I3786"/>
          <cell r="J3786"/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>
            <v>0.01</v>
          </cell>
        </row>
        <row r="3787">
          <cell r="A3787" t="str">
            <v>51939-995LF</v>
          </cell>
          <cell r="B3787"/>
          <cell r="C3787"/>
          <cell r="D3787"/>
          <cell r="E3787"/>
          <cell r="F3787"/>
          <cell r="G3787">
            <v>4.4999999999999998E-2</v>
          </cell>
          <cell r="H3787"/>
          <cell r="I3787"/>
          <cell r="J3787"/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>
            <v>0.01</v>
          </cell>
        </row>
        <row r="3788">
          <cell r="A3788" t="str">
            <v>51939-996LHLF</v>
          </cell>
          <cell r="B3788"/>
          <cell r="C3788"/>
          <cell r="D3788"/>
          <cell r="E3788"/>
          <cell r="F3788"/>
          <cell r="G3788">
            <v>3.2000000000000001E-2</v>
          </cell>
          <cell r="H3788"/>
          <cell r="I3788"/>
          <cell r="J3788"/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>
            <v>2E-3</v>
          </cell>
        </row>
        <row r="3789">
          <cell r="A3789" t="str">
            <v>51939-997LF</v>
          </cell>
          <cell r="B3789"/>
          <cell r="C3789"/>
          <cell r="D3789"/>
          <cell r="E3789"/>
          <cell r="F3789"/>
          <cell r="G3789">
            <v>3.5999999999999997E-2</v>
          </cell>
          <cell r="H3789"/>
          <cell r="I3789"/>
          <cell r="J3789"/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>
            <v>6.7000000000000002E-3</v>
          </cell>
        </row>
        <row r="3790">
          <cell r="A3790" t="str">
            <v>51939-999LF</v>
          </cell>
          <cell r="B3790"/>
          <cell r="C3790"/>
          <cell r="D3790"/>
          <cell r="E3790"/>
          <cell r="F3790"/>
          <cell r="G3790">
            <v>2.1999999999999999E-2</v>
          </cell>
          <cell r="H3790"/>
          <cell r="I3790"/>
          <cell r="J3790"/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>
            <v>2E-3</v>
          </cell>
        </row>
        <row r="3791">
          <cell r="A3791" t="str">
            <v>51939-A002001LF</v>
          </cell>
          <cell r="B3791"/>
          <cell r="C3791"/>
          <cell r="D3791"/>
          <cell r="E3791"/>
          <cell r="F3791"/>
          <cell r="G3791">
            <v>3.2000000000000001E-2</v>
          </cell>
          <cell r="H3791"/>
          <cell r="I3791"/>
          <cell r="J3791"/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>
            <v>3.3E-3</v>
          </cell>
        </row>
        <row r="3792">
          <cell r="A3792" t="str">
            <v>51939-A004001LF</v>
          </cell>
          <cell r="B3792"/>
          <cell r="C3792"/>
          <cell r="D3792"/>
          <cell r="E3792"/>
          <cell r="F3792"/>
          <cell r="G3792">
            <v>3.5000000000000003E-2</v>
          </cell>
          <cell r="H3792"/>
          <cell r="I3792"/>
          <cell r="J3792"/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>
            <v>3.3E-3</v>
          </cell>
        </row>
        <row r="3793">
          <cell r="A3793" t="str">
            <v>51940-007LF</v>
          </cell>
          <cell r="B3793"/>
          <cell r="C3793"/>
          <cell r="D3793"/>
          <cell r="E3793"/>
          <cell r="F3793"/>
          <cell r="G3793">
            <v>1.55E-2</v>
          </cell>
          <cell r="H3793"/>
          <cell r="I3793"/>
          <cell r="J3793"/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>
            <v>3.0000000000000001E-3</v>
          </cell>
        </row>
        <row r="3794">
          <cell r="A3794" t="str">
            <v>51940-009LF</v>
          </cell>
          <cell r="B3794"/>
          <cell r="C3794"/>
          <cell r="D3794"/>
          <cell r="E3794"/>
          <cell r="F3794"/>
          <cell r="G3794">
            <v>1.83E-2</v>
          </cell>
          <cell r="H3794"/>
          <cell r="I3794"/>
          <cell r="J3794"/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>
            <v>3.0000000000000001E-3</v>
          </cell>
        </row>
        <row r="3795">
          <cell r="A3795" t="str">
            <v>51940-010LF</v>
          </cell>
          <cell r="B3795"/>
          <cell r="C3795"/>
          <cell r="D3795"/>
          <cell r="E3795"/>
          <cell r="F3795"/>
          <cell r="G3795">
            <v>1.04E-2</v>
          </cell>
          <cell r="H3795"/>
          <cell r="I3795"/>
          <cell r="J3795"/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>
            <v>3.0000000000000001E-3</v>
          </cell>
        </row>
        <row r="3796">
          <cell r="A3796" t="str">
            <v>51940-016LF</v>
          </cell>
          <cell r="B3796"/>
          <cell r="C3796"/>
          <cell r="D3796"/>
          <cell r="E3796"/>
          <cell r="F3796"/>
          <cell r="G3796">
            <v>1.9880999999999999E-2</v>
          </cell>
          <cell r="H3796"/>
          <cell r="I3796"/>
          <cell r="J3796"/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>
            <v>3.0000000000000001E-3</v>
          </cell>
        </row>
        <row r="3797">
          <cell r="A3797" t="str">
            <v>51940-022LF</v>
          </cell>
          <cell r="B3797"/>
          <cell r="C3797"/>
          <cell r="D3797"/>
          <cell r="E3797"/>
          <cell r="F3797"/>
          <cell r="G3797">
            <v>1.6E-2</v>
          </cell>
          <cell r="H3797"/>
          <cell r="I3797"/>
          <cell r="J3797"/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>
            <v>2E-3</v>
          </cell>
        </row>
        <row r="3798">
          <cell r="A3798" t="str">
            <v>51940-024LF</v>
          </cell>
          <cell r="B3798"/>
          <cell r="C3798"/>
          <cell r="D3798"/>
          <cell r="E3798"/>
          <cell r="F3798"/>
          <cell r="G3798">
            <v>1.6500000000000001E-2</v>
          </cell>
          <cell r="H3798"/>
          <cell r="I3798"/>
          <cell r="J3798"/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>
            <v>3.0000000000000001E-3</v>
          </cell>
        </row>
        <row r="3799">
          <cell r="A3799" t="str">
            <v>51940-027LF</v>
          </cell>
          <cell r="B3799"/>
          <cell r="C3799"/>
          <cell r="D3799"/>
          <cell r="E3799"/>
          <cell r="F3799"/>
          <cell r="G3799">
            <v>1.130431E-2</v>
          </cell>
          <cell r="H3799"/>
          <cell r="I3799"/>
          <cell r="J3799"/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>
            <v>4.0000000000000001E-3</v>
          </cell>
        </row>
        <row r="3800">
          <cell r="A3800" t="str">
            <v>51940-028LF</v>
          </cell>
          <cell r="B3800"/>
          <cell r="C3800"/>
          <cell r="D3800"/>
          <cell r="E3800"/>
          <cell r="F3800"/>
          <cell r="G3800">
            <v>1.3599999999999999E-2</v>
          </cell>
          <cell r="H3800"/>
          <cell r="I3800"/>
          <cell r="J3800"/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>
            <v>3.0000000000000001E-3</v>
          </cell>
        </row>
        <row r="3801">
          <cell r="A3801" t="str">
            <v>51940-030LF</v>
          </cell>
          <cell r="B3801"/>
          <cell r="C3801"/>
          <cell r="D3801"/>
          <cell r="E3801"/>
          <cell r="F3801"/>
          <cell r="G3801">
            <v>8.6102100000000001E-3</v>
          </cell>
          <cell r="H3801"/>
          <cell r="I3801"/>
          <cell r="J3801"/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>
            <v>3.0000000000000001E-3</v>
          </cell>
        </row>
        <row r="3802">
          <cell r="A3802" t="str">
            <v>51940-031LF</v>
          </cell>
          <cell r="B3802"/>
          <cell r="C3802"/>
          <cell r="D3802"/>
          <cell r="E3802"/>
          <cell r="F3802"/>
          <cell r="G3802">
            <v>2.9399999999999999E-2</v>
          </cell>
          <cell r="H3802"/>
          <cell r="I3802"/>
          <cell r="J3802"/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>
            <v>3.0000000000000001E-3</v>
          </cell>
        </row>
        <row r="3803">
          <cell r="A3803" t="str">
            <v>51940-032LF</v>
          </cell>
          <cell r="B3803"/>
          <cell r="C3803"/>
          <cell r="D3803"/>
          <cell r="E3803"/>
          <cell r="F3803"/>
          <cell r="G3803">
            <v>2.5000000000000001E-2</v>
          </cell>
          <cell r="H3803"/>
          <cell r="I3803"/>
          <cell r="J3803"/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>
            <v>3.0000000000000001E-3</v>
          </cell>
        </row>
        <row r="3804">
          <cell r="A3804" t="str">
            <v>51940-035LF</v>
          </cell>
          <cell r="B3804"/>
          <cell r="C3804"/>
          <cell r="D3804"/>
          <cell r="E3804"/>
          <cell r="F3804"/>
          <cell r="G3804">
            <v>1.2999999999999999E-2</v>
          </cell>
          <cell r="H3804"/>
          <cell r="I3804"/>
          <cell r="J3804"/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>
            <v>3.0000000000000001E-3</v>
          </cell>
        </row>
        <row r="3805">
          <cell r="A3805" t="str">
            <v>51940-038LF</v>
          </cell>
          <cell r="B3805"/>
          <cell r="C3805"/>
          <cell r="D3805"/>
          <cell r="E3805"/>
          <cell r="F3805"/>
          <cell r="G3805">
            <v>1.54E-2</v>
          </cell>
          <cell r="H3805"/>
          <cell r="I3805"/>
          <cell r="J3805"/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>
            <v>3.5999999999999999E-3</v>
          </cell>
        </row>
        <row r="3806">
          <cell r="A3806" t="str">
            <v>51940-039LF</v>
          </cell>
          <cell r="B3806"/>
          <cell r="C3806"/>
          <cell r="D3806"/>
          <cell r="E3806"/>
          <cell r="F3806"/>
          <cell r="G3806">
            <v>0.02</v>
          </cell>
          <cell r="H3806"/>
          <cell r="I3806"/>
          <cell r="J3806"/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>
            <v>6.1000000000000004E-3</v>
          </cell>
        </row>
        <row r="3807">
          <cell r="A3807" t="str">
            <v>51940-042LF</v>
          </cell>
          <cell r="B3807"/>
          <cell r="C3807"/>
          <cell r="D3807"/>
          <cell r="E3807"/>
          <cell r="F3807"/>
          <cell r="G3807">
            <v>2.4E-2</v>
          </cell>
          <cell r="H3807"/>
          <cell r="I3807"/>
          <cell r="J3807"/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>
            <v>5.0000000000000001E-3</v>
          </cell>
        </row>
        <row r="3808">
          <cell r="A3808" t="str">
            <v>51940-043LF</v>
          </cell>
          <cell r="B3808"/>
          <cell r="C3808"/>
          <cell r="D3808"/>
          <cell r="E3808"/>
          <cell r="F3808"/>
          <cell r="G3808">
            <v>3.2000000000000001E-2</v>
          </cell>
          <cell r="H3808"/>
          <cell r="I3808"/>
          <cell r="J3808"/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>
            <v>3.0000000000000001E-3</v>
          </cell>
        </row>
        <row r="3809">
          <cell r="A3809" t="str">
            <v>51940-046LF</v>
          </cell>
          <cell r="B3809"/>
          <cell r="C3809"/>
          <cell r="D3809"/>
          <cell r="E3809"/>
          <cell r="F3809"/>
          <cell r="G3809">
            <v>1.14E-2</v>
          </cell>
          <cell r="H3809"/>
          <cell r="I3809"/>
          <cell r="J3809"/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>
            <v>7.9000000000000008E-3</v>
          </cell>
        </row>
        <row r="3810">
          <cell r="A3810" t="str">
            <v>51940-053LF</v>
          </cell>
          <cell r="B3810"/>
          <cell r="C3810"/>
          <cell r="D3810"/>
          <cell r="E3810"/>
          <cell r="F3810"/>
          <cell r="G3810">
            <v>1.030005E-2</v>
          </cell>
          <cell r="H3810"/>
          <cell r="I3810"/>
          <cell r="J3810"/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>
            <v>3.0000000000000001E-3</v>
          </cell>
        </row>
        <row r="3811">
          <cell r="A3811" t="str">
            <v>51940-054LF</v>
          </cell>
          <cell r="B3811"/>
          <cell r="C3811"/>
          <cell r="D3811"/>
          <cell r="E3811"/>
          <cell r="F3811"/>
          <cell r="G3811">
            <v>2.2100000000000002E-2</v>
          </cell>
          <cell r="H3811"/>
          <cell r="I3811"/>
          <cell r="J3811"/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>
            <v>3.0000000000000001E-3</v>
          </cell>
        </row>
        <row r="3812">
          <cell r="A3812" t="str">
            <v>51940-058LF</v>
          </cell>
          <cell r="B3812"/>
          <cell r="C3812"/>
          <cell r="D3812"/>
          <cell r="E3812"/>
          <cell r="F3812"/>
          <cell r="G3812">
            <v>8.8000000000000005E-3</v>
          </cell>
          <cell r="H3812"/>
          <cell r="I3812"/>
          <cell r="J3812"/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>
            <v>4.0000000000000001E-3</v>
          </cell>
        </row>
        <row r="3813">
          <cell r="A3813" t="str">
            <v>51940-059LF</v>
          </cell>
          <cell r="B3813"/>
          <cell r="C3813"/>
          <cell r="D3813"/>
          <cell r="E3813"/>
          <cell r="F3813"/>
          <cell r="G3813">
            <v>1.84E-2</v>
          </cell>
          <cell r="H3813"/>
          <cell r="I3813"/>
          <cell r="J3813"/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>
            <v>6.1000000000000004E-3</v>
          </cell>
        </row>
        <row r="3814">
          <cell r="A3814" t="str">
            <v>51940-062LF</v>
          </cell>
          <cell r="B3814"/>
          <cell r="C3814"/>
          <cell r="D3814"/>
          <cell r="E3814"/>
          <cell r="F3814"/>
          <cell r="G3814">
            <v>1.1299999999999999E-2</v>
          </cell>
          <cell r="H3814"/>
          <cell r="I3814"/>
          <cell r="J3814"/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>
            <v>3.0000000000000001E-3</v>
          </cell>
        </row>
        <row r="3815">
          <cell r="A3815" t="str">
            <v>51940-063LF</v>
          </cell>
          <cell r="B3815"/>
          <cell r="C3815"/>
          <cell r="D3815"/>
          <cell r="E3815"/>
          <cell r="F3815"/>
          <cell r="G3815">
            <v>0.01</v>
          </cell>
          <cell r="H3815"/>
          <cell r="I3815"/>
          <cell r="J3815"/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>
            <v>7.0000000000000001E-3</v>
          </cell>
        </row>
        <row r="3816">
          <cell r="A3816" t="str">
            <v>51940-066LF</v>
          </cell>
          <cell r="B3816"/>
          <cell r="C3816"/>
          <cell r="D3816"/>
          <cell r="E3816"/>
          <cell r="F3816"/>
          <cell r="G3816">
            <v>0.02</v>
          </cell>
          <cell r="H3816"/>
          <cell r="I3816"/>
          <cell r="J3816"/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>
            <v>6.1000000000000004E-3</v>
          </cell>
        </row>
        <row r="3817">
          <cell r="A3817" t="str">
            <v>51940-067LF</v>
          </cell>
          <cell r="B3817"/>
          <cell r="C3817"/>
          <cell r="D3817"/>
          <cell r="E3817"/>
          <cell r="F3817"/>
          <cell r="G3817">
            <v>3.1E-2</v>
          </cell>
          <cell r="H3817"/>
          <cell r="I3817"/>
          <cell r="J3817"/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>
            <v>3.0000000000000001E-3</v>
          </cell>
        </row>
        <row r="3818">
          <cell r="A3818" t="str">
            <v>51940-072LF</v>
          </cell>
          <cell r="B3818"/>
          <cell r="C3818"/>
          <cell r="D3818"/>
          <cell r="E3818"/>
          <cell r="F3818"/>
          <cell r="G3818">
            <v>2.18E-2</v>
          </cell>
          <cell r="H3818"/>
          <cell r="I3818"/>
          <cell r="J3818"/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>
            <v>3.0000000000000001E-3</v>
          </cell>
        </row>
        <row r="3819">
          <cell r="A3819" t="str">
            <v>51940-075LF</v>
          </cell>
          <cell r="B3819"/>
          <cell r="C3819"/>
          <cell r="D3819"/>
          <cell r="E3819"/>
          <cell r="F3819"/>
          <cell r="G3819">
            <v>2.5000000000000001E-2</v>
          </cell>
          <cell r="H3819"/>
          <cell r="I3819"/>
          <cell r="J3819"/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>
            <v>3.3E-3</v>
          </cell>
        </row>
        <row r="3820">
          <cell r="A3820" t="str">
            <v>51940-076LF</v>
          </cell>
          <cell r="B3820"/>
          <cell r="C3820"/>
          <cell r="D3820"/>
          <cell r="E3820"/>
          <cell r="F3820"/>
          <cell r="G3820">
            <v>1.15E-2</v>
          </cell>
          <cell r="H3820"/>
          <cell r="I3820"/>
          <cell r="J3820"/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>
            <v>6.1000000000000004E-3</v>
          </cell>
        </row>
        <row r="3821">
          <cell r="A3821" t="str">
            <v>51940-081PGSALF</v>
          </cell>
          <cell r="B3821"/>
          <cell r="C3821"/>
          <cell r="D3821"/>
          <cell r="E3821"/>
          <cell r="F3821"/>
          <cell r="G3821">
            <v>3.2000000000000001E-2</v>
          </cell>
          <cell r="H3821"/>
          <cell r="I3821"/>
          <cell r="J3821"/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>
            <v>3.0000000000000001E-3</v>
          </cell>
        </row>
        <row r="3822">
          <cell r="A3822" t="str">
            <v>51940-082LF</v>
          </cell>
          <cell r="B3822"/>
          <cell r="C3822"/>
          <cell r="D3822"/>
          <cell r="E3822"/>
          <cell r="F3822"/>
          <cell r="G3822">
            <v>1.24E-2</v>
          </cell>
          <cell r="H3822"/>
          <cell r="I3822"/>
          <cell r="J3822"/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>
            <v>3.3E-3</v>
          </cell>
        </row>
        <row r="3823">
          <cell r="A3823" t="str">
            <v>51940-084LF</v>
          </cell>
          <cell r="B3823"/>
          <cell r="C3823"/>
          <cell r="D3823"/>
          <cell r="E3823"/>
          <cell r="F3823"/>
          <cell r="G3823">
            <v>2.3E-2</v>
          </cell>
          <cell r="H3823"/>
          <cell r="I3823"/>
          <cell r="J3823"/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>
            <v>2E-3</v>
          </cell>
        </row>
        <row r="3824">
          <cell r="A3824" t="str">
            <v>51940-089LF</v>
          </cell>
          <cell r="B3824"/>
          <cell r="C3824"/>
          <cell r="D3824"/>
          <cell r="E3824"/>
          <cell r="F3824"/>
          <cell r="G3824">
            <v>1.7399999999999999E-2</v>
          </cell>
          <cell r="H3824"/>
          <cell r="I3824"/>
          <cell r="J3824"/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>
            <v>3.0000000000000001E-3</v>
          </cell>
        </row>
        <row r="3825">
          <cell r="A3825" t="str">
            <v>51940-094LF</v>
          </cell>
          <cell r="B3825"/>
          <cell r="C3825"/>
          <cell r="D3825"/>
          <cell r="E3825"/>
          <cell r="F3825"/>
          <cell r="G3825">
            <v>3.4000000000000002E-2</v>
          </cell>
          <cell r="H3825"/>
          <cell r="I3825"/>
          <cell r="J3825"/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>
            <v>2E-3</v>
          </cell>
        </row>
        <row r="3826">
          <cell r="A3826" t="str">
            <v>51940-096LF</v>
          </cell>
          <cell r="B3826"/>
          <cell r="C3826"/>
          <cell r="D3826"/>
          <cell r="E3826"/>
          <cell r="F3826"/>
          <cell r="G3826">
            <v>3.4000000000000002E-2</v>
          </cell>
          <cell r="H3826"/>
          <cell r="I3826"/>
          <cell r="J3826"/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>
            <v>2E-3</v>
          </cell>
        </row>
        <row r="3827">
          <cell r="A3827" t="str">
            <v>51940-099LF</v>
          </cell>
          <cell r="B3827"/>
          <cell r="C3827"/>
          <cell r="D3827"/>
          <cell r="E3827"/>
          <cell r="F3827"/>
          <cell r="G3827">
            <v>1.2273621E-2</v>
          </cell>
          <cell r="H3827"/>
          <cell r="I3827"/>
          <cell r="J3827"/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>
            <v>6.1000000000000004E-3</v>
          </cell>
        </row>
        <row r="3828">
          <cell r="A3828" t="str">
            <v>51940-101LF</v>
          </cell>
          <cell r="B3828"/>
          <cell r="C3828"/>
          <cell r="D3828"/>
          <cell r="E3828"/>
          <cell r="F3828"/>
          <cell r="G3828">
            <v>0.04</v>
          </cell>
          <cell r="H3828"/>
          <cell r="I3828"/>
          <cell r="J3828"/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>
            <v>3.0000000000000001E-3</v>
          </cell>
        </row>
        <row r="3829">
          <cell r="A3829" t="str">
            <v>51940-103LF</v>
          </cell>
          <cell r="B3829"/>
          <cell r="C3829"/>
          <cell r="D3829"/>
          <cell r="E3829"/>
          <cell r="F3829"/>
          <cell r="G3829">
            <v>0.01</v>
          </cell>
          <cell r="H3829"/>
          <cell r="I3829"/>
          <cell r="J3829"/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>
            <v>6.0000000000000001E-3</v>
          </cell>
        </row>
        <row r="3830">
          <cell r="A3830" t="str">
            <v>51940-104LF</v>
          </cell>
          <cell r="B3830"/>
          <cell r="C3830"/>
          <cell r="D3830"/>
          <cell r="E3830"/>
          <cell r="F3830"/>
          <cell r="G3830">
            <v>1.5618E-2</v>
          </cell>
          <cell r="H3830"/>
          <cell r="I3830"/>
          <cell r="J3830"/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>
            <v>3.0000000000000001E-3</v>
          </cell>
        </row>
        <row r="3831">
          <cell r="A3831" t="str">
            <v>51940-105LF</v>
          </cell>
          <cell r="B3831"/>
          <cell r="C3831"/>
          <cell r="D3831"/>
          <cell r="E3831"/>
          <cell r="F3831"/>
          <cell r="G3831">
            <v>1.0699999999999999E-2</v>
          </cell>
          <cell r="H3831"/>
          <cell r="I3831"/>
          <cell r="J3831"/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>
            <v>3.0000000000000001E-3</v>
          </cell>
        </row>
        <row r="3832">
          <cell r="A3832" t="str">
            <v>51940-107LF</v>
          </cell>
          <cell r="B3832"/>
          <cell r="C3832"/>
          <cell r="D3832"/>
          <cell r="E3832"/>
          <cell r="F3832"/>
          <cell r="G3832">
            <v>1.09E-2</v>
          </cell>
          <cell r="H3832"/>
          <cell r="I3832"/>
          <cell r="J3832"/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>
            <v>6.6E-3</v>
          </cell>
        </row>
        <row r="3833">
          <cell r="A3833" t="str">
            <v>51940-109LF</v>
          </cell>
          <cell r="B3833"/>
          <cell r="C3833"/>
          <cell r="D3833"/>
          <cell r="E3833"/>
          <cell r="F3833"/>
          <cell r="G3833">
            <v>2.3E-2</v>
          </cell>
          <cell r="H3833"/>
          <cell r="I3833"/>
          <cell r="J3833"/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>
            <v>2E-3</v>
          </cell>
        </row>
        <row r="3834">
          <cell r="A3834" t="str">
            <v>51940-110LF</v>
          </cell>
          <cell r="B3834"/>
          <cell r="C3834"/>
          <cell r="D3834"/>
          <cell r="E3834"/>
          <cell r="F3834"/>
          <cell r="G3834">
            <v>2.7E-2</v>
          </cell>
          <cell r="H3834"/>
          <cell r="I3834"/>
          <cell r="J3834"/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>
            <v>2E-3</v>
          </cell>
        </row>
        <row r="3835">
          <cell r="A3835" t="str">
            <v>51940-112LF</v>
          </cell>
          <cell r="B3835"/>
          <cell r="C3835"/>
          <cell r="D3835"/>
          <cell r="E3835"/>
          <cell r="F3835"/>
          <cell r="G3835">
            <v>0.01</v>
          </cell>
          <cell r="H3835"/>
          <cell r="I3835"/>
          <cell r="J3835"/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>
            <v>7.0000000000000001E-3</v>
          </cell>
        </row>
        <row r="3836">
          <cell r="A3836" t="str">
            <v>51940-113LF</v>
          </cell>
          <cell r="B3836"/>
          <cell r="C3836"/>
          <cell r="D3836"/>
          <cell r="E3836"/>
          <cell r="F3836"/>
          <cell r="G3836">
            <v>1.2500000000000001E-2</v>
          </cell>
          <cell r="H3836"/>
          <cell r="I3836"/>
          <cell r="J3836"/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>
            <v>6.0000000000000001E-3</v>
          </cell>
        </row>
        <row r="3837">
          <cell r="A3837" t="str">
            <v>51940-114LF</v>
          </cell>
          <cell r="B3837"/>
          <cell r="C3837"/>
          <cell r="D3837"/>
          <cell r="E3837"/>
          <cell r="F3837"/>
          <cell r="G3837">
            <v>2.9000000000000001E-2</v>
          </cell>
          <cell r="H3837"/>
          <cell r="I3837"/>
          <cell r="J3837"/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>
            <v>6.1000000000000004E-3</v>
          </cell>
        </row>
        <row r="3838">
          <cell r="A3838" t="str">
            <v>51940-116LF</v>
          </cell>
          <cell r="B3838"/>
          <cell r="C3838"/>
          <cell r="D3838"/>
          <cell r="E3838"/>
          <cell r="F3838"/>
          <cell r="G3838">
            <v>6.8999999999999999E-3</v>
          </cell>
          <cell r="H3838"/>
          <cell r="I3838"/>
          <cell r="J3838"/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>
            <v>8.0000000000000002E-3</v>
          </cell>
        </row>
        <row r="3839">
          <cell r="A3839" t="str">
            <v>51940-117LF</v>
          </cell>
          <cell r="B3839"/>
          <cell r="C3839"/>
          <cell r="D3839"/>
          <cell r="E3839"/>
          <cell r="F3839"/>
          <cell r="G3839">
            <v>1.2195856E-2</v>
          </cell>
          <cell r="H3839"/>
          <cell r="I3839"/>
          <cell r="J3839"/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>
            <v>3.0000000000000001E-3</v>
          </cell>
        </row>
        <row r="3840">
          <cell r="A3840" t="str">
            <v>51940-119LF</v>
          </cell>
          <cell r="B3840"/>
          <cell r="C3840"/>
          <cell r="D3840"/>
          <cell r="E3840"/>
          <cell r="F3840"/>
          <cell r="G3840">
            <v>2.7E-2</v>
          </cell>
          <cell r="H3840"/>
          <cell r="I3840"/>
          <cell r="J3840"/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>
            <v>3.0000000000000001E-3</v>
          </cell>
        </row>
        <row r="3841">
          <cell r="A3841" t="str">
            <v>51940-121LF</v>
          </cell>
          <cell r="B3841"/>
          <cell r="C3841"/>
          <cell r="D3841"/>
          <cell r="E3841"/>
          <cell r="F3841"/>
          <cell r="G3841">
            <v>0.01</v>
          </cell>
          <cell r="H3841"/>
          <cell r="I3841"/>
          <cell r="J3841"/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>
            <v>7.0000000000000001E-3</v>
          </cell>
        </row>
        <row r="3842">
          <cell r="A3842" t="str">
            <v>51940-122LF</v>
          </cell>
          <cell r="B3842"/>
          <cell r="C3842"/>
          <cell r="D3842"/>
          <cell r="E3842"/>
          <cell r="F3842"/>
          <cell r="G3842">
            <v>2.1524999999999999E-2</v>
          </cell>
          <cell r="H3842"/>
          <cell r="I3842"/>
          <cell r="J3842"/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>
            <v>4.0000000000000001E-3</v>
          </cell>
        </row>
        <row r="3843">
          <cell r="A3843" t="str">
            <v>51940-123LF</v>
          </cell>
          <cell r="B3843"/>
          <cell r="C3843"/>
          <cell r="D3843"/>
          <cell r="E3843"/>
          <cell r="F3843"/>
          <cell r="G3843">
            <v>1.0999999999999999E-2</v>
          </cell>
          <cell r="H3843"/>
          <cell r="I3843"/>
          <cell r="J3843"/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>
            <v>7.6E-3</v>
          </cell>
        </row>
        <row r="3844">
          <cell r="A3844" t="str">
            <v>51940-125LF</v>
          </cell>
          <cell r="B3844"/>
          <cell r="C3844"/>
          <cell r="D3844"/>
          <cell r="E3844"/>
          <cell r="F3844"/>
          <cell r="G3844">
            <v>2.4E-2</v>
          </cell>
          <cell r="H3844"/>
          <cell r="I3844"/>
          <cell r="J3844"/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>
            <v>3.0000000000000001E-3</v>
          </cell>
        </row>
        <row r="3845">
          <cell r="A3845" t="str">
            <v>51940-126LF</v>
          </cell>
          <cell r="B3845"/>
          <cell r="C3845"/>
          <cell r="D3845"/>
          <cell r="E3845"/>
          <cell r="F3845"/>
          <cell r="G3845">
            <v>2.69E-2</v>
          </cell>
          <cell r="H3845"/>
          <cell r="I3845"/>
          <cell r="J3845"/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>
            <v>3.0000000000000001E-3</v>
          </cell>
        </row>
        <row r="3846">
          <cell r="A3846" t="str">
            <v>51940-127LF</v>
          </cell>
          <cell r="B3846"/>
          <cell r="C3846"/>
          <cell r="D3846"/>
          <cell r="E3846"/>
          <cell r="F3846"/>
          <cell r="G3846">
            <v>1.6500000000000001E-2</v>
          </cell>
          <cell r="H3846"/>
          <cell r="I3846"/>
          <cell r="J3846"/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>
            <v>4.0000000000000001E-3</v>
          </cell>
        </row>
        <row r="3847">
          <cell r="A3847" t="str">
            <v>51940-130LF</v>
          </cell>
          <cell r="B3847"/>
          <cell r="C3847"/>
          <cell r="D3847"/>
          <cell r="E3847"/>
          <cell r="F3847"/>
          <cell r="G3847">
            <v>2.9000000000000001E-2</v>
          </cell>
          <cell r="H3847"/>
          <cell r="I3847"/>
          <cell r="J3847"/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>
            <v>3.0000000000000001E-3</v>
          </cell>
        </row>
        <row r="3848">
          <cell r="A3848" t="str">
            <v>51940-131LF</v>
          </cell>
          <cell r="B3848"/>
          <cell r="C3848"/>
          <cell r="D3848"/>
          <cell r="E3848"/>
          <cell r="F3848"/>
          <cell r="G3848">
            <v>1.9599999999999999E-2</v>
          </cell>
          <cell r="H3848"/>
          <cell r="I3848"/>
          <cell r="J3848"/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>
            <v>5.0000000000000001E-3</v>
          </cell>
        </row>
        <row r="3849">
          <cell r="A3849" t="str">
            <v>51940-135LF</v>
          </cell>
          <cell r="B3849"/>
          <cell r="C3849"/>
          <cell r="D3849"/>
          <cell r="E3849"/>
          <cell r="F3849"/>
          <cell r="G3849">
            <v>2.1000000000000001E-2</v>
          </cell>
          <cell r="H3849"/>
          <cell r="I3849"/>
          <cell r="J3849"/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>
            <v>4.0000000000000001E-3</v>
          </cell>
        </row>
        <row r="3850">
          <cell r="A3850" t="str">
            <v>51940-136LF</v>
          </cell>
          <cell r="B3850"/>
          <cell r="C3850"/>
          <cell r="D3850"/>
          <cell r="E3850"/>
          <cell r="F3850"/>
          <cell r="G3850">
            <v>1.15E-2</v>
          </cell>
          <cell r="H3850"/>
          <cell r="I3850"/>
          <cell r="J3850"/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>
            <v>3.0000000000000001E-3</v>
          </cell>
        </row>
        <row r="3851">
          <cell r="A3851" t="str">
            <v>51940-139LF</v>
          </cell>
          <cell r="B3851"/>
          <cell r="C3851"/>
          <cell r="D3851"/>
          <cell r="E3851"/>
          <cell r="F3851"/>
          <cell r="G3851">
            <v>3.2199999999999999E-2</v>
          </cell>
          <cell r="H3851"/>
          <cell r="I3851"/>
          <cell r="J3851"/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>
            <v>3.0000000000000001E-3</v>
          </cell>
        </row>
        <row r="3852">
          <cell r="A3852" t="str">
            <v>51940-141LF</v>
          </cell>
          <cell r="B3852"/>
          <cell r="C3852"/>
          <cell r="D3852"/>
          <cell r="E3852"/>
          <cell r="F3852"/>
          <cell r="G3852">
            <v>2.3E-2</v>
          </cell>
          <cell r="H3852"/>
          <cell r="I3852"/>
          <cell r="J3852"/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>
            <v>2E-3</v>
          </cell>
        </row>
        <row r="3853">
          <cell r="A3853" t="str">
            <v>51940-142LF</v>
          </cell>
          <cell r="B3853"/>
          <cell r="C3853"/>
          <cell r="D3853"/>
          <cell r="E3853"/>
          <cell r="F3853"/>
          <cell r="G3853">
            <v>1.15E-2</v>
          </cell>
          <cell r="H3853"/>
          <cell r="I3853"/>
          <cell r="J3853"/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>
            <v>7.6E-3</v>
          </cell>
        </row>
        <row r="3854">
          <cell r="A3854" t="str">
            <v>51940-147LF</v>
          </cell>
          <cell r="B3854"/>
          <cell r="C3854"/>
          <cell r="D3854"/>
          <cell r="E3854"/>
          <cell r="F3854"/>
          <cell r="G3854">
            <v>1.23E-2</v>
          </cell>
          <cell r="H3854"/>
          <cell r="I3854"/>
          <cell r="J3854"/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>
            <v>3.0000000000000001E-3</v>
          </cell>
        </row>
        <row r="3855">
          <cell r="A3855" t="str">
            <v>51940-149LF</v>
          </cell>
          <cell r="B3855"/>
          <cell r="C3855"/>
          <cell r="D3855"/>
          <cell r="E3855"/>
          <cell r="F3855"/>
          <cell r="G3855">
            <v>2.1999999999999999E-2</v>
          </cell>
          <cell r="H3855"/>
          <cell r="I3855"/>
          <cell r="J3855"/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>
            <v>3.0000000000000001E-3</v>
          </cell>
        </row>
        <row r="3856">
          <cell r="A3856" t="str">
            <v>51940-150LF</v>
          </cell>
          <cell r="B3856"/>
          <cell r="C3856"/>
          <cell r="D3856"/>
          <cell r="E3856"/>
          <cell r="F3856"/>
          <cell r="G3856">
            <v>2.1000000000000001E-2</v>
          </cell>
          <cell r="H3856"/>
          <cell r="I3856"/>
          <cell r="J3856"/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>
            <v>6.1000000000000004E-3</v>
          </cell>
        </row>
        <row r="3857">
          <cell r="A3857" t="str">
            <v>51940-151LF</v>
          </cell>
          <cell r="B3857"/>
          <cell r="C3857"/>
          <cell r="D3857"/>
          <cell r="E3857"/>
          <cell r="F3857"/>
          <cell r="G3857">
            <v>3.2000000000000001E-2</v>
          </cell>
          <cell r="H3857"/>
          <cell r="I3857"/>
          <cell r="J3857"/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>
            <v>2E-3</v>
          </cell>
        </row>
        <row r="3858">
          <cell r="A3858" t="str">
            <v>51940-152LF</v>
          </cell>
          <cell r="B3858"/>
          <cell r="C3858"/>
          <cell r="D3858"/>
          <cell r="E3858"/>
          <cell r="F3858"/>
          <cell r="G3858">
            <v>1.1299999999999999E-2</v>
          </cell>
          <cell r="H3858"/>
          <cell r="I3858"/>
          <cell r="J3858"/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>
            <v>3.0000000000000001E-3</v>
          </cell>
        </row>
        <row r="3859">
          <cell r="A3859" t="str">
            <v>51940-154LF</v>
          </cell>
          <cell r="B3859"/>
          <cell r="C3859"/>
          <cell r="D3859"/>
          <cell r="E3859"/>
          <cell r="F3859"/>
          <cell r="G3859">
            <v>2.7E-2</v>
          </cell>
          <cell r="H3859"/>
          <cell r="I3859"/>
          <cell r="J3859"/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>
            <v>6.1000000000000004E-3</v>
          </cell>
        </row>
        <row r="3860">
          <cell r="A3860" t="str">
            <v>51940-157LF</v>
          </cell>
          <cell r="B3860"/>
          <cell r="C3860"/>
          <cell r="D3860"/>
          <cell r="E3860"/>
          <cell r="F3860"/>
          <cell r="G3860">
            <v>0.01</v>
          </cell>
          <cell r="H3860"/>
          <cell r="I3860"/>
          <cell r="J3860"/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>
            <v>6.4000000000000003E-3</v>
          </cell>
        </row>
        <row r="3861">
          <cell r="A3861" t="str">
            <v>51940-160LF</v>
          </cell>
          <cell r="B3861"/>
          <cell r="C3861"/>
          <cell r="D3861"/>
          <cell r="E3861"/>
          <cell r="F3861"/>
          <cell r="G3861">
            <v>2.58E-2</v>
          </cell>
          <cell r="H3861"/>
          <cell r="I3861"/>
          <cell r="J3861"/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>
            <v>2E-3</v>
          </cell>
        </row>
        <row r="3862">
          <cell r="A3862" t="str">
            <v>51940-162LF</v>
          </cell>
          <cell r="B3862"/>
          <cell r="C3862"/>
          <cell r="D3862"/>
          <cell r="E3862"/>
          <cell r="F3862"/>
          <cell r="G3862">
            <v>1.6E-2</v>
          </cell>
          <cell r="H3862"/>
          <cell r="I3862"/>
          <cell r="J3862"/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>
            <v>5.0000000000000001E-3</v>
          </cell>
        </row>
        <row r="3863">
          <cell r="A3863" t="str">
            <v>51940-163LF</v>
          </cell>
          <cell r="B3863"/>
          <cell r="C3863"/>
          <cell r="D3863"/>
          <cell r="E3863"/>
          <cell r="F3863"/>
          <cell r="G3863">
            <v>2.3E-2</v>
          </cell>
          <cell r="H3863"/>
          <cell r="I3863"/>
          <cell r="J3863"/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>
            <v>1.2699999999999999E-2</v>
          </cell>
        </row>
        <row r="3864">
          <cell r="A3864" t="str">
            <v>51940-164LF</v>
          </cell>
          <cell r="B3864"/>
          <cell r="C3864"/>
          <cell r="D3864"/>
          <cell r="E3864"/>
          <cell r="F3864"/>
          <cell r="G3864">
            <v>3.2000000000000001E-2</v>
          </cell>
          <cell r="H3864"/>
          <cell r="I3864"/>
          <cell r="J3864"/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>
            <v>3.0000000000000001E-3</v>
          </cell>
        </row>
        <row r="3865">
          <cell r="A3865" t="str">
            <v>51940-165LF</v>
          </cell>
          <cell r="B3865"/>
          <cell r="C3865"/>
          <cell r="D3865"/>
          <cell r="E3865"/>
          <cell r="F3865"/>
          <cell r="G3865">
            <v>2.9000000000000001E-2</v>
          </cell>
          <cell r="H3865"/>
          <cell r="I3865"/>
          <cell r="J3865"/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>
            <v>1.6999999999999999E-3</v>
          </cell>
        </row>
        <row r="3866">
          <cell r="A3866" t="str">
            <v>51940-165PGSALF</v>
          </cell>
          <cell r="B3866"/>
          <cell r="C3866"/>
          <cell r="D3866"/>
          <cell r="E3866"/>
          <cell r="F3866"/>
          <cell r="G3866">
            <v>2.9000000000000001E-2</v>
          </cell>
          <cell r="H3866"/>
          <cell r="I3866"/>
          <cell r="J3866"/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>
            <v>1.6999999999999999E-3</v>
          </cell>
        </row>
        <row r="3867">
          <cell r="A3867" t="str">
            <v>51940-166LF</v>
          </cell>
          <cell r="B3867"/>
          <cell r="C3867"/>
          <cell r="D3867"/>
          <cell r="E3867"/>
          <cell r="F3867"/>
          <cell r="G3867">
            <v>1.14E-2</v>
          </cell>
          <cell r="H3867"/>
          <cell r="I3867"/>
          <cell r="J3867"/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>
            <v>7.9000000000000008E-3</v>
          </cell>
        </row>
        <row r="3868">
          <cell r="A3868" t="str">
            <v>51940-168LF</v>
          </cell>
          <cell r="B3868"/>
          <cell r="C3868"/>
          <cell r="D3868"/>
          <cell r="E3868"/>
          <cell r="F3868"/>
          <cell r="G3868">
            <v>2.1000000000000001E-2</v>
          </cell>
          <cell r="H3868"/>
          <cell r="I3868"/>
          <cell r="J3868"/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>
            <v>3.0000000000000001E-3</v>
          </cell>
        </row>
        <row r="3869">
          <cell r="A3869" t="str">
            <v>51940-169LF</v>
          </cell>
          <cell r="B3869"/>
          <cell r="C3869"/>
          <cell r="D3869"/>
          <cell r="E3869"/>
          <cell r="F3869"/>
          <cell r="G3869">
            <v>4.2999999999999997E-2</v>
          </cell>
          <cell r="H3869"/>
          <cell r="I3869"/>
          <cell r="J3869"/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>
            <v>8.0000000000000002E-3</v>
          </cell>
        </row>
        <row r="3870">
          <cell r="A3870" t="str">
            <v>51940-170LF</v>
          </cell>
          <cell r="B3870"/>
          <cell r="C3870"/>
          <cell r="D3870"/>
          <cell r="E3870"/>
          <cell r="F3870"/>
          <cell r="G3870">
            <v>4.2999999999999997E-2</v>
          </cell>
          <cell r="H3870"/>
          <cell r="I3870"/>
          <cell r="J3870"/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>
            <v>8.0000000000000002E-3</v>
          </cell>
        </row>
        <row r="3871">
          <cell r="A3871" t="str">
            <v>51940-171LF</v>
          </cell>
          <cell r="B3871"/>
          <cell r="C3871"/>
          <cell r="D3871"/>
          <cell r="E3871"/>
          <cell r="F3871"/>
          <cell r="G3871">
            <v>4.2000000000000003E-2</v>
          </cell>
          <cell r="H3871"/>
          <cell r="I3871"/>
          <cell r="J3871"/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>
            <v>3.0000000000000001E-3</v>
          </cell>
        </row>
        <row r="3872">
          <cell r="A3872" t="str">
            <v>51940-172LF</v>
          </cell>
          <cell r="B3872"/>
          <cell r="C3872"/>
          <cell r="D3872"/>
          <cell r="E3872"/>
          <cell r="F3872"/>
          <cell r="G3872">
            <v>3.3000000000000002E-2</v>
          </cell>
          <cell r="H3872"/>
          <cell r="I3872"/>
          <cell r="J3872"/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>
            <v>3.0000000000000001E-3</v>
          </cell>
        </row>
        <row r="3873">
          <cell r="A3873" t="str">
            <v>51940-173LF</v>
          </cell>
          <cell r="B3873"/>
          <cell r="C3873"/>
          <cell r="D3873"/>
          <cell r="E3873"/>
          <cell r="F3873"/>
          <cell r="G3873">
            <v>9.5259999999999997E-3</v>
          </cell>
          <cell r="H3873"/>
          <cell r="I3873"/>
          <cell r="J3873"/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>
            <v>2E-3</v>
          </cell>
        </row>
        <row r="3874">
          <cell r="A3874" t="str">
            <v>51940-174LF</v>
          </cell>
          <cell r="B3874"/>
          <cell r="C3874"/>
          <cell r="D3874"/>
          <cell r="E3874"/>
          <cell r="F3874"/>
          <cell r="G3874">
            <v>2.5000000000000001E-2</v>
          </cell>
          <cell r="H3874"/>
          <cell r="I3874"/>
          <cell r="J3874"/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>
            <v>3.0000000000000001E-3</v>
          </cell>
        </row>
        <row r="3875">
          <cell r="A3875" t="str">
            <v>51940-175LF</v>
          </cell>
          <cell r="B3875"/>
          <cell r="C3875"/>
          <cell r="D3875"/>
          <cell r="E3875"/>
          <cell r="F3875"/>
          <cell r="G3875">
            <v>2.8202478999999999E-2</v>
          </cell>
          <cell r="H3875"/>
          <cell r="I3875"/>
          <cell r="J3875"/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>
            <v>3.0000000000000001E-3</v>
          </cell>
        </row>
        <row r="3876">
          <cell r="A3876" t="str">
            <v>51940-177LF</v>
          </cell>
          <cell r="B3876"/>
          <cell r="C3876"/>
          <cell r="D3876"/>
          <cell r="E3876"/>
          <cell r="F3876"/>
          <cell r="G3876">
            <v>1.32E-2</v>
          </cell>
          <cell r="H3876"/>
          <cell r="I3876"/>
          <cell r="J3876"/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>
            <v>6.1000000000000004E-3</v>
          </cell>
        </row>
        <row r="3877">
          <cell r="A3877" t="str">
            <v>51940-178LF</v>
          </cell>
          <cell r="B3877"/>
          <cell r="C3877"/>
          <cell r="D3877"/>
          <cell r="E3877"/>
          <cell r="F3877"/>
          <cell r="G3877">
            <v>9.7000000000000003E-3</v>
          </cell>
          <cell r="H3877"/>
          <cell r="I3877"/>
          <cell r="J3877"/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>
            <v>4.5999999999999999E-3</v>
          </cell>
        </row>
        <row r="3878">
          <cell r="A3878" t="str">
            <v>51940-179LF</v>
          </cell>
          <cell r="B3878"/>
          <cell r="C3878"/>
          <cell r="D3878"/>
          <cell r="E3878"/>
          <cell r="F3878"/>
          <cell r="G3878">
            <v>2.1600000000000001E-2</v>
          </cell>
          <cell r="H3878"/>
          <cell r="I3878"/>
          <cell r="J3878"/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>
            <v>2E-3</v>
          </cell>
        </row>
        <row r="3879">
          <cell r="A3879" t="str">
            <v>51940-180LF</v>
          </cell>
          <cell r="B3879"/>
          <cell r="C3879"/>
          <cell r="D3879"/>
          <cell r="E3879"/>
          <cell r="F3879"/>
          <cell r="G3879">
            <v>1.9900000000000001E-2</v>
          </cell>
          <cell r="H3879"/>
          <cell r="I3879"/>
          <cell r="J3879"/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>
            <v>4.0000000000000001E-3</v>
          </cell>
        </row>
        <row r="3880">
          <cell r="A3880" t="str">
            <v>51940-181LF</v>
          </cell>
          <cell r="B3880"/>
          <cell r="C3880"/>
          <cell r="D3880"/>
          <cell r="E3880"/>
          <cell r="F3880"/>
          <cell r="G3880">
            <v>2.1999999999999999E-2</v>
          </cell>
          <cell r="H3880"/>
          <cell r="I3880"/>
          <cell r="J3880"/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>
            <v>3.0000000000000001E-3</v>
          </cell>
        </row>
        <row r="3881">
          <cell r="A3881" t="str">
            <v>51940-182LF</v>
          </cell>
          <cell r="B3881"/>
          <cell r="C3881"/>
          <cell r="D3881"/>
          <cell r="E3881"/>
          <cell r="F3881"/>
          <cell r="G3881">
            <v>4.1000000000000002E-2</v>
          </cell>
          <cell r="H3881"/>
          <cell r="I3881"/>
          <cell r="J3881"/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>
            <v>3.0000000000000001E-3</v>
          </cell>
        </row>
        <row r="3882">
          <cell r="A3882" t="str">
            <v>51940-184LF</v>
          </cell>
          <cell r="B3882"/>
          <cell r="C3882"/>
          <cell r="D3882"/>
          <cell r="E3882"/>
          <cell r="F3882"/>
          <cell r="G3882">
            <v>2.9000000000000001E-2</v>
          </cell>
          <cell r="H3882"/>
          <cell r="I3882"/>
          <cell r="J3882"/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>
            <v>3.0000000000000001E-3</v>
          </cell>
        </row>
        <row r="3883">
          <cell r="A3883" t="str">
            <v>51940-184PGSALF</v>
          </cell>
          <cell r="B3883"/>
          <cell r="C3883"/>
          <cell r="D3883"/>
          <cell r="E3883"/>
          <cell r="F3883"/>
          <cell r="G3883">
            <v>2.9000000000000001E-2</v>
          </cell>
          <cell r="H3883"/>
          <cell r="I3883"/>
          <cell r="J3883"/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>
            <v>3.0000000000000001E-3</v>
          </cell>
        </row>
        <row r="3884">
          <cell r="A3884" t="str">
            <v>51940-185LF</v>
          </cell>
          <cell r="B3884"/>
          <cell r="C3884"/>
          <cell r="D3884"/>
          <cell r="E3884"/>
          <cell r="F3884"/>
          <cell r="G3884">
            <v>2.4E-2</v>
          </cell>
          <cell r="H3884"/>
          <cell r="I3884"/>
          <cell r="J3884"/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>
            <v>3.0000000000000001E-3</v>
          </cell>
        </row>
        <row r="3885">
          <cell r="A3885" t="str">
            <v>51940-187LF</v>
          </cell>
          <cell r="B3885"/>
          <cell r="C3885"/>
          <cell r="D3885"/>
          <cell r="E3885"/>
          <cell r="F3885"/>
          <cell r="G3885">
            <v>2.7099999999999999E-2</v>
          </cell>
          <cell r="H3885"/>
          <cell r="I3885"/>
          <cell r="J3885"/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>
            <v>2.8E-3</v>
          </cell>
        </row>
        <row r="3886">
          <cell r="A3886" t="str">
            <v>51940-188LF</v>
          </cell>
          <cell r="B3886"/>
          <cell r="C3886"/>
          <cell r="D3886"/>
          <cell r="E3886"/>
          <cell r="F3886"/>
          <cell r="G3886">
            <v>1.8100000000000002E-2</v>
          </cell>
          <cell r="H3886"/>
          <cell r="I3886"/>
          <cell r="J3886"/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>
            <v>2.8E-3</v>
          </cell>
        </row>
        <row r="3887">
          <cell r="A3887" t="str">
            <v>51940-189LF</v>
          </cell>
          <cell r="B3887"/>
          <cell r="C3887"/>
          <cell r="D3887"/>
          <cell r="E3887"/>
          <cell r="F3887"/>
          <cell r="G3887">
            <v>0.01</v>
          </cell>
          <cell r="H3887"/>
          <cell r="I3887"/>
          <cell r="J3887"/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>
            <v>7.3000000000000001E-3</v>
          </cell>
        </row>
        <row r="3888">
          <cell r="A3888" t="str">
            <v>51940-189PGSALF</v>
          </cell>
          <cell r="B3888"/>
          <cell r="C3888"/>
          <cell r="D3888"/>
          <cell r="E3888"/>
          <cell r="F3888"/>
          <cell r="G3888">
            <v>0.01</v>
          </cell>
          <cell r="H3888"/>
          <cell r="I3888"/>
          <cell r="J3888"/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>
            <v>7.3000000000000001E-3</v>
          </cell>
        </row>
        <row r="3889">
          <cell r="A3889" t="str">
            <v>51940-191LF</v>
          </cell>
          <cell r="B3889"/>
          <cell r="C3889"/>
          <cell r="D3889"/>
          <cell r="E3889"/>
          <cell r="F3889"/>
          <cell r="G3889">
            <v>1.2500000000000001E-2</v>
          </cell>
          <cell r="H3889"/>
          <cell r="I3889"/>
          <cell r="J3889"/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>
            <v>3.0000000000000001E-3</v>
          </cell>
        </row>
        <row r="3890">
          <cell r="A3890" t="str">
            <v>51940-192LF</v>
          </cell>
          <cell r="B3890"/>
          <cell r="C3890"/>
          <cell r="D3890"/>
          <cell r="E3890"/>
          <cell r="F3890"/>
          <cell r="G3890">
            <v>2.5000000000000001E-2</v>
          </cell>
          <cell r="H3890"/>
          <cell r="I3890"/>
          <cell r="J3890"/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>
            <v>6.1000000000000004E-3</v>
          </cell>
        </row>
        <row r="3891">
          <cell r="A3891" t="str">
            <v>51940-193LF</v>
          </cell>
          <cell r="B3891"/>
          <cell r="C3891"/>
          <cell r="D3891"/>
          <cell r="E3891"/>
          <cell r="F3891"/>
          <cell r="G3891">
            <v>3.3000000000000002E-2</v>
          </cell>
          <cell r="H3891"/>
          <cell r="I3891"/>
          <cell r="J3891"/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>
            <v>2E-3</v>
          </cell>
        </row>
        <row r="3892">
          <cell r="A3892" t="str">
            <v>51940-194LF</v>
          </cell>
          <cell r="B3892"/>
          <cell r="C3892"/>
          <cell r="D3892"/>
          <cell r="E3892"/>
          <cell r="F3892"/>
          <cell r="G3892">
            <v>2.5000000000000001E-2</v>
          </cell>
          <cell r="H3892"/>
          <cell r="I3892"/>
          <cell r="J3892"/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>
            <v>6.1000000000000004E-3</v>
          </cell>
        </row>
        <row r="3893">
          <cell r="A3893" t="str">
            <v>51940-195LF</v>
          </cell>
          <cell r="B3893"/>
          <cell r="C3893"/>
          <cell r="D3893"/>
          <cell r="E3893"/>
          <cell r="F3893"/>
          <cell r="G3893">
            <v>1.4E-2</v>
          </cell>
          <cell r="H3893"/>
          <cell r="I3893"/>
          <cell r="J3893"/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>
            <v>3.0000000000000001E-3</v>
          </cell>
        </row>
        <row r="3894">
          <cell r="A3894" t="str">
            <v>51940-199LF</v>
          </cell>
          <cell r="B3894"/>
          <cell r="C3894"/>
          <cell r="D3894"/>
          <cell r="E3894"/>
          <cell r="F3894"/>
          <cell r="G3894">
            <v>2.8000000000000001E-2</v>
          </cell>
          <cell r="H3894"/>
          <cell r="I3894"/>
          <cell r="J3894"/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>
            <v>6.1000000000000004E-3</v>
          </cell>
        </row>
        <row r="3895">
          <cell r="A3895" t="str">
            <v>51940-200LF</v>
          </cell>
          <cell r="B3895"/>
          <cell r="C3895"/>
          <cell r="D3895"/>
          <cell r="E3895"/>
          <cell r="F3895"/>
          <cell r="G3895">
            <v>6.4999999999999997E-3</v>
          </cell>
          <cell r="H3895"/>
          <cell r="I3895"/>
          <cell r="J3895"/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>
            <v>4.3E-3</v>
          </cell>
        </row>
        <row r="3896">
          <cell r="A3896" t="str">
            <v>51940-202LF</v>
          </cell>
          <cell r="B3896"/>
          <cell r="C3896"/>
          <cell r="D3896"/>
          <cell r="E3896"/>
          <cell r="F3896"/>
          <cell r="G3896">
            <v>1.650809E-2</v>
          </cell>
          <cell r="H3896"/>
          <cell r="I3896"/>
          <cell r="J3896"/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>
            <v>6.1000000000000004E-3</v>
          </cell>
        </row>
        <row r="3897">
          <cell r="A3897" t="str">
            <v>51940-203LF</v>
          </cell>
          <cell r="B3897"/>
          <cell r="C3897"/>
          <cell r="D3897"/>
          <cell r="E3897"/>
          <cell r="F3897"/>
          <cell r="G3897">
            <v>3.7999999999999999E-2</v>
          </cell>
          <cell r="H3897"/>
          <cell r="I3897"/>
          <cell r="J3897"/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>
            <v>3.0000000000000001E-3</v>
          </cell>
        </row>
        <row r="3898">
          <cell r="A3898" t="str">
            <v>51940-204LF</v>
          </cell>
          <cell r="B3898"/>
          <cell r="C3898"/>
          <cell r="D3898"/>
          <cell r="E3898"/>
          <cell r="F3898"/>
          <cell r="G3898">
            <v>3.5000000000000003E-2</v>
          </cell>
          <cell r="H3898"/>
          <cell r="I3898"/>
          <cell r="J3898"/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>
            <v>3.0000000000000001E-3</v>
          </cell>
        </row>
        <row r="3899">
          <cell r="A3899" t="str">
            <v>51940-205LF</v>
          </cell>
          <cell r="B3899"/>
          <cell r="C3899"/>
          <cell r="D3899"/>
          <cell r="E3899"/>
          <cell r="F3899"/>
          <cell r="G3899">
            <v>1.9300000000000001E-2</v>
          </cell>
          <cell r="H3899"/>
          <cell r="I3899"/>
          <cell r="J3899"/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>
            <v>3.0000000000000001E-3</v>
          </cell>
        </row>
        <row r="3900">
          <cell r="A3900" t="str">
            <v>51940-206LF</v>
          </cell>
          <cell r="B3900"/>
          <cell r="C3900"/>
          <cell r="D3900"/>
          <cell r="E3900"/>
          <cell r="F3900"/>
          <cell r="G3900">
            <v>3.3000000000000002E-2</v>
          </cell>
          <cell r="H3900"/>
          <cell r="I3900"/>
          <cell r="J3900"/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>
            <v>3.0000000000000001E-3</v>
          </cell>
        </row>
        <row r="3901">
          <cell r="A3901" t="str">
            <v>51940-207LF</v>
          </cell>
          <cell r="B3901"/>
          <cell r="C3901"/>
          <cell r="D3901"/>
          <cell r="E3901"/>
          <cell r="F3901"/>
          <cell r="G3901">
            <v>2.7E-2</v>
          </cell>
          <cell r="H3901"/>
          <cell r="I3901"/>
          <cell r="J3901"/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>
            <v>2E-3</v>
          </cell>
        </row>
        <row r="3902">
          <cell r="A3902" t="str">
            <v>51940-208LF</v>
          </cell>
          <cell r="B3902"/>
          <cell r="C3902"/>
          <cell r="D3902"/>
          <cell r="E3902"/>
          <cell r="F3902"/>
          <cell r="G3902">
            <v>3.2000000000000001E-2</v>
          </cell>
          <cell r="H3902"/>
          <cell r="I3902"/>
          <cell r="J3902"/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>
            <v>3.0000000000000001E-3</v>
          </cell>
        </row>
        <row r="3903">
          <cell r="A3903" t="str">
            <v>51940-209LF</v>
          </cell>
          <cell r="B3903"/>
          <cell r="C3903"/>
          <cell r="D3903"/>
          <cell r="E3903"/>
          <cell r="F3903"/>
          <cell r="G3903">
            <v>0.03</v>
          </cell>
          <cell r="H3903"/>
          <cell r="I3903"/>
          <cell r="J3903"/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>
            <v>3.0000000000000001E-3</v>
          </cell>
        </row>
        <row r="3904">
          <cell r="A3904" t="str">
            <v>51940-211LF</v>
          </cell>
          <cell r="B3904"/>
          <cell r="C3904"/>
          <cell r="D3904"/>
          <cell r="E3904"/>
          <cell r="F3904"/>
          <cell r="G3904">
            <v>3.5999999999999997E-2</v>
          </cell>
          <cell r="H3904"/>
          <cell r="I3904"/>
          <cell r="J3904"/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>
            <v>3.0000000000000001E-3</v>
          </cell>
        </row>
        <row r="3905">
          <cell r="A3905" t="str">
            <v>51940-213LF</v>
          </cell>
          <cell r="B3905"/>
          <cell r="C3905"/>
          <cell r="D3905"/>
          <cell r="E3905"/>
          <cell r="F3905"/>
          <cell r="G3905">
            <v>3.7999999999999999E-2</v>
          </cell>
          <cell r="H3905"/>
          <cell r="I3905"/>
          <cell r="J3905"/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>
            <v>3.0000000000000001E-3</v>
          </cell>
        </row>
        <row r="3906">
          <cell r="A3906" t="str">
            <v>51940-214LF</v>
          </cell>
          <cell r="B3906"/>
          <cell r="C3906"/>
          <cell r="D3906"/>
          <cell r="E3906"/>
          <cell r="F3906"/>
          <cell r="G3906">
            <v>2.2499999999999999E-2</v>
          </cell>
          <cell r="H3906"/>
          <cell r="I3906"/>
          <cell r="J3906"/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>
            <v>2E-3</v>
          </cell>
        </row>
        <row r="3907">
          <cell r="A3907" t="str">
            <v>51940-215LF</v>
          </cell>
          <cell r="B3907"/>
          <cell r="C3907"/>
          <cell r="D3907"/>
          <cell r="E3907"/>
          <cell r="F3907"/>
          <cell r="G3907">
            <v>1.67E-2</v>
          </cell>
          <cell r="H3907"/>
          <cell r="I3907"/>
          <cell r="J3907"/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>
            <v>6.1000000000000004E-3</v>
          </cell>
        </row>
        <row r="3908">
          <cell r="A3908" t="str">
            <v>51940-216LF</v>
          </cell>
          <cell r="B3908"/>
          <cell r="C3908"/>
          <cell r="D3908"/>
          <cell r="E3908"/>
          <cell r="F3908"/>
          <cell r="G3908">
            <v>0.03</v>
          </cell>
          <cell r="H3908"/>
          <cell r="I3908"/>
          <cell r="J3908"/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>
            <v>3.0000000000000001E-3</v>
          </cell>
        </row>
        <row r="3909">
          <cell r="A3909" t="str">
            <v>51940-217LF</v>
          </cell>
          <cell r="B3909"/>
          <cell r="C3909"/>
          <cell r="D3909"/>
          <cell r="E3909"/>
          <cell r="F3909"/>
          <cell r="G3909">
            <v>2.9000000000000001E-2</v>
          </cell>
          <cell r="H3909"/>
          <cell r="I3909"/>
          <cell r="J3909"/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>
            <v>2E-3</v>
          </cell>
        </row>
        <row r="3910">
          <cell r="A3910" t="str">
            <v>51940-218LF</v>
          </cell>
          <cell r="B3910"/>
          <cell r="C3910"/>
          <cell r="D3910"/>
          <cell r="E3910"/>
          <cell r="F3910"/>
          <cell r="G3910">
            <v>3.2000000000000001E-2</v>
          </cell>
          <cell r="H3910"/>
          <cell r="I3910"/>
          <cell r="J3910"/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>
            <v>3.0000000000000001E-3</v>
          </cell>
        </row>
        <row r="3911">
          <cell r="A3911" t="str">
            <v>51940-219LF</v>
          </cell>
          <cell r="B3911"/>
          <cell r="C3911"/>
          <cell r="D3911"/>
          <cell r="E3911"/>
          <cell r="F3911"/>
          <cell r="G3911">
            <v>3.4000000000000002E-2</v>
          </cell>
          <cell r="H3911"/>
          <cell r="I3911"/>
          <cell r="J3911"/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>
            <v>6.3E-3</v>
          </cell>
        </row>
        <row r="3912">
          <cell r="A3912" t="str">
            <v>51940-220LF</v>
          </cell>
          <cell r="B3912"/>
          <cell r="C3912"/>
          <cell r="D3912"/>
          <cell r="E3912"/>
          <cell r="F3912"/>
          <cell r="G3912">
            <v>2.5000000000000001E-2</v>
          </cell>
          <cell r="H3912"/>
          <cell r="I3912"/>
          <cell r="J3912"/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>
            <v>3.0000000000000001E-3</v>
          </cell>
        </row>
        <row r="3913">
          <cell r="A3913" t="str">
            <v>51940-221LF</v>
          </cell>
          <cell r="B3913"/>
          <cell r="C3913"/>
          <cell r="D3913"/>
          <cell r="E3913"/>
          <cell r="F3913"/>
          <cell r="G3913">
            <v>2.4E-2</v>
          </cell>
          <cell r="H3913"/>
          <cell r="I3913"/>
          <cell r="J3913"/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>
            <v>5.0000000000000001E-3</v>
          </cell>
        </row>
        <row r="3914">
          <cell r="A3914" t="str">
            <v>51940-222LF</v>
          </cell>
          <cell r="B3914"/>
          <cell r="C3914"/>
          <cell r="D3914"/>
          <cell r="E3914"/>
          <cell r="F3914"/>
          <cell r="G3914">
            <v>0.03</v>
          </cell>
          <cell r="H3914"/>
          <cell r="I3914"/>
          <cell r="J3914"/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>
            <v>3.0000000000000001E-3</v>
          </cell>
        </row>
        <row r="3915">
          <cell r="A3915" t="str">
            <v>51940-224LF</v>
          </cell>
          <cell r="B3915"/>
          <cell r="C3915"/>
          <cell r="D3915"/>
          <cell r="E3915"/>
          <cell r="F3915"/>
          <cell r="G3915">
            <v>3.2000000000000001E-2</v>
          </cell>
          <cell r="H3915"/>
          <cell r="I3915"/>
          <cell r="J3915"/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>
            <v>3.0000000000000001E-3</v>
          </cell>
        </row>
        <row r="3916">
          <cell r="A3916" t="str">
            <v>51940-226LF</v>
          </cell>
          <cell r="B3916"/>
          <cell r="C3916"/>
          <cell r="D3916"/>
          <cell r="E3916"/>
          <cell r="F3916"/>
          <cell r="G3916">
            <v>2.8363636000000001E-2</v>
          </cell>
          <cell r="H3916"/>
          <cell r="I3916"/>
          <cell r="J3916"/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>
            <v>3.0000000000000001E-3</v>
          </cell>
        </row>
        <row r="3917">
          <cell r="A3917" t="str">
            <v>51940-228LF</v>
          </cell>
          <cell r="B3917"/>
          <cell r="C3917"/>
          <cell r="D3917"/>
          <cell r="E3917"/>
          <cell r="F3917"/>
          <cell r="G3917">
            <v>9.1999999999999998E-3</v>
          </cell>
          <cell r="H3917"/>
          <cell r="I3917"/>
          <cell r="J3917"/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>
            <v>6.3E-3</v>
          </cell>
        </row>
        <row r="3918">
          <cell r="A3918" t="str">
            <v>51940-230LF</v>
          </cell>
          <cell r="B3918"/>
          <cell r="C3918"/>
          <cell r="D3918"/>
          <cell r="E3918"/>
          <cell r="F3918"/>
          <cell r="G3918">
            <v>5.2999999999999999E-2</v>
          </cell>
          <cell r="H3918"/>
          <cell r="I3918"/>
          <cell r="J3918"/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>
            <v>3.0000000000000001E-3</v>
          </cell>
        </row>
        <row r="3919">
          <cell r="A3919" t="str">
            <v>51940-231LF</v>
          </cell>
          <cell r="B3919"/>
          <cell r="C3919"/>
          <cell r="D3919"/>
          <cell r="E3919"/>
          <cell r="F3919"/>
          <cell r="G3919">
            <v>2.9000000000000001E-2</v>
          </cell>
          <cell r="H3919"/>
          <cell r="I3919"/>
          <cell r="J3919"/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>
            <v>3.0000000000000001E-3</v>
          </cell>
        </row>
        <row r="3920">
          <cell r="A3920" t="str">
            <v>51940-233LF</v>
          </cell>
          <cell r="B3920"/>
          <cell r="C3920"/>
          <cell r="D3920"/>
          <cell r="E3920"/>
          <cell r="F3920"/>
          <cell r="G3920">
            <v>1.5886999999999998E-2</v>
          </cell>
          <cell r="H3920"/>
          <cell r="I3920"/>
          <cell r="J3920"/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>
            <v>3.0000000000000001E-3</v>
          </cell>
        </row>
        <row r="3921">
          <cell r="A3921" t="str">
            <v>51940-234LF</v>
          </cell>
          <cell r="B3921"/>
          <cell r="C3921"/>
          <cell r="D3921"/>
          <cell r="E3921"/>
          <cell r="F3921"/>
          <cell r="G3921">
            <v>0.02</v>
          </cell>
          <cell r="H3921"/>
          <cell r="I3921"/>
          <cell r="J3921"/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>
            <v>3.0000000000000001E-3</v>
          </cell>
        </row>
        <row r="3922">
          <cell r="A3922" t="str">
            <v>51940-235LF</v>
          </cell>
          <cell r="B3922"/>
          <cell r="C3922"/>
          <cell r="D3922"/>
          <cell r="E3922"/>
          <cell r="F3922"/>
          <cell r="G3922">
            <v>2.12E-2</v>
          </cell>
          <cell r="H3922"/>
          <cell r="I3922"/>
          <cell r="J3922"/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>
            <v>3.0000000000000001E-3</v>
          </cell>
        </row>
        <row r="3923">
          <cell r="A3923" t="str">
            <v>51940-236LF</v>
          </cell>
          <cell r="B3923"/>
          <cell r="C3923"/>
          <cell r="D3923"/>
          <cell r="E3923"/>
          <cell r="F3923"/>
          <cell r="G3923">
            <v>2.9000000000000001E-2</v>
          </cell>
          <cell r="H3923"/>
          <cell r="I3923"/>
          <cell r="J3923"/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>
            <v>3.0000000000000001E-3</v>
          </cell>
        </row>
        <row r="3924">
          <cell r="A3924" t="str">
            <v>51940-237LF</v>
          </cell>
          <cell r="B3924"/>
          <cell r="C3924"/>
          <cell r="D3924"/>
          <cell r="E3924"/>
          <cell r="F3924"/>
          <cell r="G3924">
            <v>2.9000000000000001E-2</v>
          </cell>
          <cell r="H3924"/>
          <cell r="I3924"/>
          <cell r="J3924"/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>
            <v>1E-3</v>
          </cell>
        </row>
        <row r="3925">
          <cell r="A3925" t="str">
            <v>51940-238LF</v>
          </cell>
          <cell r="B3925"/>
          <cell r="C3925"/>
          <cell r="D3925"/>
          <cell r="E3925"/>
          <cell r="F3925"/>
          <cell r="G3925">
            <v>0.03</v>
          </cell>
          <cell r="H3925"/>
          <cell r="I3925"/>
          <cell r="J3925"/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>
            <v>3.0000000000000001E-3</v>
          </cell>
        </row>
        <row r="3926">
          <cell r="A3926" t="str">
            <v>51940-241LF</v>
          </cell>
          <cell r="B3926"/>
          <cell r="C3926"/>
          <cell r="D3926"/>
          <cell r="E3926"/>
          <cell r="F3926"/>
          <cell r="G3926">
            <v>3.5999999999999997E-2</v>
          </cell>
          <cell r="H3926"/>
          <cell r="I3926"/>
          <cell r="J3926"/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>
            <v>3.0000000000000001E-3</v>
          </cell>
        </row>
        <row r="3927">
          <cell r="A3927" t="str">
            <v>51940-243LF</v>
          </cell>
          <cell r="B3927"/>
          <cell r="C3927"/>
          <cell r="D3927"/>
          <cell r="E3927"/>
          <cell r="F3927"/>
          <cell r="G3927">
            <v>2.5000000000000001E-2</v>
          </cell>
          <cell r="H3927"/>
          <cell r="I3927"/>
          <cell r="J3927"/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>
            <v>8.3999999999999995E-3</v>
          </cell>
        </row>
        <row r="3928">
          <cell r="A3928" t="str">
            <v>51940-248LF</v>
          </cell>
          <cell r="B3928"/>
          <cell r="C3928"/>
          <cell r="D3928"/>
          <cell r="E3928"/>
          <cell r="F3928"/>
          <cell r="G3928">
            <v>3.7199999999999997E-2</v>
          </cell>
          <cell r="H3928"/>
          <cell r="I3928"/>
          <cell r="J3928"/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>
            <v>8.3999999999999995E-3</v>
          </cell>
        </row>
        <row r="3929">
          <cell r="A3929" t="str">
            <v>51940-251LF</v>
          </cell>
          <cell r="B3929"/>
          <cell r="C3929"/>
          <cell r="D3929"/>
          <cell r="E3929"/>
          <cell r="F3929"/>
          <cell r="G3929">
            <v>0.03</v>
          </cell>
          <cell r="H3929"/>
          <cell r="I3929"/>
          <cell r="J3929"/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>
            <v>2E-3</v>
          </cell>
        </row>
        <row r="3930">
          <cell r="A3930" t="str">
            <v>51940-252LF</v>
          </cell>
          <cell r="B3930"/>
          <cell r="C3930"/>
          <cell r="D3930"/>
          <cell r="E3930"/>
          <cell r="F3930"/>
          <cell r="G3930">
            <v>3.3000000000000002E-2</v>
          </cell>
          <cell r="H3930"/>
          <cell r="I3930"/>
          <cell r="J3930"/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>
            <v>4.0000000000000001E-3</v>
          </cell>
        </row>
        <row r="3931">
          <cell r="A3931" t="str">
            <v>51940-253LF</v>
          </cell>
          <cell r="B3931"/>
          <cell r="C3931"/>
          <cell r="D3931"/>
          <cell r="E3931"/>
          <cell r="F3931"/>
          <cell r="G3931">
            <v>1.0800000000000001E-2</v>
          </cell>
          <cell r="H3931"/>
          <cell r="I3931"/>
          <cell r="J3931"/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>
            <v>3.0000000000000001E-3</v>
          </cell>
        </row>
        <row r="3932">
          <cell r="A3932" t="str">
            <v>51940-254LF</v>
          </cell>
          <cell r="B3932"/>
          <cell r="C3932"/>
          <cell r="D3932"/>
          <cell r="E3932"/>
          <cell r="F3932"/>
          <cell r="G3932">
            <v>1.9E-2</v>
          </cell>
          <cell r="H3932"/>
          <cell r="I3932"/>
          <cell r="J3932"/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>
            <v>6.1000000000000004E-3</v>
          </cell>
        </row>
        <row r="3933">
          <cell r="A3933" t="str">
            <v>51940-255LF</v>
          </cell>
          <cell r="B3933"/>
          <cell r="C3933"/>
          <cell r="D3933"/>
          <cell r="E3933"/>
          <cell r="F3933"/>
          <cell r="G3933">
            <v>2.5000000000000001E-2</v>
          </cell>
          <cell r="H3933"/>
          <cell r="I3933"/>
          <cell r="J3933"/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>
            <v>3.0000000000000001E-3</v>
          </cell>
        </row>
        <row r="3934">
          <cell r="A3934" t="str">
            <v>51940-256LF</v>
          </cell>
          <cell r="B3934"/>
          <cell r="C3934"/>
          <cell r="D3934"/>
          <cell r="E3934"/>
          <cell r="F3934"/>
          <cell r="G3934">
            <v>0.02</v>
          </cell>
          <cell r="H3934"/>
          <cell r="I3934"/>
          <cell r="J3934"/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>
            <v>6.1000000000000004E-3</v>
          </cell>
        </row>
        <row r="3935">
          <cell r="A3935" t="str">
            <v>51940-257LF</v>
          </cell>
          <cell r="B3935"/>
          <cell r="C3935"/>
          <cell r="D3935"/>
          <cell r="E3935"/>
          <cell r="F3935"/>
          <cell r="G3935">
            <v>2.8000000000000001E-2</v>
          </cell>
          <cell r="H3935"/>
          <cell r="I3935"/>
          <cell r="J3935"/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>
            <v>2E-3</v>
          </cell>
        </row>
        <row r="3936">
          <cell r="A3936" t="str">
            <v>51940-258LF</v>
          </cell>
          <cell r="B3936"/>
          <cell r="C3936"/>
          <cell r="D3936"/>
          <cell r="E3936"/>
          <cell r="F3936"/>
          <cell r="G3936">
            <v>3.1E-2</v>
          </cell>
          <cell r="H3936"/>
          <cell r="I3936"/>
          <cell r="J3936"/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>
            <v>3.0000000000000001E-3</v>
          </cell>
        </row>
        <row r="3937">
          <cell r="A3937" t="str">
            <v>51940-259LF</v>
          </cell>
          <cell r="B3937"/>
          <cell r="C3937"/>
          <cell r="D3937"/>
          <cell r="E3937"/>
          <cell r="F3937"/>
          <cell r="G3937">
            <v>3.3000000000000002E-2</v>
          </cell>
          <cell r="H3937"/>
          <cell r="I3937"/>
          <cell r="J3937"/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>
            <v>3.0000000000000001E-3</v>
          </cell>
        </row>
        <row r="3938">
          <cell r="A3938" t="str">
            <v>51940-260LF</v>
          </cell>
          <cell r="B3938"/>
          <cell r="C3938"/>
          <cell r="D3938"/>
          <cell r="E3938"/>
          <cell r="F3938"/>
          <cell r="G3938">
            <v>2.4E-2</v>
          </cell>
          <cell r="H3938"/>
          <cell r="I3938"/>
          <cell r="J3938"/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>
            <v>3.0000000000000001E-3</v>
          </cell>
        </row>
        <row r="3939">
          <cell r="A3939" t="str">
            <v>51940-261LF</v>
          </cell>
          <cell r="B3939"/>
          <cell r="C3939"/>
          <cell r="D3939"/>
          <cell r="E3939"/>
          <cell r="F3939"/>
          <cell r="G3939">
            <v>3.2000000000000001E-2</v>
          </cell>
          <cell r="H3939"/>
          <cell r="I3939"/>
          <cell r="J3939"/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>
            <v>8.9999999999999993E-3</v>
          </cell>
        </row>
        <row r="3940">
          <cell r="A3940" t="str">
            <v>51940-263LF</v>
          </cell>
          <cell r="B3940"/>
          <cell r="C3940"/>
          <cell r="D3940"/>
          <cell r="E3940"/>
          <cell r="F3940"/>
          <cell r="G3940">
            <v>3.2000000000000001E-2</v>
          </cell>
          <cell r="H3940"/>
          <cell r="I3940"/>
          <cell r="J3940"/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>
            <v>3.0000000000000001E-3</v>
          </cell>
        </row>
        <row r="3941">
          <cell r="A3941" t="str">
            <v>51940-264LF</v>
          </cell>
          <cell r="B3941"/>
          <cell r="C3941"/>
          <cell r="D3941"/>
          <cell r="E3941"/>
          <cell r="F3941"/>
          <cell r="G3941">
            <v>1.5100000000000001E-2</v>
          </cell>
          <cell r="H3941"/>
          <cell r="I3941"/>
          <cell r="J3941"/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>
            <v>6.1000000000000004E-3</v>
          </cell>
        </row>
        <row r="3942">
          <cell r="A3942" t="str">
            <v>51940-265LF</v>
          </cell>
          <cell r="B3942"/>
          <cell r="C3942"/>
          <cell r="D3942"/>
          <cell r="E3942"/>
          <cell r="F3942"/>
          <cell r="G3942">
            <v>1.03E-2</v>
          </cell>
          <cell r="H3942"/>
          <cell r="I3942"/>
          <cell r="J3942"/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>
            <v>7.6E-3</v>
          </cell>
        </row>
        <row r="3943">
          <cell r="A3943" t="str">
            <v>51940-266LF</v>
          </cell>
          <cell r="B3943"/>
          <cell r="C3943"/>
          <cell r="D3943"/>
          <cell r="E3943"/>
          <cell r="F3943"/>
          <cell r="G3943">
            <v>1.29E-2</v>
          </cell>
          <cell r="H3943"/>
          <cell r="I3943"/>
          <cell r="J3943"/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>
            <v>6.1000000000000004E-3</v>
          </cell>
        </row>
        <row r="3944">
          <cell r="A3944" t="str">
            <v>51940-269LF</v>
          </cell>
          <cell r="B3944"/>
          <cell r="C3944"/>
          <cell r="D3944"/>
          <cell r="E3944"/>
          <cell r="F3944"/>
          <cell r="G3944">
            <v>2.0199999999999999E-2</v>
          </cell>
          <cell r="H3944"/>
          <cell r="I3944"/>
          <cell r="J3944"/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>
            <v>3.0000000000000001E-3</v>
          </cell>
        </row>
        <row r="3945">
          <cell r="A3945" t="str">
            <v>51940-270LF</v>
          </cell>
          <cell r="B3945"/>
          <cell r="C3945"/>
          <cell r="D3945"/>
          <cell r="E3945"/>
          <cell r="F3945"/>
          <cell r="G3945">
            <v>3.1E-2</v>
          </cell>
          <cell r="H3945"/>
          <cell r="I3945"/>
          <cell r="J3945"/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>
            <v>2E-3</v>
          </cell>
        </row>
        <row r="3946">
          <cell r="A3946" t="str">
            <v>51940-271LF</v>
          </cell>
          <cell r="B3946"/>
          <cell r="C3946"/>
          <cell r="D3946"/>
          <cell r="E3946"/>
          <cell r="F3946"/>
          <cell r="G3946">
            <v>3.6999999999999998E-2</v>
          </cell>
          <cell r="H3946"/>
          <cell r="I3946"/>
          <cell r="J3946"/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>
            <v>3.0000000000000001E-3</v>
          </cell>
        </row>
        <row r="3947">
          <cell r="A3947" t="str">
            <v>51940-272LF</v>
          </cell>
          <cell r="B3947"/>
          <cell r="C3947"/>
          <cell r="D3947"/>
          <cell r="E3947"/>
          <cell r="F3947"/>
          <cell r="G3947">
            <v>4.9000000000000002E-2</v>
          </cell>
          <cell r="H3947"/>
          <cell r="I3947"/>
          <cell r="J3947"/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>
            <v>0.01</v>
          </cell>
        </row>
        <row r="3948">
          <cell r="A3948" t="str">
            <v>51940-273LF</v>
          </cell>
          <cell r="B3948"/>
          <cell r="C3948"/>
          <cell r="D3948"/>
          <cell r="E3948"/>
          <cell r="F3948"/>
          <cell r="G3948">
            <v>2.8000000000000001E-2</v>
          </cell>
          <cell r="H3948"/>
          <cell r="I3948"/>
          <cell r="J3948"/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>
            <v>6.1000000000000004E-3</v>
          </cell>
        </row>
        <row r="3949">
          <cell r="A3949" t="str">
            <v>51940-275LF</v>
          </cell>
          <cell r="B3949"/>
          <cell r="C3949"/>
          <cell r="D3949"/>
          <cell r="E3949"/>
          <cell r="F3949"/>
          <cell r="G3949">
            <v>1.7500000000000002E-2</v>
          </cell>
          <cell r="H3949"/>
          <cell r="I3949"/>
          <cell r="J3949"/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>
            <v>6.1000000000000004E-3</v>
          </cell>
        </row>
        <row r="3950">
          <cell r="A3950" t="str">
            <v>51940-276LF</v>
          </cell>
          <cell r="B3950"/>
          <cell r="C3950"/>
          <cell r="D3950"/>
          <cell r="E3950"/>
          <cell r="F3950"/>
          <cell r="G3950">
            <v>6.4399999999999999E-2</v>
          </cell>
          <cell r="H3950"/>
          <cell r="I3950"/>
          <cell r="J3950"/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>
            <v>3.0000000000000001E-3</v>
          </cell>
        </row>
        <row r="3951">
          <cell r="A3951" t="str">
            <v>51940-277LF</v>
          </cell>
          <cell r="B3951"/>
          <cell r="C3951"/>
          <cell r="D3951"/>
          <cell r="E3951"/>
          <cell r="F3951"/>
          <cell r="G3951">
            <v>3.4000000000000002E-2</v>
          </cell>
          <cell r="H3951"/>
          <cell r="I3951"/>
          <cell r="J3951"/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>
            <v>2E-3</v>
          </cell>
        </row>
        <row r="3952">
          <cell r="A3952" t="str">
            <v>51940-278LF</v>
          </cell>
          <cell r="B3952"/>
          <cell r="C3952"/>
          <cell r="D3952"/>
          <cell r="E3952"/>
          <cell r="F3952"/>
          <cell r="G3952">
            <v>2.9000000000000001E-2</v>
          </cell>
          <cell r="H3952"/>
          <cell r="I3952"/>
          <cell r="J3952"/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>
            <v>4.0000000000000001E-3</v>
          </cell>
        </row>
        <row r="3953">
          <cell r="A3953" t="str">
            <v>51940-279LF</v>
          </cell>
          <cell r="B3953"/>
          <cell r="C3953"/>
          <cell r="D3953"/>
          <cell r="E3953"/>
          <cell r="F3953"/>
          <cell r="G3953">
            <v>3.2000000000000001E-2</v>
          </cell>
          <cell r="H3953"/>
          <cell r="I3953"/>
          <cell r="J3953"/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>
            <v>3.0000000000000001E-3</v>
          </cell>
        </row>
        <row r="3954">
          <cell r="A3954" t="str">
            <v>51940-280LF</v>
          </cell>
          <cell r="B3954"/>
          <cell r="C3954"/>
          <cell r="D3954"/>
          <cell r="E3954"/>
          <cell r="F3954"/>
          <cell r="G3954">
            <v>1.1900000000000001E-2</v>
          </cell>
          <cell r="H3954"/>
          <cell r="I3954"/>
          <cell r="J3954"/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>
            <v>8.6E-3</v>
          </cell>
        </row>
        <row r="3955">
          <cell r="A3955" t="str">
            <v>51940-281LF</v>
          </cell>
          <cell r="B3955"/>
          <cell r="C3955"/>
          <cell r="D3955"/>
          <cell r="E3955"/>
          <cell r="F3955"/>
          <cell r="G3955">
            <v>2.4E-2</v>
          </cell>
          <cell r="H3955"/>
          <cell r="I3955"/>
          <cell r="J3955"/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>
            <v>3.0000000000000001E-3</v>
          </cell>
        </row>
        <row r="3956">
          <cell r="A3956" t="str">
            <v>51940-282LF</v>
          </cell>
          <cell r="B3956"/>
          <cell r="C3956"/>
          <cell r="D3956"/>
          <cell r="E3956"/>
          <cell r="F3956"/>
          <cell r="G3956">
            <v>2.7E-2</v>
          </cell>
          <cell r="H3956"/>
          <cell r="I3956"/>
          <cell r="J3956"/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>
            <v>2E-3</v>
          </cell>
        </row>
        <row r="3957">
          <cell r="A3957" t="str">
            <v>51940-283LF</v>
          </cell>
          <cell r="B3957"/>
          <cell r="C3957"/>
          <cell r="D3957"/>
          <cell r="E3957"/>
          <cell r="F3957"/>
          <cell r="G3957">
            <v>3.4000000000000002E-2</v>
          </cell>
          <cell r="H3957"/>
          <cell r="I3957"/>
          <cell r="J3957"/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>
            <v>3.0000000000000001E-3</v>
          </cell>
        </row>
        <row r="3958">
          <cell r="A3958" t="str">
            <v>51940-286LF</v>
          </cell>
          <cell r="B3958"/>
          <cell r="C3958"/>
          <cell r="D3958"/>
          <cell r="E3958"/>
          <cell r="F3958"/>
          <cell r="G3958">
            <v>3.2000000000000001E-2</v>
          </cell>
          <cell r="H3958"/>
          <cell r="I3958"/>
          <cell r="J3958"/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>
            <v>3.0000000000000001E-3</v>
          </cell>
        </row>
        <row r="3959">
          <cell r="A3959" t="str">
            <v>51940-287LF</v>
          </cell>
          <cell r="B3959"/>
          <cell r="C3959"/>
          <cell r="D3959"/>
          <cell r="E3959"/>
          <cell r="F3959"/>
          <cell r="G3959">
            <v>2.8500000000000001E-2</v>
          </cell>
          <cell r="H3959"/>
          <cell r="I3959"/>
          <cell r="J3959"/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>
            <v>2E-3</v>
          </cell>
        </row>
        <row r="3960">
          <cell r="A3960" t="str">
            <v>51940-288LF</v>
          </cell>
          <cell r="B3960"/>
          <cell r="C3960"/>
          <cell r="D3960"/>
          <cell r="E3960"/>
          <cell r="F3960"/>
          <cell r="G3960">
            <v>2.2362054999999999E-2</v>
          </cell>
          <cell r="H3960"/>
          <cell r="I3960"/>
          <cell r="J3960"/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>
            <v>3.0000000000000001E-3</v>
          </cell>
        </row>
        <row r="3961">
          <cell r="A3961" t="str">
            <v>51940-289LF</v>
          </cell>
          <cell r="B3961"/>
          <cell r="C3961"/>
          <cell r="D3961"/>
          <cell r="E3961"/>
          <cell r="F3961"/>
          <cell r="G3961">
            <v>3.5999999999999997E-2</v>
          </cell>
          <cell r="H3961"/>
          <cell r="I3961"/>
          <cell r="J3961"/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>
            <v>2E-3</v>
          </cell>
        </row>
        <row r="3962">
          <cell r="A3962" t="str">
            <v>51940-290LF</v>
          </cell>
          <cell r="B3962"/>
          <cell r="C3962"/>
          <cell r="D3962"/>
          <cell r="E3962"/>
          <cell r="F3962"/>
          <cell r="G3962">
            <v>2.0199999999999999E-2</v>
          </cell>
          <cell r="H3962"/>
          <cell r="I3962"/>
          <cell r="J3962"/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>
            <v>3.0000000000000001E-3</v>
          </cell>
        </row>
        <row r="3963">
          <cell r="A3963" t="str">
            <v>51940-293LF</v>
          </cell>
          <cell r="B3963"/>
          <cell r="C3963"/>
          <cell r="D3963"/>
          <cell r="E3963"/>
          <cell r="F3963"/>
          <cell r="G3963">
            <v>2.1999999999999999E-2</v>
          </cell>
          <cell r="H3963"/>
          <cell r="I3963"/>
          <cell r="J3963"/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>
            <v>5.0000000000000001E-3</v>
          </cell>
        </row>
        <row r="3964">
          <cell r="A3964" t="str">
            <v>51940-295LF</v>
          </cell>
          <cell r="B3964"/>
          <cell r="C3964"/>
          <cell r="D3964"/>
          <cell r="E3964"/>
          <cell r="F3964"/>
          <cell r="G3964">
            <v>3.4000000000000002E-2</v>
          </cell>
          <cell r="H3964"/>
          <cell r="I3964"/>
          <cell r="J3964"/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>
            <v>3.0000000000000001E-3</v>
          </cell>
        </row>
        <row r="3965">
          <cell r="A3965" t="str">
            <v>51940-296LF</v>
          </cell>
          <cell r="B3965"/>
          <cell r="C3965"/>
          <cell r="D3965"/>
          <cell r="E3965"/>
          <cell r="F3965"/>
          <cell r="G3965">
            <v>3.3000000000000002E-2</v>
          </cell>
          <cell r="H3965"/>
          <cell r="I3965"/>
          <cell r="J3965"/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>
            <v>3.0000000000000001E-3</v>
          </cell>
        </row>
        <row r="3966">
          <cell r="A3966" t="str">
            <v>51940-297LF</v>
          </cell>
          <cell r="B3966"/>
          <cell r="C3966"/>
          <cell r="D3966"/>
          <cell r="E3966"/>
          <cell r="F3966"/>
          <cell r="G3966">
            <v>3.04E-2</v>
          </cell>
          <cell r="H3966"/>
          <cell r="I3966"/>
          <cell r="J3966"/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>
            <v>3.0000000000000001E-3</v>
          </cell>
        </row>
        <row r="3967">
          <cell r="A3967" t="str">
            <v>51940-298LF</v>
          </cell>
          <cell r="B3967"/>
          <cell r="C3967"/>
          <cell r="D3967"/>
          <cell r="E3967"/>
          <cell r="F3967"/>
          <cell r="G3967">
            <v>2.7E-2</v>
          </cell>
          <cell r="H3967"/>
          <cell r="I3967"/>
          <cell r="J3967"/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>
            <v>2E-3</v>
          </cell>
        </row>
        <row r="3968">
          <cell r="A3968" t="str">
            <v>51940-301LF</v>
          </cell>
          <cell r="B3968"/>
          <cell r="C3968"/>
          <cell r="D3968"/>
          <cell r="E3968"/>
          <cell r="F3968"/>
          <cell r="G3968">
            <v>3.3000000000000002E-2</v>
          </cell>
          <cell r="H3968"/>
          <cell r="I3968"/>
          <cell r="J3968"/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>
            <v>3.0000000000000001E-3</v>
          </cell>
        </row>
        <row r="3969">
          <cell r="A3969" t="str">
            <v>51940-302LF</v>
          </cell>
          <cell r="B3969"/>
          <cell r="C3969"/>
          <cell r="D3969"/>
          <cell r="E3969"/>
          <cell r="F3969"/>
          <cell r="G3969">
            <v>1.5299999999999999E-2</v>
          </cell>
          <cell r="H3969"/>
          <cell r="I3969"/>
          <cell r="J3969"/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>
            <v>3.0000000000000001E-3</v>
          </cell>
        </row>
        <row r="3970">
          <cell r="A3970" t="str">
            <v>51940-305LF</v>
          </cell>
          <cell r="B3970"/>
          <cell r="C3970"/>
          <cell r="D3970"/>
          <cell r="E3970"/>
          <cell r="F3970"/>
          <cell r="G3970">
            <v>3.5900000000000001E-2</v>
          </cell>
          <cell r="H3970"/>
          <cell r="I3970"/>
          <cell r="J3970"/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>
            <v>3.0000000000000001E-3</v>
          </cell>
        </row>
        <row r="3971">
          <cell r="A3971" t="str">
            <v>51940-306LF</v>
          </cell>
          <cell r="B3971"/>
          <cell r="C3971"/>
          <cell r="D3971"/>
          <cell r="E3971"/>
          <cell r="F3971"/>
          <cell r="G3971">
            <v>2.7E-2</v>
          </cell>
          <cell r="H3971"/>
          <cell r="I3971"/>
          <cell r="J3971"/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>
            <v>4.0000000000000001E-3</v>
          </cell>
        </row>
        <row r="3972">
          <cell r="A3972" t="str">
            <v>51940-307LF</v>
          </cell>
          <cell r="B3972"/>
          <cell r="C3972"/>
          <cell r="D3972"/>
          <cell r="E3972"/>
          <cell r="F3972"/>
          <cell r="G3972">
            <v>2.3E-2</v>
          </cell>
          <cell r="H3972"/>
          <cell r="I3972"/>
          <cell r="J3972"/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>
            <v>2E-3</v>
          </cell>
        </row>
        <row r="3973">
          <cell r="A3973" t="str">
            <v>51940-310LF</v>
          </cell>
          <cell r="B3973"/>
          <cell r="C3973"/>
          <cell r="D3973"/>
          <cell r="E3973"/>
          <cell r="F3973"/>
          <cell r="G3973">
            <v>0.02</v>
          </cell>
          <cell r="H3973"/>
          <cell r="I3973"/>
          <cell r="J3973"/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>
            <v>6.1000000000000004E-3</v>
          </cell>
        </row>
        <row r="3974">
          <cell r="A3974" t="str">
            <v>51940-311LF</v>
          </cell>
          <cell r="B3974"/>
          <cell r="C3974"/>
          <cell r="D3974"/>
          <cell r="E3974"/>
          <cell r="F3974"/>
          <cell r="G3974">
            <v>4.1000000000000002E-2</v>
          </cell>
          <cell r="H3974"/>
          <cell r="I3974"/>
          <cell r="J3974"/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>
            <v>2E-3</v>
          </cell>
        </row>
        <row r="3975">
          <cell r="A3975" t="str">
            <v>51940-312LF</v>
          </cell>
          <cell r="B3975"/>
          <cell r="C3975"/>
          <cell r="D3975"/>
          <cell r="E3975"/>
          <cell r="F3975"/>
          <cell r="G3975">
            <v>3.1E-2</v>
          </cell>
          <cell r="H3975"/>
          <cell r="I3975"/>
          <cell r="J3975"/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>
            <v>2E-3</v>
          </cell>
        </row>
        <row r="3976">
          <cell r="A3976" t="str">
            <v>51940-313LF</v>
          </cell>
          <cell r="B3976"/>
          <cell r="C3976"/>
          <cell r="D3976"/>
          <cell r="E3976"/>
          <cell r="F3976"/>
          <cell r="G3976">
            <v>1.6500000000000001E-2</v>
          </cell>
          <cell r="H3976"/>
          <cell r="I3976"/>
          <cell r="J3976"/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>
            <v>3.0000000000000001E-3</v>
          </cell>
        </row>
        <row r="3977">
          <cell r="A3977" t="str">
            <v>51940-313PGSALF</v>
          </cell>
          <cell r="B3977"/>
          <cell r="C3977"/>
          <cell r="D3977"/>
          <cell r="E3977"/>
          <cell r="F3977"/>
          <cell r="G3977">
            <v>1.6500000000000001E-2</v>
          </cell>
          <cell r="H3977"/>
          <cell r="I3977"/>
          <cell r="J3977"/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>
            <v>3.0000000000000001E-3</v>
          </cell>
        </row>
        <row r="3978">
          <cell r="A3978" t="str">
            <v>51940-315LF</v>
          </cell>
          <cell r="B3978"/>
          <cell r="C3978"/>
          <cell r="D3978"/>
          <cell r="E3978"/>
          <cell r="F3978"/>
          <cell r="G3978">
            <v>2.4E-2</v>
          </cell>
          <cell r="H3978"/>
          <cell r="I3978"/>
          <cell r="J3978"/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>
            <v>6.1000000000000004E-3</v>
          </cell>
        </row>
        <row r="3979">
          <cell r="A3979" t="str">
            <v>51940-319LF</v>
          </cell>
          <cell r="B3979"/>
          <cell r="C3979"/>
          <cell r="D3979"/>
          <cell r="E3979"/>
          <cell r="F3979"/>
          <cell r="G3979">
            <v>3.6999999999999998E-2</v>
          </cell>
          <cell r="H3979"/>
          <cell r="I3979"/>
          <cell r="J3979"/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>
            <v>3.0000000000000001E-3</v>
          </cell>
        </row>
        <row r="3980">
          <cell r="A3980" t="str">
            <v>51940-320LF</v>
          </cell>
          <cell r="B3980"/>
          <cell r="C3980"/>
          <cell r="D3980"/>
          <cell r="E3980"/>
          <cell r="F3980"/>
          <cell r="G3980">
            <v>1.9545E-2</v>
          </cell>
          <cell r="H3980"/>
          <cell r="I3980"/>
          <cell r="J3980"/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>
            <v>3.0000000000000001E-3</v>
          </cell>
        </row>
        <row r="3981">
          <cell r="A3981" t="str">
            <v>51940-323LF</v>
          </cell>
          <cell r="B3981"/>
          <cell r="C3981"/>
          <cell r="D3981"/>
          <cell r="E3981"/>
          <cell r="F3981"/>
          <cell r="G3981">
            <v>3.5999999999999997E-2</v>
          </cell>
          <cell r="H3981"/>
          <cell r="I3981"/>
          <cell r="J3981"/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>
            <v>3.0000000000000001E-3</v>
          </cell>
        </row>
        <row r="3982">
          <cell r="A3982" t="str">
            <v>51940-324LF</v>
          </cell>
          <cell r="B3982"/>
          <cell r="C3982"/>
          <cell r="D3982"/>
          <cell r="E3982"/>
          <cell r="F3982"/>
          <cell r="G3982">
            <v>3.4000000000000002E-2</v>
          </cell>
          <cell r="H3982"/>
          <cell r="I3982"/>
          <cell r="J3982"/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>
            <v>2E-3</v>
          </cell>
        </row>
        <row r="3983">
          <cell r="A3983" t="str">
            <v>51940-325LF</v>
          </cell>
          <cell r="B3983"/>
          <cell r="C3983"/>
          <cell r="D3983"/>
          <cell r="E3983"/>
          <cell r="F3983"/>
          <cell r="G3983">
            <v>2.7E-2</v>
          </cell>
          <cell r="H3983"/>
          <cell r="I3983"/>
          <cell r="J3983"/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>
            <v>6.1000000000000004E-3</v>
          </cell>
        </row>
        <row r="3984">
          <cell r="A3984" t="str">
            <v>51940-326LF</v>
          </cell>
          <cell r="B3984"/>
          <cell r="C3984"/>
          <cell r="D3984"/>
          <cell r="E3984"/>
          <cell r="F3984"/>
          <cell r="G3984">
            <v>2.5000000000000001E-2</v>
          </cell>
          <cell r="H3984"/>
          <cell r="I3984"/>
          <cell r="J3984"/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>
            <v>6.1000000000000004E-3</v>
          </cell>
        </row>
        <row r="3985">
          <cell r="A3985" t="str">
            <v>51940-327LF</v>
          </cell>
          <cell r="B3985"/>
          <cell r="C3985"/>
          <cell r="D3985"/>
          <cell r="E3985"/>
          <cell r="F3985"/>
          <cell r="G3985">
            <v>3.1E-2</v>
          </cell>
          <cell r="H3985"/>
          <cell r="I3985"/>
          <cell r="J3985"/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>
            <v>6.0000000000000001E-3</v>
          </cell>
        </row>
        <row r="3986">
          <cell r="A3986" t="str">
            <v>51940-329LF</v>
          </cell>
          <cell r="B3986"/>
          <cell r="C3986"/>
          <cell r="D3986"/>
          <cell r="E3986"/>
          <cell r="F3986"/>
          <cell r="G3986">
            <v>2.8728E-2</v>
          </cell>
          <cell r="H3986"/>
          <cell r="I3986"/>
          <cell r="J3986"/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>
            <v>3.0000000000000001E-3</v>
          </cell>
        </row>
        <row r="3987">
          <cell r="A3987" t="str">
            <v>51940-330LF</v>
          </cell>
          <cell r="B3987"/>
          <cell r="C3987"/>
          <cell r="D3987"/>
          <cell r="E3987"/>
          <cell r="F3987"/>
          <cell r="G3987">
            <v>3.1E-2</v>
          </cell>
          <cell r="H3987"/>
          <cell r="I3987"/>
          <cell r="J3987"/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>
            <v>3.0000000000000001E-3</v>
          </cell>
        </row>
        <row r="3988">
          <cell r="A3988" t="str">
            <v>51940-331LF</v>
          </cell>
          <cell r="B3988"/>
          <cell r="C3988"/>
          <cell r="D3988"/>
          <cell r="E3988"/>
          <cell r="F3988"/>
          <cell r="G3988">
            <v>2.1000000000000001E-2</v>
          </cell>
          <cell r="H3988"/>
          <cell r="I3988"/>
          <cell r="J3988"/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>
            <v>3.0000000000000001E-3</v>
          </cell>
        </row>
        <row r="3989">
          <cell r="A3989" t="str">
            <v>51940-332LF</v>
          </cell>
          <cell r="B3989"/>
          <cell r="C3989"/>
          <cell r="D3989"/>
          <cell r="E3989"/>
          <cell r="F3989"/>
          <cell r="G3989">
            <v>3.7999999999999999E-2</v>
          </cell>
          <cell r="H3989"/>
          <cell r="I3989"/>
          <cell r="J3989"/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>
            <v>3.0000000000000001E-3</v>
          </cell>
        </row>
        <row r="3990">
          <cell r="A3990" t="str">
            <v>51940-335LF</v>
          </cell>
          <cell r="B3990"/>
          <cell r="C3990"/>
          <cell r="D3990"/>
          <cell r="E3990"/>
          <cell r="F3990"/>
          <cell r="G3990">
            <v>2.3E-2</v>
          </cell>
          <cell r="H3990"/>
          <cell r="I3990"/>
          <cell r="J3990"/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>
            <v>3.0000000000000001E-3</v>
          </cell>
        </row>
        <row r="3991">
          <cell r="A3991" t="str">
            <v>51940-336LF</v>
          </cell>
          <cell r="B3991"/>
          <cell r="C3991"/>
          <cell r="D3991"/>
          <cell r="E3991"/>
          <cell r="F3991"/>
          <cell r="G3991">
            <v>0.03</v>
          </cell>
          <cell r="H3991"/>
          <cell r="I3991"/>
          <cell r="J3991"/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>
            <v>3.0000000000000001E-3</v>
          </cell>
        </row>
        <row r="3992">
          <cell r="A3992" t="str">
            <v>51940-337LF</v>
          </cell>
          <cell r="B3992"/>
          <cell r="C3992"/>
          <cell r="D3992"/>
          <cell r="E3992"/>
          <cell r="F3992"/>
          <cell r="G3992">
            <v>2.8000000000000001E-2</v>
          </cell>
          <cell r="H3992"/>
          <cell r="I3992"/>
          <cell r="J3992"/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>
            <v>3.0000000000000001E-3</v>
          </cell>
        </row>
        <row r="3993">
          <cell r="A3993" t="str">
            <v>51940-338LF</v>
          </cell>
          <cell r="B3993"/>
          <cell r="C3993"/>
          <cell r="D3993"/>
          <cell r="E3993"/>
          <cell r="F3993"/>
          <cell r="G3993">
            <v>1.2999999999999999E-2</v>
          </cell>
          <cell r="H3993"/>
          <cell r="I3993"/>
          <cell r="J3993"/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>
            <v>4.0000000000000001E-3</v>
          </cell>
        </row>
        <row r="3994">
          <cell r="A3994" t="str">
            <v>51940-339LF</v>
          </cell>
          <cell r="B3994"/>
          <cell r="C3994"/>
          <cell r="D3994"/>
          <cell r="E3994"/>
          <cell r="F3994"/>
          <cell r="G3994">
            <v>0.02</v>
          </cell>
          <cell r="H3994"/>
          <cell r="I3994"/>
          <cell r="J3994"/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>
            <v>6.1000000000000004E-3</v>
          </cell>
        </row>
        <row r="3995">
          <cell r="A3995" t="str">
            <v>51940-342LF</v>
          </cell>
          <cell r="B3995"/>
          <cell r="C3995"/>
          <cell r="D3995"/>
          <cell r="E3995"/>
          <cell r="F3995"/>
          <cell r="G3995">
            <v>3.1E-2</v>
          </cell>
          <cell r="H3995"/>
          <cell r="I3995"/>
          <cell r="J3995"/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>
            <v>3.0000000000000001E-3</v>
          </cell>
        </row>
        <row r="3996">
          <cell r="A3996" t="str">
            <v>51940-343LF</v>
          </cell>
          <cell r="B3996"/>
          <cell r="C3996"/>
          <cell r="D3996"/>
          <cell r="E3996"/>
          <cell r="F3996"/>
          <cell r="G3996">
            <v>2.9000000000000001E-2</v>
          </cell>
          <cell r="H3996"/>
          <cell r="I3996"/>
          <cell r="J3996"/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>
            <v>3.0000000000000001E-3</v>
          </cell>
        </row>
        <row r="3997">
          <cell r="A3997" t="str">
            <v>51940-346LF</v>
          </cell>
          <cell r="B3997"/>
          <cell r="C3997"/>
          <cell r="D3997"/>
          <cell r="E3997"/>
          <cell r="F3997"/>
          <cell r="G3997">
            <v>3.3000000000000002E-2</v>
          </cell>
          <cell r="H3997"/>
          <cell r="I3997"/>
          <cell r="J3997"/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>
            <v>3.0000000000000001E-3</v>
          </cell>
        </row>
        <row r="3998">
          <cell r="A3998" t="str">
            <v>51940-347LF</v>
          </cell>
          <cell r="B3998"/>
          <cell r="C3998"/>
          <cell r="D3998"/>
          <cell r="E3998"/>
          <cell r="F3998"/>
          <cell r="G3998">
            <v>3.3000000000000002E-2</v>
          </cell>
          <cell r="H3998"/>
          <cell r="I3998"/>
          <cell r="J3998"/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>
            <v>2E-3</v>
          </cell>
        </row>
        <row r="3999">
          <cell r="A3999" t="str">
            <v>51940-348LF</v>
          </cell>
          <cell r="B3999"/>
          <cell r="C3999"/>
          <cell r="D3999"/>
          <cell r="E3999"/>
          <cell r="F3999"/>
          <cell r="G3999">
            <v>2.9000000000000001E-2</v>
          </cell>
          <cell r="H3999"/>
          <cell r="I3999"/>
          <cell r="J3999"/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>
            <v>3.0000000000000001E-3</v>
          </cell>
        </row>
        <row r="4000">
          <cell r="A4000" t="str">
            <v>51940-350LF</v>
          </cell>
          <cell r="B4000"/>
          <cell r="C4000"/>
          <cell r="D4000"/>
          <cell r="E4000"/>
          <cell r="F4000"/>
          <cell r="G4000">
            <v>3.3000000000000002E-2</v>
          </cell>
          <cell r="H4000"/>
          <cell r="I4000"/>
          <cell r="J4000"/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>
            <v>3.0000000000000001E-3</v>
          </cell>
        </row>
        <row r="4001">
          <cell r="A4001" t="str">
            <v>51940-351LF</v>
          </cell>
          <cell r="B4001"/>
          <cell r="C4001"/>
          <cell r="D4001"/>
          <cell r="E4001"/>
          <cell r="F4001"/>
          <cell r="G4001">
            <v>2.1000000000000001E-2</v>
          </cell>
          <cell r="H4001"/>
          <cell r="I4001"/>
          <cell r="J4001"/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>
            <v>3.0000000000000001E-3</v>
          </cell>
        </row>
        <row r="4002">
          <cell r="A4002" t="str">
            <v>51940-355LF</v>
          </cell>
          <cell r="B4002"/>
          <cell r="C4002"/>
          <cell r="D4002"/>
          <cell r="E4002"/>
          <cell r="F4002"/>
          <cell r="G4002">
            <v>0.04</v>
          </cell>
          <cell r="H4002"/>
          <cell r="I4002"/>
          <cell r="J4002"/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>
            <v>2E-3</v>
          </cell>
        </row>
        <row r="4003">
          <cell r="A4003" t="str">
            <v>51940-358LF</v>
          </cell>
          <cell r="B4003"/>
          <cell r="C4003"/>
          <cell r="D4003"/>
          <cell r="E4003"/>
          <cell r="F4003"/>
          <cell r="G4003">
            <v>0.02</v>
          </cell>
          <cell r="H4003"/>
          <cell r="I4003"/>
          <cell r="J4003"/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>
            <v>6.1000000000000004E-3</v>
          </cell>
        </row>
        <row r="4004">
          <cell r="A4004" t="str">
            <v>51940-361LF</v>
          </cell>
          <cell r="B4004"/>
          <cell r="C4004"/>
          <cell r="D4004"/>
          <cell r="E4004"/>
          <cell r="F4004"/>
          <cell r="G4004">
            <v>3.3000000000000002E-2</v>
          </cell>
          <cell r="H4004"/>
          <cell r="I4004"/>
          <cell r="J4004"/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>
            <v>3.0000000000000001E-3</v>
          </cell>
        </row>
        <row r="4005">
          <cell r="A4005" t="str">
            <v>51940-362LF</v>
          </cell>
          <cell r="B4005"/>
          <cell r="C4005"/>
          <cell r="D4005"/>
          <cell r="E4005"/>
          <cell r="F4005"/>
          <cell r="G4005">
            <v>2.5000000000000001E-2</v>
          </cell>
          <cell r="H4005"/>
          <cell r="I4005"/>
          <cell r="J4005"/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>
            <v>3.0000000000000001E-3</v>
          </cell>
        </row>
        <row r="4006">
          <cell r="A4006" t="str">
            <v>51940-364LF</v>
          </cell>
          <cell r="B4006"/>
          <cell r="C4006"/>
          <cell r="D4006"/>
          <cell r="E4006"/>
          <cell r="F4006"/>
          <cell r="G4006">
            <v>2.4E-2</v>
          </cell>
          <cell r="H4006"/>
          <cell r="I4006"/>
          <cell r="J4006"/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>
            <v>7.0000000000000001E-3</v>
          </cell>
        </row>
        <row r="4007">
          <cell r="A4007" t="str">
            <v>51940-366LF</v>
          </cell>
          <cell r="B4007"/>
          <cell r="C4007"/>
          <cell r="D4007"/>
          <cell r="E4007"/>
          <cell r="F4007"/>
          <cell r="G4007">
            <v>0.02</v>
          </cell>
          <cell r="H4007"/>
          <cell r="I4007"/>
          <cell r="J4007"/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>
            <v>6.1000000000000004E-3</v>
          </cell>
        </row>
        <row r="4008">
          <cell r="A4008" t="str">
            <v>51940-367LF</v>
          </cell>
          <cell r="B4008"/>
          <cell r="C4008"/>
          <cell r="D4008"/>
          <cell r="E4008"/>
          <cell r="F4008"/>
          <cell r="G4008">
            <v>1.29E-2</v>
          </cell>
          <cell r="H4008"/>
          <cell r="I4008"/>
          <cell r="J4008"/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>
            <v>2E-3</v>
          </cell>
        </row>
        <row r="4009">
          <cell r="A4009" t="str">
            <v>51940-370LF</v>
          </cell>
          <cell r="B4009"/>
          <cell r="C4009"/>
          <cell r="D4009"/>
          <cell r="E4009"/>
          <cell r="F4009"/>
          <cell r="G4009">
            <v>3.4000000000000002E-2</v>
          </cell>
          <cell r="H4009"/>
          <cell r="I4009"/>
          <cell r="J4009"/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>
            <v>2E-3</v>
          </cell>
        </row>
        <row r="4010">
          <cell r="A4010" t="str">
            <v>51940-371LF</v>
          </cell>
          <cell r="B4010"/>
          <cell r="C4010"/>
          <cell r="D4010"/>
          <cell r="E4010"/>
          <cell r="F4010"/>
          <cell r="G4010">
            <v>2.4E-2</v>
          </cell>
          <cell r="H4010"/>
          <cell r="I4010"/>
          <cell r="J4010"/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>
            <v>2E-3</v>
          </cell>
        </row>
        <row r="4011">
          <cell r="A4011" t="str">
            <v>51940-373LF</v>
          </cell>
          <cell r="B4011"/>
          <cell r="C4011"/>
          <cell r="D4011"/>
          <cell r="E4011"/>
          <cell r="F4011"/>
          <cell r="G4011">
            <v>2.8000000000000001E-2</v>
          </cell>
          <cell r="H4011"/>
          <cell r="I4011"/>
          <cell r="J4011"/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>
            <v>2E-3</v>
          </cell>
        </row>
        <row r="4012">
          <cell r="A4012" t="str">
            <v>51940-374LF</v>
          </cell>
          <cell r="B4012"/>
          <cell r="C4012"/>
          <cell r="D4012"/>
          <cell r="E4012"/>
          <cell r="F4012"/>
          <cell r="G4012">
            <v>3.4000000000000002E-2</v>
          </cell>
          <cell r="H4012"/>
          <cell r="I4012"/>
          <cell r="J4012"/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>
            <v>1.0999999999999999E-2</v>
          </cell>
        </row>
        <row r="4013">
          <cell r="A4013" t="str">
            <v>51940-378LF</v>
          </cell>
          <cell r="B4013"/>
          <cell r="C4013"/>
          <cell r="D4013"/>
          <cell r="E4013"/>
          <cell r="F4013"/>
          <cell r="G4013">
            <v>2.5999999999999999E-2</v>
          </cell>
          <cell r="H4013"/>
          <cell r="I4013"/>
          <cell r="J4013"/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>
            <v>2E-3</v>
          </cell>
        </row>
        <row r="4014">
          <cell r="A4014" t="str">
            <v>51940-379LF</v>
          </cell>
          <cell r="B4014"/>
          <cell r="C4014"/>
          <cell r="D4014"/>
          <cell r="E4014"/>
          <cell r="F4014"/>
          <cell r="G4014">
            <v>1.7999999999999999E-2</v>
          </cell>
          <cell r="H4014"/>
          <cell r="I4014"/>
          <cell r="J4014"/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>
            <v>6.1000000000000004E-3</v>
          </cell>
        </row>
        <row r="4015">
          <cell r="A4015" t="str">
            <v>51940-382LF</v>
          </cell>
          <cell r="B4015"/>
          <cell r="C4015"/>
          <cell r="D4015"/>
          <cell r="E4015"/>
          <cell r="F4015"/>
          <cell r="G4015">
            <v>3.9E-2</v>
          </cell>
          <cell r="H4015"/>
          <cell r="I4015"/>
          <cell r="J4015"/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>
            <v>3.0000000000000001E-3</v>
          </cell>
        </row>
        <row r="4016">
          <cell r="A4016" t="str">
            <v>51940-383LF</v>
          </cell>
          <cell r="B4016"/>
          <cell r="C4016"/>
          <cell r="D4016"/>
          <cell r="E4016"/>
          <cell r="F4016"/>
          <cell r="G4016">
            <v>2.4E-2</v>
          </cell>
          <cell r="H4016"/>
          <cell r="I4016"/>
          <cell r="J4016"/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>
            <v>4.0000000000000001E-3</v>
          </cell>
        </row>
        <row r="4017">
          <cell r="A4017" t="str">
            <v>51940-384LF</v>
          </cell>
          <cell r="B4017"/>
          <cell r="C4017"/>
          <cell r="D4017"/>
          <cell r="E4017"/>
          <cell r="F4017"/>
          <cell r="G4017">
            <v>0.05</v>
          </cell>
          <cell r="H4017"/>
          <cell r="I4017"/>
          <cell r="J4017"/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>
            <v>5.0000000000000001E-3</v>
          </cell>
        </row>
        <row r="4018">
          <cell r="A4018" t="str">
            <v>51940-385LF</v>
          </cell>
          <cell r="B4018"/>
          <cell r="C4018"/>
          <cell r="D4018"/>
          <cell r="E4018"/>
          <cell r="F4018"/>
          <cell r="G4018">
            <v>2.7E-2</v>
          </cell>
          <cell r="H4018"/>
          <cell r="I4018"/>
          <cell r="J4018"/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>
            <v>3.0000000000000001E-3</v>
          </cell>
        </row>
        <row r="4019">
          <cell r="A4019" t="str">
            <v>51940-386LF</v>
          </cell>
          <cell r="B4019"/>
          <cell r="C4019"/>
          <cell r="D4019"/>
          <cell r="E4019"/>
          <cell r="F4019"/>
          <cell r="G4019">
            <v>3.1E-2</v>
          </cell>
          <cell r="H4019"/>
          <cell r="I4019"/>
          <cell r="J4019"/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>
            <v>2E-3</v>
          </cell>
        </row>
        <row r="4020">
          <cell r="A4020" t="str">
            <v>51940-387LF</v>
          </cell>
          <cell r="B4020"/>
          <cell r="C4020"/>
          <cell r="D4020"/>
          <cell r="E4020"/>
          <cell r="F4020"/>
          <cell r="G4020">
            <v>2.8000000000000001E-2</v>
          </cell>
          <cell r="H4020"/>
          <cell r="I4020"/>
          <cell r="J4020"/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</row>
        <row r="4021">
          <cell r="A4021" t="str">
            <v>51940-388LF</v>
          </cell>
          <cell r="B4021"/>
          <cell r="C4021"/>
          <cell r="D4021"/>
          <cell r="E4021"/>
          <cell r="F4021"/>
          <cell r="G4021">
            <v>6.7000000000000004E-2</v>
          </cell>
          <cell r="H4021"/>
          <cell r="I4021"/>
          <cell r="J4021"/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>
            <v>3.0000000000000001E-3</v>
          </cell>
        </row>
        <row r="4022">
          <cell r="A4022" t="str">
            <v>51940-389LF</v>
          </cell>
          <cell r="B4022"/>
          <cell r="C4022"/>
          <cell r="D4022"/>
          <cell r="E4022"/>
          <cell r="F4022"/>
          <cell r="G4022">
            <v>0.03</v>
          </cell>
          <cell r="H4022"/>
          <cell r="I4022"/>
          <cell r="J4022"/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>
            <v>2E-3</v>
          </cell>
        </row>
        <row r="4023">
          <cell r="A4023" t="str">
            <v>51940-390LF</v>
          </cell>
          <cell r="B4023"/>
          <cell r="C4023"/>
          <cell r="D4023"/>
          <cell r="E4023"/>
          <cell r="F4023"/>
          <cell r="G4023">
            <v>4.2999999999999997E-2</v>
          </cell>
          <cell r="H4023"/>
          <cell r="I4023"/>
          <cell r="J4023"/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>
            <v>3.0000000000000001E-3</v>
          </cell>
        </row>
        <row r="4024">
          <cell r="A4024" t="str">
            <v>51940-391LF</v>
          </cell>
          <cell r="B4024"/>
          <cell r="C4024"/>
          <cell r="D4024"/>
          <cell r="E4024"/>
          <cell r="F4024"/>
          <cell r="G4024">
            <v>3.3000000000000002E-2</v>
          </cell>
          <cell r="H4024"/>
          <cell r="I4024"/>
          <cell r="J4024"/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>
            <v>3.0000000000000001E-3</v>
          </cell>
        </row>
        <row r="4025">
          <cell r="A4025" t="str">
            <v>51940-392LF</v>
          </cell>
          <cell r="B4025"/>
          <cell r="C4025"/>
          <cell r="D4025"/>
          <cell r="E4025"/>
          <cell r="F4025"/>
          <cell r="G4025">
            <v>2.9000000000000001E-2</v>
          </cell>
          <cell r="H4025"/>
          <cell r="I4025"/>
          <cell r="J4025"/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>
            <v>4.0000000000000001E-3</v>
          </cell>
        </row>
        <row r="4026">
          <cell r="A4026" t="str">
            <v>51940-394LF</v>
          </cell>
          <cell r="B4026"/>
          <cell r="C4026"/>
          <cell r="D4026"/>
          <cell r="E4026"/>
          <cell r="F4026"/>
          <cell r="G4026">
            <v>6.7000000000000004E-2</v>
          </cell>
          <cell r="H4026"/>
          <cell r="I4026"/>
          <cell r="J4026"/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>
            <v>3.0000000000000001E-3</v>
          </cell>
        </row>
        <row r="4027">
          <cell r="A4027" t="str">
            <v>51940-396LF</v>
          </cell>
          <cell r="B4027"/>
          <cell r="C4027"/>
          <cell r="D4027"/>
          <cell r="E4027"/>
          <cell r="F4027"/>
          <cell r="G4027">
            <v>2.8000000000000001E-2</v>
          </cell>
          <cell r="H4027"/>
          <cell r="I4027"/>
          <cell r="J4027"/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>
            <v>2E-3</v>
          </cell>
        </row>
        <row r="4028">
          <cell r="A4028" t="str">
            <v>51940-397LF</v>
          </cell>
          <cell r="B4028"/>
          <cell r="C4028"/>
          <cell r="D4028"/>
          <cell r="E4028"/>
          <cell r="F4028"/>
          <cell r="G4028">
            <v>0.03</v>
          </cell>
          <cell r="H4028"/>
          <cell r="I4028"/>
          <cell r="J4028"/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>
            <v>2E-3</v>
          </cell>
        </row>
        <row r="4029">
          <cell r="A4029" t="str">
            <v>51940-399LF</v>
          </cell>
          <cell r="B4029"/>
          <cell r="C4029"/>
          <cell r="D4029"/>
          <cell r="E4029"/>
          <cell r="F4029"/>
          <cell r="G4029">
            <v>2.3E-2</v>
          </cell>
          <cell r="H4029"/>
          <cell r="I4029"/>
          <cell r="J4029"/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>
            <v>6.1000000000000004E-3</v>
          </cell>
        </row>
        <row r="4030">
          <cell r="A4030" t="str">
            <v>51940-401LF</v>
          </cell>
          <cell r="B4030"/>
          <cell r="C4030"/>
          <cell r="D4030"/>
          <cell r="E4030"/>
          <cell r="F4030"/>
          <cell r="G4030">
            <v>2.1000000000000001E-2</v>
          </cell>
          <cell r="H4030"/>
          <cell r="I4030"/>
          <cell r="J4030"/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>
            <v>3.0000000000000001E-3</v>
          </cell>
        </row>
        <row r="4031">
          <cell r="A4031" t="str">
            <v>51940-402LF</v>
          </cell>
          <cell r="B4031"/>
          <cell r="C4031"/>
          <cell r="D4031"/>
          <cell r="E4031"/>
          <cell r="F4031"/>
          <cell r="G4031">
            <v>3.3000000000000002E-2</v>
          </cell>
          <cell r="H4031"/>
          <cell r="I4031"/>
          <cell r="J4031"/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>
            <v>2E-3</v>
          </cell>
        </row>
        <row r="4032">
          <cell r="A4032" t="str">
            <v>51940-403LF</v>
          </cell>
          <cell r="B4032"/>
          <cell r="C4032"/>
          <cell r="D4032"/>
          <cell r="E4032"/>
          <cell r="F4032"/>
          <cell r="G4032">
            <v>3.1E-2</v>
          </cell>
          <cell r="H4032"/>
          <cell r="I4032"/>
          <cell r="J4032"/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>
            <v>2E-3</v>
          </cell>
        </row>
        <row r="4033">
          <cell r="A4033" t="str">
            <v>51940-406LF</v>
          </cell>
          <cell r="B4033"/>
          <cell r="C4033"/>
          <cell r="D4033"/>
          <cell r="E4033"/>
          <cell r="F4033"/>
          <cell r="G4033">
            <v>3.2000000000000001E-2</v>
          </cell>
          <cell r="H4033"/>
          <cell r="I4033"/>
          <cell r="J4033"/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>
            <v>3.0000000000000001E-3</v>
          </cell>
        </row>
        <row r="4034">
          <cell r="A4034" t="str">
            <v>51940-407LF</v>
          </cell>
          <cell r="B4034"/>
          <cell r="C4034"/>
          <cell r="D4034"/>
          <cell r="E4034"/>
          <cell r="F4034"/>
          <cell r="G4034">
            <v>2.5999999999999999E-2</v>
          </cell>
          <cell r="H4034"/>
          <cell r="I4034"/>
          <cell r="J4034"/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>
            <v>3.0000000000000001E-3</v>
          </cell>
        </row>
        <row r="4035">
          <cell r="A4035" t="str">
            <v>51940-408LF</v>
          </cell>
          <cell r="B4035"/>
          <cell r="C4035"/>
          <cell r="D4035"/>
          <cell r="E4035"/>
          <cell r="F4035"/>
          <cell r="G4035">
            <v>2.5999999999999999E-2</v>
          </cell>
          <cell r="H4035"/>
          <cell r="I4035"/>
          <cell r="J4035"/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>
            <v>2E-3</v>
          </cell>
        </row>
        <row r="4036">
          <cell r="A4036" t="str">
            <v>51940-411LF</v>
          </cell>
          <cell r="B4036"/>
          <cell r="C4036"/>
          <cell r="D4036"/>
          <cell r="E4036"/>
          <cell r="F4036"/>
          <cell r="G4036">
            <v>2.1000000000000001E-2</v>
          </cell>
          <cell r="H4036"/>
          <cell r="I4036"/>
          <cell r="J4036"/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>
            <v>3.0000000000000001E-3</v>
          </cell>
        </row>
        <row r="4037">
          <cell r="A4037" t="str">
            <v>51940-415LF</v>
          </cell>
          <cell r="B4037"/>
          <cell r="C4037"/>
          <cell r="D4037"/>
          <cell r="E4037"/>
          <cell r="F4037"/>
          <cell r="G4037">
            <v>2.8000000000000001E-2</v>
          </cell>
          <cell r="H4037"/>
          <cell r="I4037"/>
          <cell r="J4037"/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>
            <v>6.1000000000000004E-3</v>
          </cell>
        </row>
        <row r="4038">
          <cell r="A4038" t="str">
            <v>51940-416LF</v>
          </cell>
          <cell r="B4038"/>
          <cell r="C4038"/>
          <cell r="D4038"/>
          <cell r="E4038"/>
          <cell r="F4038"/>
          <cell r="G4038">
            <v>3.3000000000000002E-2</v>
          </cell>
          <cell r="H4038"/>
          <cell r="I4038"/>
          <cell r="J4038"/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>
            <v>3.0000000000000001E-3</v>
          </cell>
        </row>
        <row r="4039">
          <cell r="A4039" t="str">
            <v>51940-418LF</v>
          </cell>
          <cell r="B4039"/>
          <cell r="C4039"/>
          <cell r="D4039"/>
          <cell r="E4039"/>
          <cell r="F4039"/>
          <cell r="G4039">
            <v>0.03</v>
          </cell>
          <cell r="H4039"/>
          <cell r="I4039"/>
          <cell r="J4039"/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>
            <v>3.0000000000000001E-3</v>
          </cell>
        </row>
        <row r="4040">
          <cell r="A4040" t="str">
            <v>51940-419LF</v>
          </cell>
          <cell r="B4040"/>
          <cell r="C4040"/>
          <cell r="D4040"/>
          <cell r="E4040"/>
          <cell r="F4040"/>
          <cell r="G4040">
            <v>0.03</v>
          </cell>
          <cell r="H4040"/>
          <cell r="I4040"/>
          <cell r="J4040"/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>
            <v>3.0000000000000001E-3</v>
          </cell>
        </row>
        <row r="4041">
          <cell r="A4041" t="str">
            <v>51940-420LF</v>
          </cell>
          <cell r="B4041"/>
          <cell r="C4041"/>
          <cell r="D4041"/>
          <cell r="E4041"/>
          <cell r="F4041"/>
          <cell r="G4041">
            <v>3.4000000000000002E-2</v>
          </cell>
          <cell r="H4041"/>
          <cell r="I4041"/>
          <cell r="J4041"/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>
            <v>2E-3</v>
          </cell>
        </row>
        <row r="4042">
          <cell r="A4042" t="str">
            <v>51940-421LF</v>
          </cell>
          <cell r="B4042"/>
          <cell r="C4042"/>
          <cell r="D4042"/>
          <cell r="E4042"/>
          <cell r="F4042"/>
          <cell r="G4042">
            <v>9.7000000000000003E-3</v>
          </cell>
          <cell r="H4042"/>
          <cell r="I4042"/>
          <cell r="J4042"/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</row>
        <row r="4043">
          <cell r="A4043" t="str">
            <v>51940-423LF</v>
          </cell>
          <cell r="B4043"/>
          <cell r="C4043"/>
          <cell r="D4043"/>
          <cell r="E4043"/>
          <cell r="F4043"/>
          <cell r="G4043">
            <v>2.3E-2</v>
          </cell>
          <cell r="H4043"/>
          <cell r="I4043"/>
          <cell r="J4043"/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>
            <v>3.0000000000000001E-3</v>
          </cell>
        </row>
        <row r="4044">
          <cell r="A4044" t="str">
            <v>51940-425LF</v>
          </cell>
          <cell r="B4044"/>
          <cell r="C4044"/>
          <cell r="D4044"/>
          <cell r="E4044"/>
          <cell r="F4044"/>
          <cell r="G4044">
            <v>2.3E-2</v>
          </cell>
          <cell r="H4044"/>
          <cell r="I4044"/>
          <cell r="J4044"/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>
            <v>3.0000000000000001E-3</v>
          </cell>
        </row>
        <row r="4045">
          <cell r="A4045" t="str">
            <v>51940-428LF</v>
          </cell>
          <cell r="B4045"/>
          <cell r="C4045"/>
          <cell r="D4045"/>
          <cell r="E4045"/>
          <cell r="F4045"/>
          <cell r="G4045">
            <v>2.5000000000000001E-2</v>
          </cell>
          <cell r="H4045"/>
          <cell r="I4045"/>
          <cell r="J4045"/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>
            <v>7.0000000000000001E-3</v>
          </cell>
        </row>
        <row r="4046">
          <cell r="A4046" t="str">
            <v>51940-429LF</v>
          </cell>
          <cell r="B4046"/>
          <cell r="C4046"/>
          <cell r="D4046"/>
          <cell r="E4046"/>
          <cell r="F4046"/>
          <cell r="G4046">
            <v>3.1E-2</v>
          </cell>
          <cell r="H4046"/>
          <cell r="I4046"/>
          <cell r="J4046"/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>
            <v>3.0000000000000001E-3</v>
          </cell>
        </row>
        <row r="4047">
          <cell r="A4047" t="str">
            <v>51940-430LF</v>
          </cell>
          <cell r="B4047"/>
          <cell r="C4047"/>
          <cell r="D4047"/>
          <cell r="E4047"/>
          <cell r="F4047"/>
          <cell r="G4047">
            <v>2.9000000000000001E-2</v>
          </cell>
          <cell r="H4047"/>
          <cell r="I4047"/>
          <cell r="J4047"/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>
            <v>4.0000000000000001E-3</v>
          </cell>
        </row>
        <row r="4048">
          <cell r="A4048" t="str">
            <v>51940-431LF</v>
          </cell>
          <cell r="B4048"/>
          <cell r="C4048"/>
          <cell r="D4048"/>
          <cell r="E4048"/>
          <cell r="F4048"/>
          <cell r="G4048">
            <v>3.3000000000000002E-2</v>
          </cell>
          <cell r="H4048"/>
          <cell r="I4048"/>
          <cell r="J4048"/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>
            <v>3.0000000000000001E-3</v>
          </cell>
        </row>
        <row r="4049">
          <cell r="A4049" t="str">
            <v>51940-432LF</v>
          </cell>
          <cell r="B4049"/>
          <cell r="C4049"/>
          <cell r="D4049"/>
          <cell r="E4049"/>
          <cell r="F4049"/>
          <cell r="G4049">
            <v>4.2999999999999997E-2</v>
          </cell>
          <cell r="H4049"/>
          <cell r="I4049"/>
          <cell r="J4049"/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>
            <v>3.0000000000000001E-3</v>
          </cell>
        </row>
        <row r="4050">
          <cell r="A4050" t="str">
            <v>51940-433LF</v>
          </cell>
          <cell r="B4050"/>
          <cell r="C4050"/>
          <cell r="D4050"/>
          <cell r="E4050"/>
          <cell r="F4050"/>
          <cell r="G4050">
            <v>3.3000000000000002E-2</v>
          </cell>
          <cell r="H4050"/>
          <cell r="I4050"/>
          <cell r="J4050"/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>
            <v>3.0000000000000001E-3</v>
          </cell>
        </row>
        <row r="4051">
          <cell r="A4051" t="str">
            <v>51940-436LF</v>
          </cell>
          <cell r="B4051"/>
          <cell r="C4051"/>
          <cell r="D4051"/>
          <cell r="E4051"/>
          <cell r="F4051"/>
          <cell r="G4051">
            <v>3.4000000000000002E-2</v>
          </cell>
          <cell r="H4051"/>
          <cell r="I4051"/>
          <cell r="J4051"/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>
            <v>3.0000000000000001E-3</v>
          </cell>
        </row>
        <row r="4052">
          <cell r="A4052" t="str">
            <v>51940-437LF</v>
          </cell>
          <cell r="B4052"/>
          <cell r="C4052"/>
          <cell r="D4052"/>
          <cell r="E4052"/>
          <cell r="F4052"/>
          <cell r="G4052">
            <v>2.5999999999999999E-2</v>
          </cell>
          <cell r="H4052"/>
          <cell r="I4052"/>
          <cell r="J4052"/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>
            <v>4.0000000000000001E-3</v>
          </cell>
        </row>
        <row r="4053">
          <cell r="A4053" t="str">
            <v>51940-438LF</v>
          </cell>
          <cell r="B4053"/>
          <cell r="C4053"/>
          <cell r="D4053"/>
          <cell r="E4053"/>
          <cell r="F4053"/>
          <cell r="G4053">
            <v>4.7E-2</v>
          </cell>
          <cell r="H4053"/>
          <cell r="I4053"/>
          <cell r="J4053"/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>
            <v>5.0000000000000001E-3</v>
          </cell>
        </row>
        <row r="4054">
          <cell r="A4054" t="str">
            <v>51940-439LF</v>
          </cell>
          <cell r="B4054"/>
          <cell r="C4054"/>
          <cell r="D4054"/>
          <cell r="E4054"/>
          <cell r="F4054"/>
          <cell r="G4054">
            <v>3.3000000000000002E-2</v>
          </cell>
          <cell r="H4054"/>
          <cell r="I4054"/>
          <cell r="J4054"/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>
            <v>6.1000000000000004E-3</v>
          </cell>
        </row>
        <row r="4055">
          <cell r="A4055" t="str">
            <v>51940-440LF</v>
          </cell>
          <cell r="B4055"/>
          <cell r="C4055"/>
          <cell r="D4055"/>
          <cell r="E4055"/>
          <cell r="F4055"/>
          <cell r="G4055">
            <v>7.1999999999999995E-2</v>
          </cell>
          <cell r="H4055"/>
          <cell r="I4055"/>
          <cell r="J4055"/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>
            <v>2.9000000000000001E-2</v>
          </cell>
        </row>
        <row r="4056">
          <cell r="A4056" t="str">
            <v>51940-441LF</v>
          </cell>
          <cell r="B4056"/>
          <cell r="C4056"/>
          <cell r="D4056"/>
          <cell r="E4056"/>
          <cell r="F4056"/>
          <cell r="G4056">
            <v>7.1999999999999995E-2</v>
          </cell>
          <cell r="H4056"/>
          <cell r="I4056"/>
          <cell r="J4056"/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>
            <v>2.9000000000000001E-2</v>
          </cell>
        </row>
        <row r="4057">
          <cell r="A4057" t="str">
            <v>51940-442LF</v>
          </cell>
          <cell r="B4057"/>
          <cell r="C4057"/>
          <cell r="D4057"/>
          <cell r="E4057"/>
          <cell r="F4057"/>
          <cell r="G4057">
            <v>5.0999999999999997E-2</v>
          </cell>
          <cell r="H4057"/>
          <cell r="I4057"/>
          <cell r="J4057"/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>
            <v>5.0000000000000001E-3</v>
          </cell>
        </row>
        <row r="4058">
          <cell r="A4058" t="str">
            <v>51940-445LF</v>
          </cell>
          <cell r="B4058"/>
          <cell r="C4058"/>
          <cell r="D4058"/>
          <cell r="E4058"/>
          <cell r="F4058"/>
          <cell r="G4058">
            <v>0.03</v>
          </cell>
          <cell r="H4058"/>
          <cell r="I4058"/>
          <cell r="J4058"/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>
            <v>3.0000000000000001E-3</v>
          </cell>
        </row>
        <row r="4059">
          <cell r="A4059" t="str">
            <v>51940-446LF</v>
          </cell>
          <cell r="B4059"/>
          <cell r="C4059"/>
          <cell r="D4059"/>
          <cell r="E4059"/>
          <cell r="F4059"/>
          <cell r="G4059">
            <v>2.3E-2</v>
          </cell>
          <cell r="H4059"/>
          <cell r="I4059"/>
          <cell r="J4059"/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>
            <v>2E-3</v>
          </cell>
        </row>
        <row r="4060">
          <cell r="A4060" t="str">
            <v>51940-447LF</v>
          </cell>
          <cell r="B4060"/>
          <cell r="C4060"/>
          <cell r="D4060"/>
          <cell r="E4060"/>
          <cell r="F4060"/>
          <cell r="G4060">
            <v>5.0999999999999997E-2</v>
          </cell>
          <cell r="H4060"/>
          <cell r="I4060"/>
          <cell r="J4060"/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>
            <v>5.0000000000000001E-3</v>
          </cell>
        </row>
        <row r="4061">
          <cell r="A4061" t="str">
            <v>51940-451LF</v>
          </cell>
          <cell r="B4061"/>
          <cell r="C4061"/>
          <cell r="D4061"/>
          <cell r="E4061"/>
          <cell r="F4061"/>
          <cell r="G4061">
            <v>2.5000000000000001E-2</v>
          </cell>
          <cell r="H4061"/>
          <cell r="I4061"/>
          <cell r="J4061"/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>
            <v>6.1000000000000004E-3</v>
          </cell>
        </row>
        <row r="4062">
          <cell r="A4062" t="str">
            <v>51940-454LF</v>
          </cell>
          <cell r="B4062"/>
          <cell r="C4062"/>
          <cell r="D4062"/>
          <cell r="E4062"/>
          <cell r="F4062"/>
          <cell r="G4062">
            <v>3.2000000000000001E-2</v>
          </cell>
          <cell r="H4062"/>
          <cell r="I4062"/>
          <cell r="J4062"/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>
            <v>3.0000000000000001E-3</v>
          </cell>
        </row>
        <row r="4063">
          <cell r="A4063" t="str">
            <v>51940-456LF</v>
          </cell>
          <cell r="B4063"/>
          <cell r="C4063"/>
          <cell r="D4063"/>
          <cell r="E4063"/>
          <cell r="F4063"/>
          <cell r="G4063">
            <v>2.5000000000000001E-2</v>
          </cell>
          <cell r="H4063"/>
          <cell r="I4063"/>
          <cell r="J4063"/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>
            <v>2E-3</v>
          </cell>
        </row>
        <row r="4064">
          <cell r="A4064" t="str">
            <v>51940-457LF</v>
          </cell>
          <cell r="B4064"/>
          <cell r="C4064"/>
          <cell r="D4064"/>
          <cell r="E4064"/>
          <cell r="F4064"/>
          <cell r="G4064">
            <v>3.7999999999999999E-2</v>
          </cell>
          <cell r="H4064"/>
          <cell r="I4064"/>
          <cell r="J4064"/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>
            <v>3.0000000000000001E-3</v>
          </cell>
        </row>
        <row r="4065">
          <cell r="A4065" t="str">
            <v>51940-458LF</v>
          </cell>
          <cell r="B4065"/>
          <cell r="C4065"/>
          <cell r="D4065"/>
          <cell r="E4065"/>
          <cell r="F4065"/>
          <cell r="G4065">
            <v>0.02</v>
          </cell>
          <cell r="H4065"/>
          <cell r="I4065"/>
          <cell r="J4065"/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>
            <v>6.1000000000000004E-3</v>
          </cell>
        </row>
        <row r="4066">
          <cell r="A4066" t="str">
            <v>51940-459LF</v>
          </cell>
          <cell r="B4066"/>
          <cell r="C4066"/>
          <cell r="D4066"/>
          <cell r="E4066"/>
          <cell r="F4066"/>
          <cell r="G4066">
            <v>2.5999999999999999E-2</v>
          </cell>
          <cell r="H4066"/>
          <cell r="I4066"/>
          <cell r="J4066"/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>
            <v>3.0000000000000001E-3</v>
          </cell>
        </row>
        <row r="4067">
          <cell r="A4067" t="str">
            <v>51940-460LF</v>
          </cell>
          <cell r="B4067"/>
          <cell r="C4067"/>
          <cell r="D4067"/>
          <cell r="E4067"/>
          <cell r="F4067"/>
          <cell r="G4067">
            <v>2.7E-2</v>
          </cell>
          <cell r="H4067"/>
          <cell r="I4067"/>
          <cell r="J4067"/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>
            <v>6.1000000000000004E-3</v>
          </cell>
        </row>
        <row r="4068">
          <cell r="A4068" t="str">
            <v>51940-461LF</v>
          </cell>
          <cell r="B4068"/>
          <cell r="C4068"/>
          <cell r="D4068"/>
          <cell r="E4068"/>
          <cell r="F4068"/>
          <cell r="G4068">
            <v>6.9000000000000006E-2</v>
          </cell>
          <cell r="H4068"/>
          <cell r="I4068"/>
          <cell r="J4068"/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>
            <v>3.0000000000000001E-3</v>
          </cell>
        </row>
        <row r="4069">
          <cell r="A4069" t="str">
            <v>51940-464LF</v>
          </cell>
          <cell r="B4069"/>
          <cell r="C4069"/>
          <cell r="D4069"/>
          <cell r="E4069"/>
          <cell r="F4069"/>
          <cell r="G4069">
            <v>2.7E-2</v>
          </cell>
          <cell r="H4069"/>
          <cell r="I4069"/>
          <cell r="J4069"/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>
            <v>2E-3</v>
          </cell>
        </row>
        <row r="4070">
          <cell r="A4070" t="str">
            <v>51940-466LF</v>
          </cell>
          <cell r="B4070"/>
          <cell r="C4070"/>
          <cell r="D4070"/>
          <cell r="E4070"/>
          <cell r="F4070"/>
          <cell r="G4070">
            <v>2.9000000000000001E-2</v>
          </cell>
          <cell r="H4070"/>
          <cell r="I4070"/>
          <cell r="J4070"/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>
            <v>2E-3</v>
          </cell>
        </row>
        <row r="4071">
          <cell r="A4071" t="str">
            <v>51940-467LF</v>
          </cell>
          <cell r="B4071"/>
          <cell r="C4071"/>
          <cell r="D4071"/>
          <cell r="E4071"/>
          <cell r="F4071"/>
          <cell r="G4071">
            <v>0.02</v>
          </cell>
          <cell r="H4071"/>
          <cell r="I4071"/>
          <cell r="J4071"/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>
            <v>6.1000000000000004E-3</v>
          </cell>
        </row>
        <row r="4072">
          <cell r="A4072" t="str">
            <v>51940-470LF</v>
          </cell>
          <cell r="B4072"/>
          <cell r="C4072"/>
          <cell r="D4072"/>
          <cell r="E4072"/>
          <cell r="F4072"/>
          <cell r="G4072">
            <v>2.1999999999999999E-2</v>
          </cell>
          <cell r="H4072"/>
          <cell r="I4072"/>
          <cell r="J4072"/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>
            <v>3.0000000000000001E-3</v>
          </cell>
        </row>
        <row r="4073">
          <cell r="A4073" t="str">
            <v>51940-471LF</v>
          </cell>
          <cell r="B4073"/>
          <cell r="C4073"/>
          <cell r="D4073"/>
          <cell r="E4073"/>
          <cell r="F4073"/>
          <cell r="G4073">
            <v>3.5999999999999997E-2</v>
          </cell>
          <cell r="H4073"/>
          <cell r="I4073"/>
          <cell r="J4073"/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>
            <v>2E-3</v>
          </cell>
        </row>
        <row r="4074">
          <cell r="A4074" t="str">
            <v>51940-473LF</v>
          </cell>
          <cell r="B4074"/>
          <cell r="C4074"/>
          <cell r="D4074"/>
          <cell r="E4074"/>
          <cell r="F4074"/>
          <cell r="G4074">
            <v>3.3000000000000002E-2</v>
          </cell>
          <cell r="H4074"/>
          <cell r="I4074"/>
          <cell r="J4074"/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>
            <v>3.0000000000000001E-3</v>
          </cell>
        </row>
        <row r="4075">
          <cell r="A4075" t="str">
            <v>51940-473ULLHLF</v>
          </cell>
          <cell r="B4075"/>
          <cell r="C4075"/>
          <cell r="D4075"/>
          <cell r="E4075"/>
          <cell r="F4075"/>
          <cell r="G4075">
            <v>3.3000000000000002E-2</v>
          </cell>
          <cell r="H4075"/>
          <cell r="I4075"/>
          <cell r="J4075"/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>
            <v>3.0000000000000001E-3</v>
          </cell>
        </row>
        <row r="4076">
          <cell r="A4076" t="str">
            <v>51940-474LF</v>
          </cell>
          <cell r="B4076"/>
          <cell r="C4076"/>
          <cell r="D4076"/>
          <cell r="E4076"/>
          <cell r="F4076"/>
          <cell r="G4076">
            <v>0.03</v>
          </cell>
          <cell r="H4076"/>
          <cell r="I4076"/>
          <cell r="J4076"/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>
            <v>2E-3</v>
          </cell>
        </row>
        <row r="4077">
          <cell r="A4077" t="str">
            <v>51940-475LF</v>
          </cell>
          <cell r="B4077"/>
          <cell r="C4077"/>
          <cell r="D4077"/>
          <cell r="E4077"/>
          <cell r="F4077"/>
          <cell r="G4077">
            <v>3.2000000000000001E-2</v>
          </cell>
          <cell r="H4077"/>
          <cell r="I4077"/>
          <cell r="J4077"/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>
            <v>3.0000000000000001E-3</v>
          </cell>
        </row>
        <row r="4078">
          <cell r="A4078" t="str">
            <v>51940-477LF</v>
          </cell>
          <cell r="B4078"/>
          <cell r="C4078"/>
          <cell r="D4078"/>
          <cell r="E4078"/>
          <cell r="F4078"/>
          <cell r="G4078">
            <v>3.3000000000000002E-2</v>
          </cell>
          <cell r="H4078"/>
          <cell r="I4078"/>
          <cell r="J4078"/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>
            <v>3.0000000000000001E-3</v>
          </cell>
        </row>
        <row r="4079">
          <cell r="A4079" t="str">
            <v>51940-483LF</v>
          </cell>
          <cell r="B4079"/>
          <cell r="C4079"/>
          <cell r="D4079"/>
          <cell r="E4079"/>
          <cell r="F4079"/>
          <cell r="G4079">
            <v>1.4E-2</v>
          </cell>
          <cell r="H4079"/>
          <cell r="I4079"/>
          <cell r="J4079"/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>
            <v>4.0000000000000001E-3</v>
          </cell>
        </row>
        <row r="4080">
          <cell r="A4080" t="str">
            <v>51940-484LF</v>
          </cell>
          <cell r="B4080"/>
          <cell r="C4080"/>
          <cell r="D4080"/>
          <cell r="E4080"/>
          <cell r="F4080"/>
          <cell r="G4080">
            <v>2.3E-2</v>
          </cell>
          <cell r="H4080"/>
          <cell r="I4080"/>
          <cell r="J4080"/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>
            <v>6.1000000000000004E-3</v>
          </cell>
        </row>
        <row r="4081">
          <cell r="A4081" t="str">
            <v>51940-486LF</v>
          </cell>
          <cell r="B4081"/>
          <cell r="C4081"/>
          <cell r="D4081"/>
          <cell r="E4081"/>
          <cell r="F4081"/>
          <cell r="G4081">
            <v>1.6199999999999999E-2</v>
          </cell>
          <cell r="H4081"/>
          <cell r="I4081"/>
          <cell r="J4081"/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>
            <v>6.1000000000000004E-3</v>
          </cell>
        </row>
        <row r="4082">
          <cell r="A4082" t="str">
            <v>51940-486NPPLF</v>
          </cell>
          <cell r="B4082"/>
          <cell r="C4082"/>
          <cell r="D4082"/>
          <cell r="E4082"/>
          <cell r="F4082"/>
          <cell r="G4082">
            <v>1.7999999999999999E-2</v>
          </cell>
          <cell r="H4082"/>
          <cell r="I4082"/>
          <cell r="J4082"/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>
            <v>6.1000000000000004E-3</v>
          </cell>
        </row>
        <row r="4083">
          <cell r="A4083" t="str">
            <v>51940-488LF</v>
          </cell>
          <cell r="B4083"/>
          <cell r="C4083"/>
          <cell r="D4083"/>
          <cell r="E4083"/>
          <cell r="F4083"/>
          <cell r="G4083">
            <v>3.2000000000000001E-2</v>
          </cell>
          <cell r="H4083"/>
          <cell r="I4083"/>
          <cell r="J4083"/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>
            <v>3.0000000000000001E-3</v>
          </cell>
        </row>
        <row r="4084">
          <cell r="A4084" t="str">
            <v>51940-489LF</v>
          </cell>
          <cell r="B4084"/>
          <cell r="C4084"/>
          <cell r="D4084"/>
          <cell r="E4084"/>
          <cell r="F4084"/>
          <cell r="G4084">
            <v>1.6E-2</v>
          </cell>
          <cell r="H4084"/>
          <cell r="I4084"/>
          <cell r="J4084"/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>
            <v>5.0000000000000001E-3</v>
          </cell>
        </row>
        <row r="4085">
          <cell r="A4085" t="str">
            <v>51940-490LF</v>
          </cell>
          <cell r="B4085"/>
          <cell r="C4085"/>
          <cell r="D4085"/>
          <cell r="E4085"/>
          <cell r="F4085"/>
          <cell r="G4085">
            <v>2.1000000000000001E-2</v>
          </cell>
          <cell r="H4085"/>
          <cell r="I4085"/>
          <cell r="J4085"/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>
            <v>2E-3</v>
          </cell>
        </row>
        <row r="4086">
          <cell r="A4086" t="str">
            <v>51940-491LF</v>
          </cell>
          <cell r="B4086"/>
          <cell r="C4086"/>
          <cell r="D4086"/>
          <cell r="E4086"/>
          <cell r="F4086"/>
          <cell r="G4086">
            <v>1.44E-2</v>
          </cell>
          <cell r="H4086"/>
          <cell r="I4086"/>
          <cell r="J4086"/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>
            <v>9.2999999999999999E-2</v>
          </cell>
        </row>
        <row r="4087">
          <cell r="A4087" t="str">
            <v>51940-501LF</v>
          </cell>
          <cell r="B4087"/>
          <cell r="C4087"/>
          <cell r="D4087"/>
          <cell r="E4087"/>
          <cell r="F4087"/>
          <cell r="G4087">
            <v>2.1999999999999999E-2</v>
          </cell>
          <cell r="H4087"/>
          <cell r="I4087"/>
          <cell r="J4087"/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>
            <v>1E-3</v>
          </cell>
        </row>
        <row r="4088">
          <cell r="A4088" t="str">
            <v>51940-503LF</v>
          </cell>
          <cell r="B4088"/>
          <cell r="C4088"/>
          <cell r="D4088"/>
          <cell r="E4088"/>
          <cell r="F4088"/>
          <cell r="G4088">
            <v>1.2999999999999999E-2</v>
          </cell>
          <cell r="H4088"/>
          <cell r="I4088"/>
          <cell r="J4088"/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>
            <v>4.0000000000000001E-3</v>
          </cell>
        </row>
        <row r="4089">
          <cell r="A4089" t="str">
            <v>51940-504LF</v>
          </cell>
          <cell r="B4089"/>
          <cell r="C4089"/>
          <cell r="D4089"/>
          <cell r="E4089"/>
          <cell r="F4089"/>
          <cell r="G4089">
            <v>9.7000000000000003E-3</v>
          </cell>
          <cell r="H4089"/>
          <cell r="I4089"/>
          <cell r="J4089"/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>
            <v>4.5999999999999999E-3</v>
          </cell>
        </row>
        <row r="4090">
          <cell r="A4090" t="str">
            <v>51940-507LF</v>
          </cell>
          <cell r="B4090"/>
          <cell r="C4090"/>
          <cell r="D4090"/>
          <cell r="E4090"/>
          <cell r="F4090"/>
          <cell r="G4090">
            <v>0.02</v>
          </cell>
          <cell r="H4090"/>
          <cell r="I4090"/>
          <cell r="J4090"/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>
            <v>3.0000000000000001E-3</v>
          </cell>
        </row>
        <row r="4091">
          <cell r="A4091" t="str">
            <v>51940-508LF</v>
          </cell>
          <cell r="B4091"/>
          <cell r="C4091"/>
          <cell r="D4091"/>
          <cell r="E4091"/>
          <cell r="F4091"/>
          <cell r="G4091">
            <v>2.1000000000000001E-2</v>
          </cell>
          <cell r="H4091"/>
          <cell r="I4091"/>
          <cell r="J4091"/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>
            <v>2E-3</v>
          </cell>
        </row>
        <row r="4092">
          <cell r="A4092" t="str">
            <v>51940-510LF</v>
          </cell>
          <cell r="B4092"/>
          <cell r="C4092"/>
          <cell r="D4092"/>
          <cell r="E4092"/>
          <cell r="F4092"/>
          <cell r="G4092">
            <v>2.1999999999999999E-2</v>
          </cell>
          <cell r="H4092"/>
          <cell r="I4092"/>
          <cell r="J4092"/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>
            <v>2E-3</v>
          </cell>
        </row>
        <row r="4093">
          <cell r="A4093" t="str">
            <v>51940-515LF</v>
          </cell>
          <cell r="B4093"/>
          <cell r="C4093"/>
          <cell r="D4093"/>
          <cell r="E4093"/>
          <cell r="F4093"/>
          <cell r="G4093">
            <v>2.1999999999999999E-2</v>
          </cell>
          <cell r="H4093"/>
          <cell r="I4093"/>
          <cell r="J4093"/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>
            <v>3.0000000000000001E-3</v>
          </cell>
        </row>
        <row r="4094">
          <cell r="A4094" t="str">
            <v>51940-516LF</v>
          </cell>
          <cell r="B4094"/>
          <cell r="C4094"/>
          <cell r="D4094"/>
          <cell r="E4094"/>
          <cell r="F4094"/>
          <cell r="G4094">
            <v>3.3000000000000002E-2</v>
          </cell>
          <cell r="H4094"/>
          <cell r="I4094"/>
          <cell r="J4094"/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>
            <v>2E-3</v>
          </cell>
        </row>
        <row r="4095">
          <cell r="A4095" t="str">
            <v>51940-517PHDPLF</v>
          </cell>
          <cell r="B4095"/>
          <cell r="C4095"/>
          <cell r="D4095"/>
          <cell r="E4095"/>
          <cell r="F4095"/>
          <cell r="G4095">
            <v>8.1557000000000001E-3</v>
          </cell>
          <cell r="H4095"/>
          <cell r="I4095"/>
          <cell r="J4095"/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>
            <v>1.2367299999999999E-2</v>
          </cell>
        </row>
        <row r="4096">
          <cell r="A4096" t="str">
            <v>51940-518LF</v>
          </cell>
          <cell r="B4096"/>
          <cell r="C4096"/>
          <cell r="D4096"/>
          <cell r="E4096"/>
          <cell r="F4096"/>
          <cell r="G4096">
            <v>1.2999999999999999E-2</v>
          </cell>
          <cell r="H4096"/>
          <cell r="I4096"/>
          <cell r="J4096"/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>
            <v>3.0000000000000001E-3</v>
          </cell>
        </row>
        <row r="4097">
          <cell r="A4097" t="str">
            <v>51940-519LF</v>
          </cell>
          <cell r="B4097"/>
          <cell r="C4097"/>
          <cell r="D4097"/>
          <cell r="E4097"/>
          <cell r="F4097"/>
          <cell r="G4097">
            <v>4.5999999999999999E-2</v>
          </cell>
          <cell r="H4097"/>
          <cell r="I4097"/>
          <cell r="J4097"/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>
            <v>1.4E-2</v>
          </cell>
        </row>
        <row r="4098">
          <cell r="A4098" t="str">
            <v>51940-520LF</v>
          </cell>
          <cell r="B4098"/>
          <cell r="C4098"/>
          <cell r="D4098"/>
          <cell r="E4098"/>
          <cell r="F4098"/>
          <cell r="G4098">
            <v>1.2999999999999999E-2</v>
          </cell>
          <cell r="H4098"/>
          <cell r="I4098"/>
          <cell r="J4098"/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>
            <v>3.0000000000000001E-3</v>
          </cell>
        </row>
        <row r="4099">
          <cell r="A4099" t="str">
            <v>51940-522LF</v>
          </cell>
          <cell r="B4099"/>
          <cell r="C4099"/>
          <cell r="D4099"/>
          <cell r="E4099"/>
          <cell r="F4099"/>
          <cell r="G4099">
            <v>3.7999999999999999E-2</v>
          </cell>
          <cell r="H4099"/>
          <cell r="I4099"/>
          <cell r="J4099"/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>
            <v>4.0000000000000001E-3</v>
          </cell>
        </row>
        <row r="4100">
          <cell r="A4100" t="str">
            <v>51940-523LF</v>
          </cell>
          <cell r="B4100"/>
          <cell r="C4100"/>
          <cell r="D4100"/>
          <cell r="E4100"/>
          <cell r="F4100"/>
          <cell r="G4100">
            <v>1.6E-2</v>
          </cell>
          <cell r="H4100"/>
          <cell r="I4100"/>
          <cell r="J4100"/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>
            <v>5.0000000000000001E-3</v>
          </cell>
        </row>
        <row r="4101">
          <cell r="A4101" t="str">
            <v>51940-524LF</v>
          </cell>
          <cell r="B4101"/>
          <cell r="C4101"/>
          <cell r="D4101"/>
          <cell r="E4101"/>
          <cell r="F4101"/>
          <cell r="G4101">
            <v>3.2000000000000001E-2</v>
          </cell>
          <cell r="H4101"/>
          <cell r="I4101"/>
          <cell r="J4101"/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>
            <v>3.0000000000000001E-3</v>
          </cell>
        </row>
        <row r="4102">
          <cell r="A4102" t="str">
            <v>51940-526LF</v>
          </cell>
          <cell r="B4102"/>
          <cell r="C4102"/>
          <cell r="D4102"/>
          <cell r="E4102"/>
          <cell r="F4102"/>
          <cell r="G4102">
            <v>2.8000000000000001E-2</v>
          </cell>
          <cell r="H4102"/>
          <cell r="I4102"/>
          <cell r="J4102"/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>
            <v>3.0000000000000001E-3</v>
          </cell>
        </row>
        <row r="4103">
          <cell r="A4103" t="str">
            <v>51940-527LF</v>
          </cell>
          <cell r="B4103"/>
          <cell r="C4103"/>
          <cell r="D4103"/>
          <cell r="E4103"/>
          <cell r="F4103"/>
          <cell r="G4103">
            <v>2.7E-2</v>
          </cell>
          <cell r="H4103"/>
          <cell r="I4103"/>
          <cell r="J4103"/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>
            <v>2E-3</v>
          </cell>
        </row>
        <row r="4104">
          <cell r="A4104" t="str">
            <v>51940-528LF</v>
          </cell>
          <cell r="B4104"/>
          <cell r="C4104"/>
          <cell r="D4104"/>
          <cell r="E4104"/>
          <cell r="F4104"/>
          <cell r="G4104">
            <v>4.4999999999999998E-2</v>
          </cell>
          <cell r="H4104"/>
          <cell r="I4104"/>
          <cell r="J4104"/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>
            <v>0.01</v>
          </cell>
        </row>
        <row r="4105">
          <cell r="A4105" t="str">
            <v>51940-529AULF</v>
          </cell>
          <cell r="B4105"/>
          <cell r="C4105"/>
          <cell r="D4105"/>
          <cell r="E4105"/>
          <cell r="F4105"/>
          <cell r="G4105">
            <v>2.9000000000000001E-2</v>
          </cell>
          <cell r="H4105"/>
          <cell r="I4105"/>
          <cell r="J4105"/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>
            <v>3.0000000000000001E-3</v>
          </cell>
        </row>
        <row r="4106">
          <cell r="A4106" t="str">
            <v>51940-529LF</v>
          </cell>
          <cell r="B4106"/>
          <cell r="C4106"/>
          <cell r="D4106"/>
          <cell r="E4106"/>
          <cell r="F4106"/>
          <cell r="G4106">
            <v>2.9000000000000001E-2</v>
          </cell>
          <cell r="H4106"/>
          <cell r="I4106"/>
          <cell r="J4106"/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>
            <v>3.0000000000000001E-3</v>
          </cell>
        </row>
        <row r="4107">
          <cell r="A4107" t="str">
            <v>51940-530LF</v>
          </cell>
          <cell r="B4107"/>
          <cell r="C4107"/>
          <cell r="D4107"/>
          <cell r="E4107"/>
          <cell r="F4107"/>
          <cell r="G4107">
            <v>4.2999999999999997E-2</v>
          </cell>
          <cell r="H4107"/>
          <cell r="I4107"/>
          <cell r="J4107"/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>
            <v>2.1000000000000001E-2</v>
          </cell>
        </row>
        <row r="4108">
          <cell r="A4108" t="str">
            <v>51940-531LF</v>
          </cell>
          <cell r="B4108"/>
          <cell r="C4108"/>
          <cell r="D4108"/>
          <cell r="E4108"/>
          <cell r="F4108"/>
          <cell r="G4108">
            <v>2.1999999999999999E-2</v>
          </cell>
          <cell r="H4108"/>
          <cell r="I4108"/>
          <cell r="J4108"/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>
            <v>3.0000000000000001E-3</v>
          </cell>
        </row>
        <row r="4109">
          <cell r="A4109" t="str">
            <v>51940-532LF</v>
          </cell>
          <cell r="B4109"/>
          <cell r="C4109"/>
          <cell r="D4109"/>
          <cell r="E4109"/>
          <cell r="F4109"/>
          <cell r="G4109">
            <v>3.2000000000000001E-2</v>
          </cell>
          <cell r="H4109"/>
          <cell r="I4109"/>
          <cell r="J4109"/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>
            <v>3.0000000000000001E-3</v>
          </cell>
        </row>
        <row r="4110">
          <cell r="A4110" t="str">
            <v>51940-535LF</v>
          </cell>
          <cell r="B4110"/>
          <cell r="C4110"/>
          <cell r="D4110"/>
          <cell r="E4110"/>
          <cell r="F4110"/>
          <cell r="G4110">
            <v>0.02</v>
          </cell>
          <cell r="H4110"/>
          <cell r="I4110"/>
          <cell r="J4110"/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>
            <v>3.0000000000000001E-3</v>
          </cell>
        </row>
        <row r="4111">
          <cell r="A4111" t="str">
            <v>51940-537LF</v>
          </cell>
          <cell r="B4111"/>
          <cell r="C4111"/>
          <cell r="D4111"/>
          <cell r="E4111"/>
          <cell r="F4111"/>
          <cell r="G4111">
            <v>2.5000000000000001E-2</v>
          </cell>
          <cell r="H4111"/>
          <cell r="I4111"/>
          <cell r="J4111"/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>
            <v>6.1000000000000004E-3</v>
          </cell>
        </row>
        <row r="4112">
          <cell r="A4112" t="str">
            <v>51940-538LF</v>
          </cell>
          <cell r="B4112"/>
          <cell r="C4112"/>
          <cell r="D4112"/>
          <cell r="E4112"/>
          <cell r="F4112"/>
          <cell r="G4112">
            <v>3.3000000000000002E-2</v>
          </cell>
          <cell r="H4112"/>
          <cell r="I4112"/>
          <cell r="J4112"/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>
            <v>3.0000000000000001E-3</v>
          </cell>
        </row>
        <row r="4113">
          <cell r="A4113" t="str">
            <v>51940-539LF</v>
          </cell>
          <cell r="B4113"/>
          <cell r="C4113"/>
          <cell r="D4113"/>
          <cell r="E4113"/>
          <cell r="F4113"/>
          <cell r="G4113">
            <v>2.7E-2</v>
          </cell>
          <cell r="H4113"/>
          <cell r="I4113"/>
          <cell r="J4113"/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>
            <v>3.0000000000000001E-3</v>
          </cell>
        </row>
        <row r="4114">
          <cell r="A4114" t="str">
            <v>51940-540LF</v>
          </cell>
          <cell r="B4114"/>
          <cell r="C4114"/>
          <cell r="D4114"/>
          <cell r="E4114"/>
          <cell r="F4114"/>
          <cell r="G4114">
            <v>3.2000000000000001E-2</v>
          </cell>
          <cell r="H4114"/>
          <cell r="I4114"/>
          <cell r="J4114"/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>
            <v>3.0000000000000001E-3</v>
          </cell>
        </row>
        <row r="4115">
          <cell r="A4115" t="str">
            <v>51940-541LF</v>
          </cell>
          <cell r="B4115"/>
          <cell r="C4115"/>
          <cell r="D4115"/>
          <cell r="E4115"/>
          <cell r="F4115"/>
          <cell r="G4115">
            <v>1.44E-2</v>
          </cell>
          <cell r="H4115"/>
          <cell r="I4115"/>
          <cell r="J4115"/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>
            <v>9.2999999999999999E-2</v>
          </cell>
        </row>
        <row r="4116">
          <cell r="A4116" t="str">
            <v>51940-542LF</v>
          </cell>
          <cell r="B4116"/>
          <cell r="C4116"/>
          <cell r="D4116"/>
          <cell r="E4116"/>
          <cell r="F4116"/>
          <cell r="G4116">
            <v>1.6E-2</v>
          </cell>
          <cell r="H4116"/>
          <cell r="I4116"/>
          <cell r="J4116"/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>
            <v>3.0000000000000001E-3</v>
          </cell>
        </row>
        <row r="4117">
          <cell r="A4117" t="str">
            <v>51940-543LF</v>
          </cell>
          <cell r="B4117"/>
          <cell r="C4117"/>
          <cell r="D4117"/>
          <cell r="E4117"/>
          <cell r="F4117"/>
          <cell r="G4117">
            <v>4.4999999999999998E-2</v>
          </cell>
          <cell r="H4117"/>
          <cell r="I4117"/>
          <cell r="J4117"/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>
            <v>2E-3</v>
          </cell>
        </row>
        <row r="4118">
          <cell r="A4118" t="str">
            <v>51940-544LF</v>
          </cell>
          <cell r="B4118"/>
          <cell r="C4118"/>
          <cell r="D4118"/>
          <cell r="E4118"/>
          <cell r="F4118"/>
          <cell r="G4118">
            <v>3.2000000000000001E-2</v>
          </cell>
          <cell r="H4118"/>
          <cell r="I4118"/>
          <cell r="J4118"/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>
            <v>3.0000000000000001E-3</v>
          </cell>
        </row>
        <row r="4119">
          <cell r="A4119" t="str">
            <v>51940-545LF</v>
          </cell>
          <cell r="B4119"/>
          <cell r="C4119"/>
          <cell r="D4119"/>
          <cell r="E4119"/>
          <cell r="F4119"/>
          <cell r="G4119">
            <v>3.3000000000000002E-2</v>
          </cell>
          <cell r="H4119"/>
          <cell r="I4119"/>
          <cell r="J4119"/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>
            <v>3.0000000000000001E-3</v>
          </cell>
        </row>
        <row r="4120">
          <cell r="A4120" t="str">
            <v>51940-547LF</v>
          </cell>
          <cell r="B4120"/>
          <cell r="C4120"/>
          <cell r="D4120"/>
          <cell r="E4120"/>
          <cell r="F4120"/>
          <cell r="G4120">
            <v>0.03</v>
          </cell>
          <cell r="H4120"/>
          <cell r="I4120"/>
          <cell r="J4120"/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>
            <v>1.0999999999999999E-2</v>
          </cell>
        </row>
        <row r="4121">
          <cell r="A4121" t="str">
            <v>51940-548LF</v>
          </cell>
          <cell r="B4121"/>
          <cell r="C4121"/>
          <cell r="D4121"/>
          <cell r="E4121"/>
          <cell r="F4121"/>
          <cell r="G4121">
            <v>2.4E-2</v>
          </cell>
          <cell r="H4121"/>
          <cell r="I4121"/>
          <cell r="J4121"/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>
            <v>3.0000000000000001E-3</v>
          </cell>
        </row>
        <row r="4122">
          <cell r="A4122" t="str">
            <v>51940-549LF</v>
          </cell>
          <cell r="B4122"/>
          <cell r="C4122"/>
          <cell r="D4122"/>
          <cell r="E4122"/>
          <cell r="F4122"/>
          <cell r="G4122">
            <v>2.5000000000000001E-2</v>
          </cell>
          <cell r="H4122"/>
          <cell r="I4122"/>
          <cell r="J4122"/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>
            <v>1.4999999999999999E-2</v>
          </cell>
        </row>
        <row r="4123">
          <cell r="A4123" t="str">
            <v>51940-550LF</v>
          </cell>
          <cell r="B4123"/>
          <cell r="C4123"/>
          <cell r="D4123"/>
          <cell r="E4123"/>
          <cell r="F4123"/>
          <cell r="G4123">
            <v>2.5000000000000001E-2</v>
          </cell>
          <cell r="H4123"/>
          <cell r="I4123"/>
          <cell r="J4123"/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>
            <v>6.1000000000000004E-3</v>
          </cell>
        </row>
        <row r="4124">
          <cell r="A4124" t="str">
            <v>51940-551LF</v>
          </cell>
          <cell r="B4124"/>
          <cell r="C4124"/>
          <cell r="D4124"/>
          <cell r="E4124"/>
          <cell r="F4124"/>
          <cell r="G4124">
            <v>2.1999999999999999E-2</v>
          </cell>
          <cell r="H4124"/>
          <cell r="I4124"/>
          <cell r="J4124"/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>
            <v>3.0000000000000001E-3</v>
          </cell>
        </row>
        <row r="4125">
          <cell r="A4125" t="str">
            <v>51940-553LF</v>
          </cell>
          <cell r="B4125"/>
          <cell r="C4125"/>
          <cell r="D4125"/>
          <cell r="E4125"/>
          <cell r="F4125"/>
          <cell r="G4125">
            <v>3.4000000000000002E-2</v>
          </cell>
          <cell r="H4125"/>
          <cell r="I4125"/>
          <cell r="J4125"/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>
            <v>2E-3</v>
          </cell>
        </row>
        <row r="4126">
          <cell r="A4126" t="str">
            <v>51940-557LF</v>
          </cell>
          <cell r="B4126"/>
          <cell r="C4126"/>
          <cell r="D4126"/>
          <cell r="E4126"/>
          <cell r="F4126"/>
          <cell r="G4126">
            <v>0.02</v>
          </cell>
          <cell r="H4126"/>
          <cell r="I4126"/>
          <cell r="J4126"/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>
            <v>6.1000000000000004E-3</v>
          </cell>
        </row>
        <row r="4127">
          <cell r="A4127" t="str">
            <v>51940-559LF</v>
          </cell>
          <cell r="B4127"/>
          <cell r="C4127"/>
          <cell r="D4127"/>
          <cell r="E4127"/>
          <cell r="F4127"/>
          <cell r="G4127">
            <v>2.8000000000000001E-2</v>
          </cell>
          <cell r="H4127"/>
          <cell r="I4127"/>
          <cell r="J4127"/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>
            <v>3.0000000000000001E-3</v>
          </cell>
        </row>
        <row r="4128">
          <cell r="A4128" t="str">
            <v>51940-560LF</v>
          </cell>
          <cell r="B4128"/>
          <cell r="C4128"/>
          <cell r="D4128"/>
          <cell r="E4128"/>
          <cell r="F4128"/>
          <cell r="G4128">
            <v>6.2E-2</v>
          </cell>
          <cell r="H4128"/>
          <cell r="I4128"/>
          <cell r="J4128"/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>
            <v>1.0999999999999999E-2</v>
          </cell>
        </row>
        <row r="4129">
          <cell r="A4129" t="str">
            <v>51940-562LHLF</v>
          </cell>
          <cell r="B4129"/>
          <cell r="C4129"/>
          <cell r="D4129"/>
          <cell r="E4129"/>
          <cell r="F4129"/>
          <cell r="G4129">
            <v>2.7E-2</v>
          </cell>
          <cell r="H4129"/>
          <cell r="I4129"/>
          <cell r="J4129"/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>
            <v>3.0000000000000001E-3</v>
          </cell>
        </row>
        <row r="4130">
          <cell r="A4130" t="str">
            <v>51940-563LHLF</v>
          </cell>
          <cell r="B4130"/>
          <cell r="C4130"/>
          <cell r="D4130"/>
          <cell r="E4130"/>
          <cell r="F4130"/>
          <cell r="G4130">
            <v>2.5999999999999999E-2</v>
          </cell>
          <cell r="H4130"/>
          <cell r="I4130"/>
          <cell r="J4130"/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>
            <v>3.0000000000000001E-3</v>
          </cell>
        </row>
        <row r="4131">
          <cell r="A4131" t="str">
            <v>51940-565LF</v>
          </cell>
          <cell r="B4131"/>
          <cell r="C4131"/>
          <cell r="D4131"/>
          <cell r="E4131"/>
          <cell r="F4131"/>
          <cell r="G4131">
            <v>2.3E-2</v>
          </cell>
          <cell r="H4131"/>
          <cell r="I4131"/>
          <cell r="J4131"/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>
            <v>6.1000000000000004E-3</v>
          </cell>
        </row>
        <row r="4132">
          <cell r="A4132" t="str">
            <v>51940-566LF</v>
          </cell>
          <cell r="B4132"/>
          <cell r="C4132"/>
          <cell r="D4132"/>
          <cell r="E4132"/>
          <cell r="F4132"/>
          <cell r="G4132">
            <v>1.4E-2</v>
          </cell>
          <cell r="H4132"/>
          <cell r="I4132"/>
          <cell r="J4132"/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>
            <v>3.0000000000000001E-3</v>
          </cell>
        </row>
        <row r="4133">
          <cell r="A4133" t="str">
            <v>51940-570LF</v>
          </cell>
          <cell r="B4133"/>
          <cell r="C4133"/>
          <cell r="D4133"/>
          <cell r="E4133"/>
          <cell r="F4133"/>
          <cell r="G4133">
            <v>3.2000000000000001E-2</v>
          </cell>
          <cell r="H4133"/>
          <cell r="I4133"/>
          <cell r="J4133"/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>
            <v>3.0000000000000001E-3</v>
          </cell>
        </row>
        <row r="4134">
          <cell r="A4134" t="str">
            <v>51940-572PHDPLF</v>
          </cell>
          <cell r="B4134"/>
          <cell r="C4134"/>
          <cell r="D4134"/>
          <cell r="E4134"/>
          <cell r="F4134"/>
          <cell r="G4134">
            <v>2.9000000000000001E-2</v>
          </cell>
          <cell r="H4134"/>
          <cell r="I4134"/>
          <cell r="J4134"/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>
            <v>0.04</v>
          </cell>
        </row>
        <row r="4135">
          <cell r="A4135" t="str">
            <v>51940-575LF</v>
          </cell>
          <cell r="B4135"/>
          <cell r="C4135"/>
          <cell r="D4135"/>
          <cell r="E4135"/>
          <cell r="F4135"/>
          <cell r="G4135">
            <v>2.5000000000000001E-2</v>
          </cell>
          <cell r="H4135"/>
          <cell r="I4135"/>
          <cell r="J4135"/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>
            <v>6.1000000000000004E-3</v>
          </cell>
        </row>
        <row r="4136">
          <cell r="A4136" t="str">
            <v>51940-576LF</v>
          </cell>
          <cell r="B4136"/>
          <cell r="C4136"/>
          <cell r="D4136"/>
          <cell r="E4136"/>
          <cell r="F4136"/>
          <cell r="G4136">
            <v>2.7E-2</v>
          </cell>
          <cell r="H4136"/>
          <cell r="I4136"/>
          <cell r="J4136"/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>
            <v>3.0000000000000001E-3</v>
          </cell>
        </row>
        <row r="4137">
          <cell r="A4137" t="str">
            <v>51940-578LF</v>
          </cell>
          <cell r="B4137"/>
          <cell r="C4137"/>
          <cell r="D4137"/>
          <cell r="E4137"/>
          <cell r="F4137"/>
          <cell r="G4137">
            <v>3.2000000000000001E-2</v>
          </cell>
          <cell r="H4137"/>
          <cell r="I4137"/>
          <cell r="J4137"/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>
            <v>3.0000000000000001E-3</v>
          </cell>
        </row>
        <row r="4138">
          <cell r="A4138" t="str">
            <v>51940-579LF</v>
          </cell>
          <cell r="B4138"/>
          <cell r="C4138"/>
          <cell r="D4138"/>
          <cell r="E4138"/>
          <cell r="F4138"/>
          <cell r="G4138">
            <v>3.3000000000000002E-2</v>
          </cell>
          <cell r="H4138"/>
          <cell r="I4138"/>
          <cell r="J4138"/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>
            <v>3.0000000000000001E-3</v>
          </cell>
        </row>
        <row r="4139">
          <cell r="A4139" t="str">
            <v>51940-580LF</v>
          </cell>
          <cell r="B4139"/>
          <cell r="C4139"/>
          <cell r="D4139"/>
          <cell r="E4139"/>
          <cell r="F4139"/>
          <cell r="G4139">
            <v>3.4000000000000002E-2</v>
          </cell>
          <cell r="H4139"/>
          <cell r="I4139"/>
          <cell r="J4139"/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>
            <v>2E-3</v>
          </cell>
        </row>
        <row r="4140">
          <cell r="A4140" t="str">
            <v>51940-581LF</v>
          </cell>
          <cell r="B4140"/>
          <cell r="C4140"/>
          <cell r="D4140"/>
          <cell r="E4140"/>
          <cell r="F4140"/>
          <cell r="G4140">
            <v>3.1E-2</v>
          </cell>
          <cell r="H4140"/>
          <cell r="I4140"/>
          <cell r="J4140"/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>
            <v>2E-3</v>
          </cell>
        </row>
        <row r="4141">
          <cell r="A4141" t="str">
            <v>51940-582LF</v>
          </cell>
          <cell r="B4141"/>
          <cell r="C4141"/>
          <cell r="D4141"/>
          <cell r="E4141"/>
          <cell r="F4141"/>
          <cell r="G4141">
            <v>2.7E-2</v>
          </cell>
          <cell r="H4141"/>
          <cell r="I4141"/>
          <cell r="J4141"/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>
            <v>6.0000000000000001E-3</v>
          </cell>
        </row>
        <row r="4142">
          <cell r="A4142" t="str">
            <v>51940-584LF</v>
          </cell>
          <cell r="B4142"/>
          <cell r="C4142"/>
          <cell r="D4142"/>
          <cell r="E4142"/>
          <cell r="F4142"/>
          <cell r="G4142">
            <v>4.7E-2</v>
          </cell>
          <cell r="H4142"/>
          <cell r="I4142"/>
          <cell r="J4142"/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>
            <v>6.1000000000000004E-3</v>
          </cell>
        </row>
        <row r="4143">
          <cell r="A4143" t="str">
            <v>51940-585LF</v>
          </cell>
          <cell r="B4143"/>
          <cell r="C4143"/>
          <cell r="D4143"/>
          <cell r="E4143"/>
          <cell r="F4143"/>
          <cell r="G4143">
            <v>2.5000000000000001E-2</v>
          </cell>
          <cell r="H4143"/>
          <cell r="I4143"/>
          <cell r="J4143"/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>
            <v>6.1000000000000004E-3</v>
          </cell>
        </row>
        <row r="4144">
          <cell r="A4144" t="str">
            <v>51940-586LF</v>
          </cell>
          <cell r="B4144"/>
          <cell r="C4144"/>
          <cell r="D4144"/>
          <cell r="E4144"/>
          <cell r="F4144"/>
          <cell r="G4144">
            <v>5.1999999999999998E-2</v>
          </cell>
          <cell r="H4144"/>
          <cell r="I4144"/>
          <cell r="J4144"/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>
            <v>6.1000000000000004E-3</v>
          </cell>
        </row>
        <row r="4145">
          <cell r="A4145" t="str">
            <v>51940-587LF</v>
          </cell>
          <cell r="B4145"/>
          <cell r="C4145"/>
          <cell r="D4145"/>
          <cell r="E4145"/>
          <cell r="F4145"/>
          <cell r="G4145">
            <v>6.7000000000000004E-2</v>
          </cell>
          <cell r="H4145"/>
          <cell r="I4145"/>
          <cell r="J4145"/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>
            <v>4.3999999999999997E-2</v>
          </cell>
        </row>
        <row r="4146">
          <cell r="A4146" t="str">
            <v>51940-589LF</v>
          </cell>
          <cell r="B4146"/>
          <cell r="C4146"/>
          <cell r="D4146"/>
          <cell r="E4146"/>
          <cell r="F4146"/>
          <cell r="G4146">
            <v>1.6E-2</v>
          </cell>
          <cell r="H4146"/>
          <cell r="I4146"/>
          <cell r="J4146"/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>
            <v>6.2E-2</v>
          </cell>
        </row>
        <row r="4147">
          <cell r="A4147" t="str">
            <v>51940-590LF</v>
          </cell>
          <cell r="B4147"/>
          <cell r="C4147"/>
          <cell r="D4147"/>
          <cell r="E4147"/>
          <cell r="F4147"/>
          <cell r="G4147">
            <v>1.7999999999999999E-2</v>
          </cell>
          <cell r="H4147"/>
          <cell r="I4147"/>
          <cell r="J4147"/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>
            <v>6.1000000000000004E-3</v>
          </cell>
        </row>
        <row r="4148">
          <cell r="A4148" t="str">
            <v>51940-592PHDPLF</v>
          </cell>
          <cell r="B4148"/>
          <cell r="C4148"/>
          <cell r="D4148"/>
          <cell r="E4148"/>
          <cell r="F4148"/>
          <cell r="G4148">
            <v>2.1999999999999999E-2</v>
          </cell>
          <cell r="H4148"/>
          <cell r="I4148"/>
          <cell r="J4148"/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>
            <v>4.5999999999999999E-2</v>
          </cell>
        </row>
        <row r="4149">
          <cell r="A4149" t="str">
            <v>51940-593PLF</v>
          </cell>
          <cell r="B4149"/>
          <cell r="C4149"/>
          <cell r="D4149"/>
          <cell r="E4149"/>
          <cell r="F4149"/>
          <cell r="G4149">
            <v>3.5000000000000003E-2</v>
          </cell>
          <cell r="H4149"/>
          <cell r="I4149"/>
          <cell r="J4149"/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>
            <v>3.0000000000000001E-3</v>
          </cell>
        </row>
        <row r="4150">
          <cell r="A4150" t="str">
            <v>51940-594LF</v>
          </cell>
          <cell r="B4150"/>
          <cell r="C4150"/>
          <cell r="D4150"/>
          <cell r="E4150"/>
          <cell r="F4150"/>
          <cell r="G4150">
            <v>1.7100000000000001E-2</v>
          </cell>
          <cell r="H4150"/>
          <cell r="I4150"/>
          <cell r="J4150"/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>
            <v>4.8000000000000001E-2</v>
          </cell>
        </row>
        <row r="4151">
          <cell r="A4151" t="str">
            <v>51940-596LF</v>
          </cell>
          <cell r="B4151"/>
          <cell r="C4151"/>
          <cell r="D4151"/>
          <cell r="E4151"/>
          <cell r="F4151"/>
          <cell r="G4151">
            <v>2.5999999999999999E-2</v>
          </cell>
          <cell r="H4151"/>
          <cell r="I4151"/>
          <cell r="J4151"/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>
            <v>6.1000000000000004E-3</v>
          </cell>
        </row>
        <row r="4152">
          <cell r="A4152" t="str">
            <v>51940-598LF</v>
          </cell>
          <cell r="B4152"/>
          <cell r="C4152"/>
          <cell r="D4152"/>
          <cell r="E4152"/>
          <cell r="F4152"/>
          <cell r="G4152">
            <v>0.02</v>
          </cell>
          <cell r="H4152"/>
          <cell r="I4152"/>
          <cell r="J4152"/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>
            <v>3.6999999999999998E-2</v>
          </cell>
        </row>
        <row r="4153">
          <cell r="A4153" t="str">
            <v>51940-602LF</v>
          </cell>
          <cell r="B4153"/>
          <cell r="C4153"/>
          <cell r="D4153"/>
          <cell r="E4153"/>
          <cell r="F4153"/>
          <cell r="G4153">
            <v>2.8000000000000001E-2</v>
          </cell>
          <cell r="H4153"/>
          <cell r="I4153"/>
          <cell r="J4153"/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>
            <v>3.0000000000000001E-3</v>
          </cell>
        </row>
        <row r="4154">
          <cell r="A4154" t="str">
            <v>51940-603LF</v>
          </cell>
          <cell r="B4154"/>
          <cell r="C4154"/>
          <cell r="D4154"/>
          <cell r="E4154"/>
          <cell r="F4154"/>
          <cell r="G4154">
            <v>1.35E-2</v>
          </cell>
          <cell r="H4154"/>
          <cell r="I4154"/>
          <cell r="J4154"/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>
            <v>2.9499999999999998E-2</v>
          </cell>
        </row>
        <row r="4155">
          <cell r="A4155" t="str">
            <v>51940-604LF</v>
          </cell>
          <cell r="B4155"/>
          <cell r="C4155"/>
          <cell r="D4155"/>
          <cell r="E4155"/>
          <cell r="F4155"/>
          <cell r="G4155">
            <v>0.02</v>
          </cell>
          <cell r="H4155"/>
          <cell r="I4155"/>
          <cell r="J4155"/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>
            <v>3.0000000000000001E-3</v>
          </cell>
        </row>
        <row r="4156">
          <cell r="A4156" t="str">
            <v>51940-605LF</v>
          </cell>
          <cell r="B4156"/>
          <cell r="C4156"/>
          <cell r="D4156"/>
          <cell r="E4156"/>
          <cell r="F4156"/>
          <cell r="G4156">
            <v>6.7000000000000004E-2</v>
          </cell>
          <cell r="H4156"/>
          <cell r="I4156"/>
          <cell r="J4156"/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>
            <v>4.3999999999999997E-2</v>
          </cell>
        </row>
        <row r="4157">
          <cell r="A4157" t="str">
            <v>51940-606PLF</v>
          </cell>
          <cell r="B4157"/>
          <cell r="C4157"/>
          <cell r="D4157"/>
          <cell r="E4157"/>
          <cell r="F4157"/>
          <cell r="G4157">
            <v>2.3E-2</v>
          </cell>
          <cell r="H4157"/>
          <cell r="I4157"/>
          <cell r="J4157"/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>
            <v>6.5000000000000002E-2</v>
          </cell>
        </row>
        <row r="4158">
          <cell r="A4158" t="str">
            <v>51940-607LF</v>
          </cell>
          <cell r="B4158"/>
          <cell r="C4158"/>
          <cell r="D4158"/>
          <cell r="E4158"/>
          <cell r="F4158"/>
          <cell r="G4158">
            <v>2.1000000000000001E-2</v>
          </cell>
          <cell r="H4158"/>
          <cell r="I4158"/>
          <cell r="J4158"/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>
            <v>1.7000000000000001E-2</v>
          </cell>
        </row>
        <row r="4159">
          <cell r="A4159" t="str">
            <v>51940-608LF</v>
          </cell>
          <cell r="B4159"/>
          <cell r="C4159"/>
          <cell r="D4159"/>
          <cell r="E4159"/>
          <cell r="F4159"/>
          <cell r="G4159">
            <v>1.9E-2</v>
          </cell>
          <cell r="H4159"/>
          <cell r="I4159"/>
          <cell r="J4159"/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>
            <v>2.1999999999999999E-2</v>
          </cell>
        </row>
        <row r="4160">
          <cell r="A4160" t="str">
            <v>51940-609LF</v>
          </cell>
          <cell r="B4160"/>
          <cell r="C4160"/>
          <cell r="D4160"/>
          <cell r="E4160"/>
          <cell r="F4160"/>
          <cell r="G4160">
            <v>3.6999999999999998E-2</v>
          </cell>
          <cell r="H4160"/>
          <cell r="I4160"/>
          <cell r="J4160"/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>
            <v>3.0000000000000001E-3</v>
          </cell>
        </row>
        <row r="4161">
          <cell r="A4161" t="str">
            <v>51940-614LF</v>
          </cell>
          <cell r="B4161"/>
          <cell r="C4161"/>
          <cell r="D4161"/>
          <cell r="E4161"/>
          <cell r="F4161"/>
          <cell r="G4161">
            <v>3.15E-2</v>
          </cell>
          <cell r="H4161"/>
          <cell r="I4161"/>
          <cell r="J4161"/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>
            <v>5.6000000000000001E-2</v>
          </cell>
        </row>
        <row r="4162">
          <cell r="A4162" t="str">
            <v>51940-615LF</v>
          </cell>
          <cell r="B4162"/>
          <cell r="C4162"/>
          <cell r="D4162"/>
          <cell r="E4162"/>
          <cell r="F4162"/>
          <cell r="G4162">
            <v>2.8000000000000001E-2</v>
          </cell>
          <cell r="H4162"/>
          <cell r="I4162"/>
          <cell r="J4162"/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>
            <v>2E-3</v>
          </cell>
        </row>
        <row r="4163">
          <cell r="A4163" t="str">
            <v>51940-616LF</v>
          </cell>
          <cell r="B4163"/>
          <cell r="C4163"/>
          <cell r="D4163"/>
          <cell r="E4163"/>
          <cell r="F4163"/>
          <cell r="G4163">
            <v>3.4000000000000002E-2</v>
          </cell>
          <cell r="H4163"/>
          <cell r="I4163"/>
          <cell r="J4163"/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>
            <v>2E-3</v>
          </cell>
        </row>
        <row r="4164">
          <cell r="A4164" t="str">
            <v>51940-617LF</v>
          </cell>
          <cell r="B4164"/>
          <cell r="C4164"/>
          <cell r="D4164"/>
          <cell r="E4164"/>
          <cell r="F4164"/>
          <cell r="G4164">
            <v>3.2000000000000001E-2</v>
          </cell>
          <cell r="H4164"/>
          <cell r="I4164"/>
          <cell r="J4164"/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>
            <v>2E-3</v>
          </cell>
        </row>
        <row r="4165">
          <cell r="A4165" t="str">
            <v>51940-618LF</v>
          </cell>
          <cell r="B4165"/>
          <cell r="C4165"/>
          <cell r="D4165"/>
          <cell r="E4165"/>
          <cell r="F4165"/>
          <cell r="G4165">
            <v>4.2999999999999997E-2</v>
          </cell>
          <cell r="H4165"/>
          <cell r="I4165"/>
          <cell r="J4165"/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>
            <v>6.1000000000000004E-3</v>
          </cell>
        </row>
        <row r="4166">
          <cell r="A4166" t="str">
            <v>51940-620LF</v>
          </cell>
          <cell r="B4166"/>
          <cell r="C4166"/>
          <cell r="D4166"/>
          <cell r="E4166"/>
          <cell r="F4166"/>
          <cell r="G4166">
            <v>3.15E-2</v>
          </cell>
          <cell r="H4166"/>
          <cell r="I4166"/>
          <cell r="J4166"/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>
            <v>6.1000000000000004E-3</v>
          </cell>
        </row>
        <row r="4167">
          <cell r="A4167" t="str">
            <v>51940-622LF</v>
          </cell>
          <cell r="B4167"/>
          <cell r="C4167"/>
          <cell r="D4167"/>
          <cell r="E4167"/>
          <cell r="F4167"/>
          <cell r="G4167">
            <v>0.02</v>
          </cell>
          <cell r="H4167"/>
          <cell r="I4167"/>
          <cell r="J4167"/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>
            <v>6.1000000000000004E-3</v>
          </cell>
        </row>
        <row r="4168">
          <cell r="A4168" t="str">
            <v>51940-623LF</v>
          </cell>
          <cell r="B4168"/>
          <cell r="C4168"/>
          <cell r="D4168"/>
          <cell r="E4168"/>
          <cell r="F4168"/>
          <cell r="G4168">
            <v>3.3000000000000002E-2</v>
          </cell>
          <cell r="H4168"/>
          <cell r="I4168"/>
          <cell r="J4168"/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>
            <v>3.0000000000000001E-3</v>
          </cell>
        </row>
        <row r="4169">
          <cell r="A4169" t="str">
            <v>51940-625LF</v>
          </cell>
          <cell r="B4169"/>
          <cell r="C4169"/>
          <cell r="D4169"/>
          <cell r="E4169"/>
          <cell r="F4169"/>
          <cell r="G4169">
            <v>2.4E-2</v>
          </cell>
          <cell r="H4169"/>
          <cell r="I4169"/>
          <cell r="J4169"/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>
            <v>3.0000000000000001E-3</v>
          </cell>
        </row>
        <row r="4170">
          <cell r="A4170" t="str">
            <v>51940-629LF</v>
          </cell>
          <cell r="B4170"/>
          <cell r="C4170"/>
          <cell r="D4170"/>
          <cell r="E4170"/>
          <cell r="F4170"/>
          <cell r="G4170">
            <v>0.02</v>
          </cell>
          <cell r="H4170"/>
          <cell r="I4170"/>
          <cell r="J4170"/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>
            <v>6.1000000000000004E-3</v>
          </cell>
        </row>
        <row r="4171">
          <cell r="A4171" t="str">
            <v>51940-631LF</v>
          </cell>
          <cell r="B4171"/>
          <cell r="C4171"/>
          <cell r="D4171"/>
          <cell r="E4171"/>
          <cell r="F4171"/>
          <cell r="G4171">
            <v>0.03</v>
          </cell>
          <cell r="H4171"/>
          <cell r="I4171"/>
          <cell r="J4171"/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>
            <v>1.0999999999999999E-2</v>
          </cell>
        </row>
        <row r="4172">
          <cell r="A4172" t="str">
            <v>51940-636LF</v>
          </cell>
          <cell r="B4172"/>
          <cell r="C4172"/>
          <cell r="D4172"/>
          <cell r="E4172"/>
          <cell r="F4172"/>
          <cell r="G4172">
            <v>3.3000000000000002E-2</v>
          </cell>
          <cell r="H4172"/>
          <cell r="I4172"/>
          <cell r="J4172"/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>
            <v>3.0000000000000001E-3</v>
          </cell>
        </row>
        <row r="4173">
          <cell r="A4173" t="str">
            <v>51940-641LF</v>
          </cell>
          <cell r="B4173"/>
          <cell r="C4173"/>
          <cell r="D4173"/>
          <cell r="E4173"/>
          <cell r="F4173"/>
          <cell r="G4173">
            <v>2.8000000000000001E-2</v>
          </cell>
          <cell r="H4173"/>
          <cell r="I4173"/>
          <cell r="J4173"/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>
            <v>6.1000000000000004E-3</v>
          </cell>
        </row>
        <row r="4174">
          <cell r="A4174" t="str">
            <v>51940-646LF</v>
          </cell>
          <cell r="B4174"/>
          <cell r="C4174"/>
          <cell r="D4174"/>
          <cell r="E4174"/>
          <cell r="F4174"/>
          <cell r="G4174">
            <v>2.7E-2</v>
          </cell>
          <cell r="H4174"/>
          <cell r="I4174"/>
          <cell r="J4174"/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>
            <v>6.1000000000000004E-3</v>
          </cell>
        </row>
        <row r="4175">
          <cell r="A4175" t="str">
            <v>51940-647LF</v>
          </cell>
          <cell r="B4175"/>
          <cell r="C4175"/>
          <cell r="D4175"/>
          <cell r="E4175"/>
          <cell r="F4175"/>
          <cell r="G4175">
            <v>3.1E-2</v>
          </cell>
          <cell r="H4175"/>
          <cell r="I4175"/>
          <cell r="J4175"/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>
            <v>6.1000000000000004E-3</v>
          </cell>
        </row>
        <row r="4176">
          <cell r="A4176" t="str">
            <v>51940-648LF</v>
          </cell>
          <cell r="B4176"/>
          <cell r="C4176"/>
          <cell r="D4176"/>
          <cell r="E4176"/>
          <cell r="F4176"/>
          <cell r="G4176">
            <v>2.7E-2</v>
          </cell>
          <cell r="H4176"/>
          <cell r="I4176"/>
          <cell r="J4176"/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>
            <v>1.2999999999999999E-2</v>
          </cell>
        </row>
        <row r="4177">
          <cell r="A4177" t="str">
            <v>51940-650LF</v>
          </cell>
          <cell r="B4177"/>
          <cell r="C4177"/>
          <cell r="D4177"/>
          <cell r="E4177"/>
          <cell r="F4177"/>
          <cell r="G4177">
            <v>4.7E-2</v>
          </cell>
          <cell r="H4177"/>
          <cell r="I4177"/>
          <cell r="J4177"/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>
            <v>1.3299999999999999E-2</v>
          </cell>
        </row>
        <row r="4178">
          <cell r="A4178" t="str">
            <v>51940-653LF</v>
          </cell>
          <cell r="B4178"/>
          <cell r="C4178"/>
          <cell r="D4178"/>
          <cell r="E4178"/>
          <cell r="F4178"/>
          <cell r="G4178">
            <v>1.0999999999999999E-2</v>
          </cell>
          <cell r="H4178"/>
          <cell r="I4178"/>
          <cell r="J4178"/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>
            <v>8.5000000000000006E-3</v>
          </cell>
        </row>
        <row r="4179">
          <cell r="A4179" t="str">
            <v>51940-655PLF</v>
          </cell>
          <cell r="B4179"/>
          <cell r="C4179"/>
          <cell r="D4179"/>
          <cell r="E4179"/>
          <cell r="F4179"/>
          <cell r="G4179">
            <v>3.4799999999999998E-2</v>
          </cell>
          <cell r="H4179"/>
          <cell r="I4179"/>
          <cell r="J4179"/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>
            <v>1.15E-2</v>
          </cell>
        </row>
        <row r="4180">
          <cell r="A4180" t="str">
            <v>51940-656LF</v>
          </cell>
          <cell r="B4180"/>
          <cell r="C4180"/>
          <cell r="D4180"/>
          <cell r="E4180"/>
          <cell r="F4180"/>
          <cell r="G4180">
            <v>2.5000000000000001E-2</v>
          </cell>
          <cell r="H4180"/>
          <cell r="I4180"/>
          <cell r="J4180"/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>
            <v>7.6E-3</v>
          </cell>
        </row>
        <row r="4181">
          <cell r="A4181" t="str">
            <v>51940-657LF</v>
          </cell>
          <cell r="B4181"/>
          <cell r="C4181"/>
          <cell r="D4181"/>
          <cell r="E4181"/>
          <cell r="F4181"/>
          <cell r="G4181">
            <v>7.8E-2</v>
          </cell>
          <cell r="H4181"/>
          <cell r="I4181"/>
          <cell r="J4181"/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>
            <v>6.1000000000000004E-3</v>
          </cell>
        </row>
        <row r="4182">
          <cell r="A4182" t="str">
            <v>51940-658LF</v>
          </cell>
          <cell r="B4182"/>
          <cell r="C4182"/>
          <cell r="D4182"/>
          <cell r="E4182"/>
          <cell r="F4182"/>
          <cell r="G4182">
            <v>1.8499999999999999E-2</v>
          </cell>
          <cell r="H4182"/>
          <cell r="I4182"/>
          <cell r="J4182"/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>
            <v>3.8999999999999998E-3</v>
          </cell>
        </row>
        <row r="4183">
          <cell r="A4183" t="str">
            <v>51940-660LF</v>
          </cell>
          <cell r="B4183"/>
          <cell r="C4183"/>
          <cell r="D4183"/>
          <cell r="E4183"/>
          <cell r="F4183"/>
          <cell r="G4183">
            <v>1.7999999999999999E-2</v>
          </cell>
          <cell r="H4183"/>
          <cell r="I4183"/>
          <cell r="J4183"/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>
            <v>9.4000000000000004E-3</v>
          </cell>
        </row>
        <row r="4184">
          <cell r="A4184" t="str">
            <v>51940-662LF</v>
          </cell>
          <cell r="B4184"/>
          <cell r="C4184"/>
          <cell r="D4184"/>
          <cell r="E4184"/>
          <cell r="F4184"/>
          <cell r="G4184">
            <v>2.3E-2</v>
          </cell>
          <cell r="H4184"/>
          <cell r="I4184"/>
          <cell r="J4184"/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>
            <v>1.4E-2</v>
          </cell>
        </row>
        <row r="4185">
          <cell r="A4185" t="str">
            <v>51940-663LF</v>
          </cell>
          <cell r="B4185"/>
          <cell r="C4185"/>
          <cell r="D4185"/>
          <cell r="E4185"/>
          <cell r="F4185"/>
          <cell r="G4185">
            <v>1.7999999999999999E-2</v>
          </cell>
          <cell r="H4185"/>
          <cell r="I4185"/>
          <cell r="J4185"/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>
            <v>4.4000000000000003E-3</v>
          </cell>
        </row>
        <row r="4186">
          <cell r="A4186" t="str">
            <v>51940-664LF</v>
          </cell>
          <cell r="B4186"/>
          <cell r="C4186"/>
          <cell r="D4186"/>
          <cell r="E4186"/>
          <cell r="F4186"/>
          <cell r="G4186">
            <v>2.58E-2</v>
          </cell>
          <cell r="H4186"/>
          <cell r="I4186"/>
          <cell r="J4186"/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>
            <v>1.7899999999999999E-2</v>
          </cell>
        </row>
        <row r="4187">
          <cell r="A4187" t="str">
            <v>51940-665LF</v>
          </cell>
          <cell r="B4187"/>
          <cell r="C4187"/>
          <cell r="D4187"/>
          <cell r="E4187"/>
          <cell r="F4187"/>
          <cell r="G4187">
            <v>1.9800000000000002E-2</v>
          </cell>
          <cell r="H4187"/>
          <cell r="I4187"/>
          <cell r="J4187"/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>
            <v>9.7999999999999997E-3</v>
          </cell>
        </row>
        <row r="4188">
          <cell r="A4188" t="str">
            <v>51940-667LF</v>
          </cell>
          <cell r="B4188"/>
          <cell r="C4188"/>
          <cell r="D4188"/>
          <cell r="E4188"/>
          <cell r="F4188"/>
          <cell r="G4188">
            <v>1.44E-2</v>
          </cell>
          <cell r="H4188"/>
          <cell r="I4188"/>
          <cell r="J4188"/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>
            <v>7.6E-3</v>
          </cell>
        </row>
        <row r="4189">
          <cell r="A4189" t="str">
            <v>51940-668LF</v>
          </cell>
          <cell r="B4189"/>
          <cell r="C4189"/>
          <cell r="D4189"/>
          <cell r="E4189"/>
          <cell r="F4189"/>
          <cell r="G4189">
            <v>1.4999999999999999E-2</v>
          </cell>
          <cell r="H4189"/>
          <cell r="I4189"/>
          <cell r="J4189"/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>
            <v>5.0000000000000001E-3</v>
          </cell>
        </row>
        <row r="4190">
          <cell r="A4190" t="str">
            <v>51940-669PLF</v>
          </cell>
          <cell r="B4190"/>
          <cell r="C4190"/>
          <cell r="D4190"/>
          <cell r="E4190"/>
          <cell r="F4190"/>
          <cell r="G4190">
            <v>0.01</v>
          </cell>
          <cell r="H4190"/>
          <cell r="I4190"/>
          <cell r="J4190"/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>
            <v>3.0000000000000001E-3</v>
          </cell>
        </row>
        <row r="4191">
          <cell r="A4191" t="str">
            <v>51940-674LF</v>
          </cell>
          <cell r="B4191"/>
          <cell r="C4191"/>
          <cell r="D4191"/>
          <cell r="E4191"/>
          <cell r="F4191"/>
          <cell r="G4191">
            <v>2.4799999999999999E-2</v>
          </cell>
          <cell r="H4191"/>
          <cell r="I4191"/>
          <cell r="J4191"/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>
            <v>1.7500000000000002E-2</v>
          </cell>
        </row>
        <row r="4192">
          <cell r="A4192" t="str">
            <v>51940-676LF</v>
          </cell>
          <cell r="B4192"/>
          <cell r="C4192"/>
          <cell r="D4192"/>
          <cell r="E4192"/>
          <cell r="F4192"/>
          <cell r="G4192">
            <v>1.3899999999999999E-2</v>
          </cell>
          <cell r="H4192"/>
          <cell r="I4192"/>
          <cell r="J4192"/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>
            <v>2.7000000000000001E-3</v>
          </cell>
        </row>
        <row r="4193">
          <cell r="A4193" t="str">
            <v>51940-677LF</v>
          </cell>
          <cell r="B4193"/>
          <cell r="C4193"/>
          <cell r="D4193"/>
          <cell r="E4193"/>
          <cell r="F4193"/>
          <cell r="G4193">
            <v>1.8700000000000001E-2</v>
          </cell>
          <cell r="H4193"/>
          <cell r="I4193"/>
          <cell r="J4193"/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>
            <v>1.1299999999999999E-2</v>
          </cell>
        </row>
        <row r="4194">
          <cell r="A4194" t="str">
            <v>51940-679PELF</v>
          </cell>
          <cell r="B4194"/>
          <cell r="C4194"/>
          <cell r="D4194"/>
          <cell r="E4194"/>
          <cell r="F4194"/>
          <cell r="G4194">
            <v>2.9513900000000003E-2</v>
          </cell>
          <cell r="H4194"/>
          <cell r="I4194"/>
          <cell r="J4194"/>
          <cell r="K4194"/>
          <cell r="L4194"/>
          <cell r="M4194"/>
          <cell r="N4194">
            <v>3.6458299999999999E-2</v>
          </cell>
          <cell r="O4194"/>
          <cell r="P4194"/>
          <cell r="Q4194"/>
          <cell r="R4194"/>
          <cell r="S4194"/>
          <cell r="T4194"/>
          <cell r="U4194"/>
          <cell r="V4194"/>
          <cell r="W4194">
            <v>7.3000000000000001E-3</v>
          </cell>
        </row>
        <row r="4195">
          <cell r="A4195" t="str">
            <v>51940-679PLF</v>
          </cell>
          <cell r="B4195"/>
          <cell r="C4195"/>
          <cell r="D4195"/>
          <cell r="E4195"/>
          <cell r="F4195"/>
          <cell r="G4195">
            <v>2.5000000000000001E-2</v>
          </cell>
          <cell r="H4195"/>
          <cell r="I4195"/>
          <cell r="J4195"/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>
            <v>7.3000000000000001E-3</v>
          </cell>
        </row>
        <row r="4196">
          <cell r="A4196" t="str">
            <v>51940-681LF</v>
          </cell>
          <cell r="B4196"/>
          <cell r="C4196"/>
          <cell r="D4196"/>
          <cell r="E4196"/>
          <cell r="F4196"/>
          <cell r="G4196">
            <v>4.4499999999999998E-2</v>
          </cell>
          <cell r="H4196"/>
          <cell r="I4196"/>
          <cell r="J4196"/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>
            <v>1.4500000000000001E-2</v>
          </cell>
        </row>
        <row r="4197">
          <cell r="A4197" t="str">
            <v>51940-682LF</v>
          </cell>
          <cell r="B4197"/>
          <cell r="C4197"/>
          <cell r="D4197"/>
          <cell r="E4197"/>
          <cell r="F4197"/>
          <cell r="G4197">
            <v>1.7999999999999999E-2</v>
          </cell>
          <cell r="H4197"/>
          <cell r="I4197"/>
          <cell r="J4197"/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>
            <v>1.8E-3</v>
          </cell>
        </row>
        <row r="4198">
          <cell r="A4198" t="str">
            <v>51940-683LF</v>
          </cell>
          <cell r="B4198"/>
          <cell r="C4198"/>
          <cell r="D4198"/>
          <cell r="E4198"/>
          <cell r="F4198"/>
          <cell r="G4198">
            <v>2.35E-2</v>
          </cell>
          <cell r="H4198"/>
          <cell r="I4198"/>
          <cell r="J4198"/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>
            <v>8.9999999999999993E-3</v>
          </cell>
        </row>
        <row r="4199">
          <cell r="A4199" t="str">
            <v>51940-684LF</v>
          </cell>
          <cell r="B4199"/>
          <cell r="C4199"/>
          <cell r="D4199"/>
          <cell r="E4199"/>
          <cell r="F4199"/>
          <cell r="G4199">
            <v>2.1000000000000001E-2</v>
          </cell>
          <cell r="H4199"/>
          <cell r="I4199"/>
          <cell r="J4199"/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>
            <v>1.0999999999999999E-2</v>
          </cell>
        </row>
        <row r="4200">
          <cell r="A4200" t="str">
            <v>51940-686LF</v>
          </cell>
          <cell r="B4200"/>
          <cell r="C4200"/>
          <cell r="D4200"/>
          <cell r="E4200"/>
          <cell r="F4200"/>
          <cell r="G4200">
            <v>1.0999999999999999E-2</v>
          </cell>
          <cell r="H4200"/>
          <cell r="I4200"/>
          <cell r="J4200"/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>
            <v>1.4E-2</v>
          </cell>
        </row>
        <row r="4201">
          <cell r="A4201" t="str">
            <v>51940-687LF</v>
          </cell>
          <cell r="B4201"/>
          <cell r="C4201"/>
          <cell r="D4201"/>
          <cell r="E4201"/>
          <cell r="F4201"/>
          <cell r="G4201">
            <v>1.7500000000000002E-2</v>
          </cell>
          <cell r="H4201"/>
          <cell r="I4201"/>
          <cell r="J4201"/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>
            <v>6.1999999999999998E-3</v>
          </cell>
        </row>
        <row r="4202">
          <cell r="A4202" t="str">
            <v>51940-690LF</v>
          </cell>
          <cell r="B4202"/>
          <cell r="C4202"/>
          <cell r="D4202"/>
          <cell r="E4202"/>
          <cell r="F4202"/>
          <cell r="G4202">
            <v>3.1E-2</v>
          </cell>
          <cell r="H4202"/>
          <cell r="I4202"/>
          <cell r="J4202"/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>
            <v>4.3E-3</v>
          </cell>
        </row>
        <row r="4203">
          <cell r="A4203" t="str">
            <v>51940-691LF</v>
          </cell>
          <cell r="B4203"/>
          <cell r="C4203"/>
          <cell r="D4203"/>
          <cell r="E4203"/>
          <cell r="F4203"/>
          <cell r="G4203">
            <v>5.1999999999999998E-2</v>
          </cell>
          <cell r="H4203"/>
          <cell r="I4203"/>
          <cell r="J4203"/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>
            <v>3.1E-2</v>
          </cell>
        </row>
        <row r="4204">
          <cell r="A4204" t="str">
            <v>51940-692LF</v>
          </cell>
          <cell r="B4204"/>
          <cell r="C4204"/>
          <cell r="D4204"/>
          <cell r="E4204"/>
          <cell r="F4204"/>
          <cell r="G4204">
            <v>1.7999999999999999E-2</v>
          </cell>
          <cell r="H4204"/>
          <cell r="I4204"/>
          <cell r="J4204"/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>
            <v>5.1000000000000004E-3</v>
          </cell>
        </row>
        <row r="4205">
          <cell r="A4205" t="str">
            <v>51940-694LF</v>
          </cell>
          <cell r="B4205"/>
          <cell r="C4205"/>
          <cell r="D4205"/>
          <cell r="E4205"/>
          <cell r="F4205"/>
          <cell r="G4205">
            <v>2.3E-2</v>
          </cell>
          <cell r="H4205"/>
          <cell r="I4205"/>
          <cell r="J4205"/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>
            <v>9.5999999999999992E-3</v>
          </cell>
        </row>
        <row r="4206">
          <cell r="A4206" t="str">
            <v>51940-695LF</v>
          </cell>
          <cell r="B4206"/>
          <cell r="C4206"/>
          <cell r="D4206"/>
          <cell r="E4206"/>
          <cell r="F4206"/>
          <cell r="G4206">
            <v>3.3000000000000002E-2</v>
          </cell>
          <cell r="H4206"/>
          <cell r="I4206"/>
          <cell r="J4206"/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>
            <v>1.7899999999999999E-2</v>
          </cell>
        </row>
        <row r="4207">
          <cell r="A4207" t="str">
            <v>51940-696LHLF</v>
          </cell>
          <cell r="B4207"/>
          <cell r="C4207"/>
          <cell r="D4207"/>
          <cell r="E4207"/>
          <cell r="F4207"/>
          <cell r="G4207">
            <v>1.9E-2</v>
          </cell>
          <cell r="H4207"/>
          <cell r="I4207"/>
          <cell r="J4207"/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>
            <v>8.6E-3</v>
          </cell>
        </row>
        <row r="4208">
          <cell r="A4208" t="str">
            <v>51940-697LF</v>
          </cell>
          <cell r="B4208"/>
          <cell r="C4208"/>
          <cell r="D4208"/>
          <cell r="E4208"/>
          <cell r="F4208"/>
          <cell r="G4208">
            <v>2.1499999999999998E-2</v>
          </cell>
          <cell r="H4208"/>
          <cell r="I4208"/>
          <cell r="J4208"/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>
            <v>8.0000000000000002E-3</v>
          </cell>
        </row>
        <row r="4209">
          <cell r="A4209" t="str">
            <v>51940-699LF</v>
          </cell>
          <cell r="B4209"/>
          <cell r="C4209"/>
          <cell r="D4209"/>
          <cell r="E4209"/>
          <cell r="F4209"/>
          <cell r="G4209">
            <v>1.4500000000000001E-2</v>
          </cell>
          <cell r="H4209"/>
          <cell r="I4209"/>
          <cell r="J4209"/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>
            <v>3.5000000000000003E-2</v>
          </cell>
        </row>
        <row r="4210">
          <cell r="A4210" t="str">
            <v>51940-700LF</v>
          </cell>
          <cell r="B4210"/>
          <cell r="C4210"/>
          <cell r="D4210"/>
          <cell r="E4210"/>
          <cell r="F4210"/>
          <cell r="G4210">
            <v>2.7E-2</v>
          </cell>
          <cell r="H4210"/>
          <cell r="I4210"/>
          <cell r="J4210"/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>
            <v>1.2999999999999999E-2</v>
          </cell>
        </row>
        <row r="4211">
          <cell r="A4211" t="str">
            <v>51940-702LF</v>
          </cell>
          <cell r="B4211"/>
          <cell r="C4211"/>
          <cell r="D4211"/>
          <cell r="E4211"/>
          <cell r="F4211"/>
          <cell r="G4211">
            <v>1.4500000000000001E-2</v>
          </cell>
          <cell r="H4211"/>
          <cell r="I4211"/>
          <cell r="J4211"/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>
            <v>1.4999999999999999E-2</v>
          </cell>
        </row>
        <row r="4212">
          <cell r="A4212" t="str">
            <v>51940-707PLF</v>
          </cell>
          <cell r="B4212"/>
          <cell r="C4212"/>
          <cell r="D4212"/>
          <cell r="E4212"/>
          <cell r="F4212"/>
          <cell r="G4212">
            <v>3.4799999999999998E-2</v>
          </cell>
          <cell r="H4212"/>
          <cell r="I4212"/>
          <cell r="J4212"/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>
            <v>1.15E-2</v>
          </cell>
        </row>
        <row r="4213">
          <cell r="A4213" t="str">
            <v>51940-708LF</v>
          </cell>
          <cell r="B4213"/>
          <cell r="C4213"/>
          <cell r="D4213"/>
          <cell r="E4213"/>
          <cell r="F4213"/>
          <cell r="G4213">
            <v>1.9E-2</v>
          </cell>
          <cell r="H4213"/>
          <cell r="I4213"/>
          <cell r="J4213"/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>
            <v>8.0000000000000002E-3</v>
          </cell>
        </row>
        <row r="4214">
          <cell r="A4214" t="str">
            <v>51940-709LF</v>
          </cell>
          <cell r="B4214"/>
          <cell r="C4214"/>
          <cell r="D4214"/>
          <cell r="E4214"/>
          <cell r="F4214"/>
          <cell r="G4214">
            <v>2.1999999999999999E-2</v>
          </cell>
          <cell r="H4214"/>
          <cell r="I4214"/>
          <cell r="J4214"/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>
            <v>7.0000000000000001E-3</v>
          </cell>
        </row>
        <row r="4215">
          <cell r="A4215" t="str">
            <v>51940-710LF</v>
          </cell>
          <cell r="B4215"/>
          <cell r="C4215"/>
          <cell r="D4215"/>
          <cell r="E4215"/>
          <cell r="F4215"/>
          <cell r="G4215">
            <v>1.6E-2</v>
          </cell>
          <cell r="H4215"/>
          <cell r="I4215"/>
          <cell r="J4215"/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>
            <v>3.8E-3</v>
          </cell>
        </row>
        <row r="4216">
          <cell r="A4216" t="str">
            <v>51940-711FLF</v>
          </cell>
          <cell r="B4216"/>
          <cell r="C4216"/>
          <cell r="D4216"/>
          <cell r="E4216"/>
          <cell r="F4216"/>
          <cell r="G4216">
            <v>2.1499999999999998E-2</v>
          </cell>
          <cell r="H4216"/>
          <cell r="I4216"/>
          <cell r="J4216"/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>
            <v>5.5999999999999999E-3</v>
          </cell>
        </row>
        <row r="4217">
          <cell r="A4217" t="str">
            <v>51940-712FLF</v>
          </cell>
          <cell r="B4217"/>
          <cell r="C4217"/>
          <cell r="D4217"/>
          <cell r="E4217"/>
          <cell r="F4217"/>
          <cell r="G4217">
            <v>1.95E-2</v>
          </cell>
          <cell r="H4217"/>
          <cell r="I4217"/>
          <cell r="J4217"/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>
            <v>7.7999999999999996E-3</v>
          </cell>
        </row>
        <row r="4218">
          <cell r="A4218" t="str">
            <v>51940-713LF</v>
          </cell>
          <cell r="B4218"/>
          <cell r="C4218"/>
          <cell r="D4218"/>
          <cell r="E4218"/>
          <cell r="F4218"/>
          <cell r="G4218">
            <v>1.4999999999999999E-2</v>
          </cell>
          <cell r="H4218"/>
          <cell r="I4218"/>
          <cell r="J4218"/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>
            <v>4.0000000000000001E-3</v>
          </cell>
        </row>
        <row r="4219">
          <cell r="A4219" t="str">
            <v>51940-716FLF</v>
          </cell>
          <cell r="B4219"/>
          <cell r="C4219"/>
          <cell r="D4219"/>
          <cell r="E4219"/>
          <cell r="F4219"/>
          <cell r="G4219">
            <v>2.5000000000000001E-2</v>
          </cell>
          <cell r="H4219"/>
          <cell r="I4219"/>
          <cell r="J4219"/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>
            <v>1.0999999999999999E-2</v>
          </cell>
        </row>
        <row r="4220">
          <cell r="A4220" t="str">
            <v>51940-717FLF</v>
          </cell>
          <cell r="B4220"/>
          <cell r="C4220"/>
          <cell r="D4220"/>
          <cell r="E4220"/>
          <cell r="F4220"/>
          <cell r="G4220">
            <v>2.3E-2</v>
          </cell>
          <cell r="H4220"/>
          <cell r="I4220"/>
          <cell r="J4220"/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>
            <v>6.0000000000000001E-3</v>
          </cell>
        </row>
        <row r="4221">
          <cell r="A4221" t="str">
            <v>51940-719FLF</v>
          </cell>
          <cell r="B4221"/>
          <cell r="C4221"/>
          <cell r="D4221"/>
          <cell r="E4221"/>
          <cell r="F4221"/>
          <cell r="G4221">
            <v>2.3E-2</v>
          </cell>
          <cell r="H4221"/>
          <cell r="I4221"/>
          <cell r="J4221"/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>
            <v>8.8000000000000005E-3</v>
          </cell>
        </row>
        <row r="4222">
          <cell r="A4222" t="str">
            <v>51940-721FLF</v>
          </cell>
          <cell r="B4222"/>
          <cell r="C4222"/>
          <cell r="D4222"/>
          <cell r="E4222"/>
          <cell r="F4222"/>
          <cell r="G4222">
            <v>1.9199999999999998E-2</v>
          </cell>
          <cell r="H4222"/>
          <cell r="I4222"/>
          <cell r="J4222"/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>
            <v>1.44E-2</v>
          </cell>
        </row>
        <row r="4223">
          <cell r="A4223" t="str">
            <v>51940-725LF</v>
          </cell>
          <cell r="B4223"/>
          <cell r="C4223"/>
          <cell r="D4223"/>
          <cell r="E4223"/>
          <cell r="F4223"/>
          <cell r="G4223">
            <v>3.3000000000000002E-2</v>
          </cell>
          <cell r="H4223"/>
          <cell r="I4223"/>
          <cell r="J4223"/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>
            <v>3.0000000000000001E-3</v>
          </cell>
        </row>
        <row r="4224">
          <cell r="A4224" t="str">
            <v>51940-726FLF</v>
          </cell>
          <cell r="B4224"/>
          <cell r="C4224"/>
          <cell r="D4224"/>
          <cell r="E4224"/>
          <cell r="F4224"/>
          <cell r="G4224">
            <v>1.55E-2</v>
          </cell>
          <cell r="H4224"/>
          <cell r="I4224"/>
          <cell r="J4224"/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>
            <v>4.1999999999999997E-3</v>
          </cell>
        </row>
        <row r="4225">
          <cell r="A4225" t="str">
            <v>51940-728FLF</v>
          </cell>
          <cell r="B4225"/>
          <cell r="C4225"/>
          <cell r="D4225"/>
          <cell r="E4225"/>
          <cell r="F4225"/>
          <cell r="G4225">
            <v>2.5999999999999999E-2</v>
          </cell>
          <cell r="H4225"/>
          <cell r="I4225"/>
          <cell r="J4225"/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>
            <v>1.2E-2</v>
          </cell>
        </row>
        <row r="4226">
          <cell r="A4226" t="str">
            <v>51940-729PLF</v>
          </cell>
          <cell r="B4226"/>
          <cell r="C4226"/>
          <cell r="D4226"/>
          <cell r="E4226"/>
          <cell r="F4226"/>
          <cell r="G4226">
            <v>3.4799999999999998E-2</v>
          </cell>
          <cell r="H4226"/>
          <cell r="I4226"/>
          <cell r="J4226"/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>
            <v>1.15E-2</v>
          </cell>
        </row>
        <row r="4227">
          <cell r="A4227" t="str">
            <v>51940-734LF</v>
          </cell>
          <cell r="B4227"/>
          <cell r="C4227"/>
          <cell r="D4227"/>
          <cell r="E4227"/>
          <cell r="F4227"/>
          <cell r="G4227">
            <v>7.7999999999999996E-3</v>
          </cell>
          <cell r="H4227"/>
          <cell r="I4227"/>
          <cell r="J4227"/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>
            <v>1.0699999999999999E-2</v>
          </cell>
        </row>
        <row r="4228">
          <cell r="A4228" t="str">
            <v>51940-735PLF</v>
          </cell>
          <cell r="B4228"/>
          <cell r="C4228"/>
          <cell r="D4228"/>
          <cell r="E4228"/>
          <cell r="F4228"/>
          <cell r="G4228">
            <v>2.9000000000000001E-2</v>
          </cell>
          <cell r="H4228"/>
          <cell r="I4228"/>
          <cell r="J4228"/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>
            <v>0.04</v>
          </cell>
        </row>
        <row r="4229">
          <cell r="A4229" t="str">
            <v>51940-736PLF</v>
          </cell>
          <cell r="B4229"/>
          <cell r="C4229"/>
          <cell r="D4229"/>
          <cell r="E4229"/>
          <cell r="F4229"/>
          <cell r="G4229">
            <v>1.55E-2</v>
          </cell>
          <cell r="H4229"/>
          <cell r="I4229"/>
          <cell r="J4229"/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>
            <v>1.8499999999999999E-2</v>
          </cell>
        </row>
        <row r="4230">
          <cell r="A4230" t="str">
            <v>51940-739LF</v>
          </cell>
          <cell r="B4230"/>
          <cell r="C4230"/>
          <cell r="D4230"/>
          <cell r="E4230"/>
          <cell r="F4230"/>
          <cell r="G4230">
            <v>1.7899999999999999E-2</v>
          </cell>
          <cell r="H4230"/>
          <cell r="I4230"/>
          <cell r="J4230"/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>
            <v>7.7999999999999996E-3</v>
          </cell>
        </row>
        <row r="4231">
          <cell r="A4231" t="str">
            <v>51940-745FLF</v>
          </cell>
          <cell r="B4231"/>
          <cell r="C4231"/>
          <cell r="D4231"/>
          <cell r="E4231"/>
          <cell r="F4231"/>
          <cell r="G4231">
            <v>2.1000000000000001E-2</v>
          </cell>
          <cell r="H4231"/>
          <cell r="I4231"/>
          <cell r="J4231"/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>
            <v>5.0000000000000001E-3</v>
          </cell>
        </row>
        <row r="4232">
          <cell r="A4232" t="str">
            <v>51940-746PHDPLF</v>
          </cell>
          <cell r="B4232"/>
          <cell r="C4232"/>
          <cell r="D4232"/>
          <cell r="E4232"/>
          <cell r="F4232"/>
          <cell r="G4232">
            <v>8.2000000000000007E-3</v>
          </cell>
          <cell r="H4232"/>
          <cell r="I4232"/>
          <cell r="J4232"/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>
            <v>1.24E-2</v>
          </cell>
        </row>
        <row r="4233">
          <cell r="A4233" t="str">
            <v>51940-747FLF</v>
          </cell>
          <cell r="B4233"/>
          <cell r="C4233"/>
          <cell r="D4233"/>
          <cell r="E4233"/>
          <cell r="F4233"/>
          <cell r="G4233">
            <v>1.4E-2</v>
          </cell>
          <cell r="H4233"/>
          <cell r="I4233"/>
          <cell r="J4233"/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>
            <v>3.0000000000000001E-3</v>
          </cell>
        </row>
        <row r="4234">
          <cell r="A4234" t="str">
            <v>51940-748FLF</v>
          </cell>
          <cell r="B4234"/>
          <cell r="C4234"/>
          <cell r="D4234"/>
          <cell r="E4234"/>
          <cell r="F4234"/>
          <cell r="G4234">
            <v>1.4E-2</v>
          </cell>
          <cell r="H4234"/>
          <cell r="I4234"/>
          <cell r="J4234"/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>
            <v>3.0000000000000001E-3</v>
          </cell>
        </row>
        <row r="4235">
          <cell r="A4235" t="str">
            <v>51940-749LF</v>
          </cell>
          <cell r="B4235"/>
          <cell r="C4235"/>
          <cell r="D4235"/>
          <cell r="E4235"/>
          <cell r="F4235"/>
          <cell r="G4235">
            <v>6.6667000000000002E-3</v>
          </cell>
          <cell r="H4235"/>
          <cell r="I4235"/>
          <cell r="J4235"/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>
            <v>3.3333E-3</v>
          </cell>
        </row>
        <row r="4236">
          <cell r="A4236" t="str">
            <v>51940-752FLF</v>
          </cell>
          <cell r="B4236"/>
          <cell r="C4236"/>
          <cell r="D4236"/>
          <cell r="E4236"/>
          <cell r="F4236"/>
          <cell r="G4236">
            <v>0.02</v>
          </cell>
          <cell r="H4236"/>
          <cell r="I4236"/>
          <cell r="J4236"/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>
            <v>4.0000000000000001E-3</v>
          </cell>
        </row>
        <row r="4237">
          <cell r="A4237" t="str">
            <v>51952-376PELF</v>
          </cell>
          <cell r="B4237"/>
          <cell r="C4237"/>
          <cell r="D4237"/>
          <cell r="E4237"/>
          <cell r="F4237"/>
          <cell r="G4237">
            <v>4.5139000000000004E-3</v>
          </cell>
          <cell r="H4237"/>
          <cell r="I4237"/>
          <cell r="J4237"/>
          <cell r="K4237"/>
          <cell r="L4237"/>
          <cell r="M4237"/>
          <cell r="N4237">
            <v>4.2708299999999998E-2</v>
          </cell>
          <cell r="O4237"/>
          <cell r="P4237"/>
          <cell r="Q4237"/>
          <cell r="R4237"/>
          <cell r="S4237"/>
          <cell r="T4237"/>
          <cell r="U4237"/>
          <cell r="V4237"/>
          <cell r="W4237"/>
        </row>
        <row r="4238">
          <cell r="A4238" t="str">
            <v>51955-001LF</v>
          </cell>
          <cell r="B4238"/>
          <cell r="C4238"/>
          <cell r="D4238"/>
          <cell r="E4238"/>
          <cell r="F4238"/>
          <cell r="G4238">
            <v>1.0200000000000001E-2</v>
          </cell>
          <cell r="H4238"/>
          <cell r="I4238"/>
          <cell r="J4238"/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>
            <v>3.0000000000000001E-3</v>
          </cell>
        </row>
        <row r="4239">
          <cell r="A4239" t="str">
            <v>51966-10000800ABLF</v>
          </cell>
          <cell r="B4239"/>
          <cell r="C4239"/>
          <cell r="D4239"/>
          <cell r="E4239"/>
          <cell r="F4239"/>
          <cell r="G4239">
            <v>2.1000000000000001E-2</v>
          </cell>
          <cell r="H4239"/>
          <cell r="I4239"/>
          <cell r="J4239"/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>
            <v>2E-3</v>
          </cell>
        </row>
        <row r="4240">
          <cell r="A4240" t="str">
            <v>51966-10001200AALF</v>
          </cell>
          <cell r="B4240"/>
          <cell r="C4240"/>
          <cell r="D4240"/>
          <cell r="E4240"/>
          <cell r="F4240"/>
          <cell r="G4240">
            <v>2.1999999999999999E-2</v>
          </cell>
          <cell r="H4240"/>
          <cell r="I4240"/>
          <cell r="J4240"/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>
            <v>2E-3</v>
          </cell>
        </row>
        <row r="4241">
          <cell r="A4241" t="str">
            <v>51966-10001600AALF</v>
          </cell>
          <cell r="B4241"/>
          <cell r="C4241"/>
          <cell r="D4241"/>
          <cell r="E4241"/>
          <cell r="F4241"/>
          <cell r="G4241">
            <v>1.06E-2</v>
          </cell>
          <cell r="H4241"/>
          <cell r="I4241"/>
          <cell r="J4241"/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>
            <v>2E-3</v>
          </cell>
        </row>
        <row r="4242">
          <cell r="A4242" t="str">
            <v>51966-10001600ABLF</v>
          </cell>
          <cell r="B4242"/>
          <cell r="C4242"/>
          <cell r="D4242"/>
          <cell r="E4242"/>
          <cell r="F4242"/>
          <cell r="G4242">
            <v>2.1000000000000001E-2</v>
          </cell>
          <cell r="H4242"/>
          <cell r="I4242"/>
          <cell r="J4242"/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>
            <v>2E-3</v>
          </cell>
        </row>
        <row r="4243">
          <cell r="A4243" t="str">
            <v>51966-10002000AALF</v>
          </cell>
          <cell r="B4243"/>
          <cell r="C4243"/>
          <cell r="D4243"/>
          <cell r="E4243"/>
          <cell r="F4243"/>
          <cell r="G4243">
            <v>1.7500000000000002E-2</v>
          </cell>
          <cell r="H4243"/>
          <cell r="I4243"/>
          <cell r="J4243"/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>
            <v>1.6000000000000001E-3</v>
          </cell>
        </row>
        <row r="4244">
          <cell r="A4244" t="str">
            <v>51966-10002400AALF</v>
          </cell>
          <cell r="B4244"/>
          <cell r="C4244"/>
          <cell r="D4244"/>
          <cell r="E4244"/>
          <cell r="F4244"/>
          <cell r="G4244">
            <v>2.1999999999999999E-2</v>
          </cell>
          <cell r="H4244"/>
          <cell r="I4244"/>
          <cell r="J4244"/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>
            <v>2E-3</v>
          </cell>
        </row>
        <row r="4245">
          <cell r="A4245" t="str">
            <v>51966-10003200AALF</v>
          </cell>
          <cell r="B4245"/>
          <cell r="C4245"/>
          <cell r="D4245"/>
          <cell r="E4245"/>
          <cell r="F4245"/>
          <cell r="G4245">
            <v>1.8980344E-2</v>
          </cell>
          <cell r="H4245"/>
          <cell r="I4245"/>
          <cell r="J4245"/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>
            <v>1.6000000000000001E-3</v>
          </cell>
        </row>
        <row r="4246">
          <cell r="A4246" t="str">
            <v>51966-10003200ABLF</v>
          </cell>
          <cell r="B4246"/>
          <cell r="C4246"/>
          <cell r="D4246"/>
          <cell r="E4246"/>
          <cell r="F4246"/>
          <cell r="G4246">
            <v>2.1000000000000001E-2</v>
          </cell>
          <cell r="H4246"/>
          <cell r="I4246"/>
          <cell r="J4246"/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>
            <v>2E-3</v>
          </cell>
        </row>
        <row r="4247">
          <cell r="A4247" t="str">
            <v>51966-10003600AALF</v>
          </cell>
          <cell r="B4247"/>
          <cell r="C4247"/>
          <cell r="D4247"/>
          <cell r="E4247"/>
          <cell r="F4247"/>
          <cell r="G4247">
            <v>2.1999999999999999E-2</v>
          </cell>
          <cell r="H4247"/>
          <cell r="I4247"/>
          <cell r="J4247"/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>
            <v>2E-3</v>
          </cell>
        </row>
        <row r="4248">
          <cell r="A4248" t="str">
            <v>51966-10004000AALF</v>
          </cell>
          <cell r="B4248"/>
          <cell r="C4248"/>
          <cell r="D4248"/>
          <cell r="E4248"/>
          <cell r="F4248"/>
          <cell r="G4248">
            <v>6.1800000000000001E-2</v>
          </cell>
          <cell r="H4248"/>
          <cell r="I4248"/>
          <cell r="J4248"/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>
            <v>2E-3</v>
          </cell>
        </row>
        <row r="4249">
          <cell r="A4249" t="str">
            <v>51966-10004000ABLF</v>
          </cell>
          <cell r="B4249"/>
          <cell r="C4249"/>
          <cell r="D4249"/>
          <cell r="E4249"/>
          <cell r="F4249"/>
          <cell r="G4249">
            <v>2.1000000000000001E-2</v>
          </cell>
          <cell r="H4249"/>
          <cell r="I4249"/>
          <cell r="J4249"/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>
            <v>2E-3</v>
          </cell>
        </row>
        <row r="4250">
          <cell r="A4250" t="str">
            <v>51966-10004400AALF</v>
          </cell>
          <cell r="B4250"/>
          <cell r="C4250"/>
          <cell r="D4250"/>
          <cell r="E4250"/>
          <cell r="F4250"/>
          <cell r="G4250">
            <v>2.1000000000000001E-2</v>
          </cell>
          <cell r="H4250"/>
          <cell r="I4250"/>
          <cell r="J4250"/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>
            <v>3.0000000000000001E-3</v>
          </cell>
        </row>
        <row r="4251">
          <cell r="A4251" t="str">
            <v>51966-10004800AALF</v>
          </cell>
          <cell r="B4251"/>
          <cell r="C4251"/>
          <cell r="D4251"/>
          <cell r="E4251"/>
          <cell r="F4251"/>
          <cell r="G4251">
            <v>2.1999999999999999E-2</v>
          </cell>
          <cell r="H4251"/>
          <cell r="I4251"/>
          <cell r="J4251"/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>
            <v>2E-3</v>
          </cell>
        </row>
        <row r="4252">
          <cell r="A4252" t="str">
            <v>51966-10004800ABLF</v>
          </cell>
          <cell r="B4252"/>
          <cell r="C4252"/>
          <cell r="D4252"/>
          <cell r="E4252"/>
          <cell r="F4252"/>
          <cell r="G4252">
            <v>1.9599999999999999E-2</v>
          </cell>
          <cell r="H4252"/>
          <cell r="I4252"/>
          <cell r="J4252"/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>
            <v>1.6000000000000001E-3</v>
          </cell>
        </row>
        <row r="4253">
          <cell r="A4253" t="str">
            <v>51966-10005200ABLF</v>
          </cell>
          <cell r="B4253"/>
          <cell r="C4253"/>
          <cell r="D4253"/>
          <cell r="E4253"/>
          <cell r="F4253"/>
          <cell r="G4253">
            <v>1.9599999999999999E-2</v>
          </cell>
          <cell r="H4253"/>
          <cell r="I4253"/>
          <cell r="J4253"/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>
            <v>1.6000000000000001E-3</v>
          </cell>
        </row>
        <row r="4254">
          <cell r="A4254" t="str">
            <v>51966-10006000ABLF</v>
          </cell>
          <cell r="B4254"/>
          <cell r="C4254"/>
          <cell r="D4254"/>
          <cell r="E4254"/>
          <cell r="F4254"/>
          <cell r="G4254">
            <v>2.1999999999999999E-2</v>
          </cell>
          <cell r="H4254"/>
          <cell r="I4254"/>
          <cell r="J4254"/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>
            <v>2E-3</v>
          </cell>
        </row>
        <row r="4255">
          <cell r="A4255" t="str">
            <v>51966-10006400AALF</v>
          </cell>
          <cell r="B4255"/>
          <cell r="C4255"/>
          <cell r="D4255"/>
          <cell r="E4255"/>
          <cell r="F4255"/>
          <cell r="G4255">
            <v>2.1999999999999999E-2</v>
          </cell>
          <cell r="H4255"/>
          <cell r="I4255"/>
          <cell r="J4255"/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>
            <v>2E-3</v>
          </cell>
        </row>
        <row r="4256">
          <cell r="A4256" t="str">
            <v>51966-10006800ABLF</v>
          </cell>
          <cell r="B4256"/>
          <cell r="C4256"/>
          <cell r="D4256"/>
          <cell r="E4256"/>
          <cell r="F4256"/>
          <cell r="G4256">
            <v>1.9599999999999999E-2</v>
          </cell>
          <cell r="H4256"/>
          <cell r="I4256"/>
          <cell r="J4256"/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>
            <v>1.9E-3</v>
          </cell>
        </row>
        <row r="4257">
          <cell r="A4257" t="str">
            <v>51966-10007200AALF</v>
          </cell>
          <cell r="B4257"/>
          <cell r="C4257"/>
          <cell r="D4257"/>
          <cell r="E4257"/>
          <cell r="F4257"/>
          <cell r="G4257">
            <v>2.1999999999999999E-2</v>
          </cell>
          <cell r="H4257"/>
          <cell r="I4257"/>
          <cell r="J4257"/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>
            <v>2E-3</v>
          </cell>
        </row>
        <row r="4258">
          <cell r="A4258" t="str">
            <v>51966-10007600AALF</v>
          </cell>
          <cell r="B4258"/>
          <cell r="C4258"/>
          <cell r="D4258"/>
          <cell r="E4258"/>
          <cell r="F4258"/>
          <cell r="G4258">
            <v>2.1999999999999999E-2</v>
          </cell>
          <cell r="H4258"/>
          <cell r="I4258"/>
          <cell r="J4258"/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>
            <v>2E-3</v>
          </cell>
        </row>
        <row r="4259">
          <cell r="A4259" t="str">
            <v>51966-10008000AALF</v>
          </cell>
          <cell r="B4259"/>
          <cell r="C4259"/>
          <cell r="D4259"/>
          <cell r="E4259"/>
          <cell r="F4259"/>
          <cell r="G4259">
            <v>2.1999999999999999E-2</v>
          </cell>
          <cell r="H4259"/>
          <cell r="I4259"/>
          <cell r="J4259"/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>
            <v>2E-3</v>
          </cell>
        </row>
        <row r="4260">
          <cell r="A4260" t="str">
            <v>51966-10008800AALF</v>
          </cell>
          <cell r="B4260"/>
          <cell r="C4260"/>
          <cell r="D4260"/>
          <cell r="E4260"/>
          <cell r="F4260"/>
          <cell r="G4260">
            <v>2.1999999999999999E-2</v>
          </cell>
          <cell r="H4260"/>
          <cell r="I4260"/>
          <cell r="J4260"/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>
            <v>2E-3</v>
          </cell>
        </row>
        <row r="4261">
          <cell r="A4261" t="str">
            <v>51966-10009200ABLF</v>
          </cell>
          <cell r="B4261"/>
          <cell r="C4261"/>
          <cell r="D4261"/>
          <cell r="E4261"/>
          <cell r="F4261"/>
          <cell r="G4261">
            <v>2.1000000000000001E-2</v>
          </cell>
          <cell r="H4261"/>
          <cell r="I4261"/>
          <cell r="J4261"/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>
            <v>2E-3</v>
          </cell>
        </row>
        <row r="4262">
          <cell r="A4262" t="str">
            <v>51966-10009200DBLF</v>
          </cell>
          <cell r="B4262"/>
          <cell r="C4262"/>
          <cell r="D4262"/>
          <cell r="E4262"/>
          <cell r="F4262"/>
          <cell r="G4262">
            <v>2.9000000000000001E-2</v>
          </cell>
          <cell r="H4262"/>
          <cell r="I4262"/>
          <cell r="J4262"/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>
            <v>2E-3</v>
          </cell>
        </row>
        <row r="4263">
          <cell r="A4263" t="str">
            <v>51966-10009600AALF</v>
          </cell>
          <cell r="B4263"/>
          <cell r="C4263"/>
          <cell r="D4263"/>
          <cell r="E4263"/>
          <cell r="F4263"/>
          <cell r="G4263">
            <v>2.7E-2</v>
          </cell>
          <cell r="H4263"/>
          <cell r="I4263"/>
          <cell r="J4263"/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>
            <v>8.9999999999999993E-3</v>
          </cell>
        </row>
        <row r="4264">
          <cell r="A4264" t="str">
            <v>51966-10009600ABLF</v>
          </cell>
          <cell r="B4264"/>
          <cell r="C4264"/>
          <cell r="D4264"/>
          <cell r="E4264"/>
          <cell r="F4264"/>
          <cell r="G4264">
            <v>7.1099999999999997E-2</v>
          </cell>
          <cell r="H4264"/>
          <cell r="I4264"/>
          <cell r="J4264"/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>
            <v>1.9E-3</v>
          </cell>
        </row>
        <row r="4265">
          <cell r="A4265" t="str">
            <v>51966-10010000AALF</v>
          </cell>
          <cell r="B4265"/>
          <cell r="C4265"/>
          <cell r="D4265"/>
          <cell r="E4265"/>
          <cell r="F4265"/>
          <cell r="G4265">
            <v>2.1999999999999999E-2</v>
          </cell>
          <cell r="H4265"/>
          <cell r="I4265"/>
          <cell r="J4265"/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>
            <v>2E-3</v>
          </cell>
        </row>
        <row r="4266">
          <cell r="A4266" t="str">
            <v>51966-10010000ABLF</v>
          </cell>
          <cell r="B4266"/>
          <cell r="C4266"/>
          <cell r="D4266"/>
          <cell r="E4266"/>
          <cell r="F4266"/>
          <cell r="G4266">
            <v>2.1000000000000001E-2</v>
          </cell>
          <cell r="H4266"/>
          <cell r="I4266"/>
          <cell r="J4266"/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>
            <v>2E-3</v>
          </cell>
        </row>
        <row r="4267">
          <cell r="A4267" t="str">
            <v>51966-10012000AALF</v>
          </cell>
          <cell r="B4267"/>
          <cell r="C4267"/>
          <cell r="D4267"/>
          <cell r="E4267"/>
          <cell r="F4267"/>
          <cell r="G4267">
            <v>2.9000000000000001E-2</v>
          </cell>
          <cell r="H4267"/>
          <cell r="I4267"/>
          <cell r="J4267"/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>
            <v>2E-3</v>
          </cell>
        </row>
        <row r="4268">
          <cell r="A4268" t="str">
            <v>51966-10012800AALF</v>
          </cell>
          <cell r="B4268"/>
          <cell r="C4268"/>
          <cell r="D4268"/>
          <cell r="E4268"/>
          <cell r="F4268"/>
          <cell r="G4268">
            <v>2.9000000000000001E-2</v>
          </cell>
          <cell r="H4268"/>
          <cell r="I4268"/>
          <cell r="J4268"/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>
            <v>2E-3</v>
          </cell>
        </row>
        <row r="4269">
          <cell r="A4269" t="str">
            <v>51966-10012800ABLF</v>
          </cell>
          <cell r="B4269"/>
          <cell r="C4269"/>
          <cell r="D4269"/>
          <cell r="E4269"/>
          <cell r="F4269"/>
          <cell r="G4269">
            <v>2.9000000000000001E-2</v>
          </cell>
          <cell r="H4269"/>
          <cell r="I4269"/>
          <cell r="J4269"/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>
            <v>2E-3</v>
          </cell>
        </row>
        <row r="4270">
          <cell r="A4270" t="str">
            <v>51966-10014400ABLF</v>
          </cell>
          <cell r="B4270"/>
          <cell r="C4270"/>
          <cell r="D4270"/>
          <cell r="E4270"/>
          <cell r="F4270"/>
          <cell r="G4270">
            <v>2.5999999999999999E-2</v>
          </cell>
          <cell r="H4270"/>
          <cell r="I4270"/>
          <cell r="J4270"/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>
            <v>2E-3</v>
          </cell>
        </row>
        <row r="4271">
          <cell r="A4271" t="str">
            <v>51966-10014800AALF</v>
          </cell>
          <cell r="B4271"/>
          <cell r="C4271"/>
          <cell r="D4271"/>
          <cell r="E4271"/>
          <cell r="F4271"/>
          <cell r="G4271">
            <v>2.7099999999999999E-2</v>
          </cell>
          <cell r="H4271"/>
          <cell r="I4271"/>
          <cell r="J4271"/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>
            <v>1.9E-3</v>
          </cell>
        </row>
        <row r="4272">
          <cell r="A4272" t="str">
            <v>51967-10000800AALF</v>
          </cell>
          <cell r="B4272"/>
          <cell r="C4272"/>
          <cell r="D4272"/>
          <cell r="E4272"/>
          <cell r="F4272"/>
          <cell r="G4272">
            <v>2.8000000000000001E-2</v>
          </cell>
          <cell r="H4272"/>
          <cell r="I4272"/>
          <cell r="J4272"/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>
            <v>6.1000000000000004E-3</v>
          </cell>
        </row>
        <row r="4273">
          <cell r="A4273" t="str">
            <v>51967-10001200AALF</v>
          </cell>
          <cell r="B4273"/>
          <cell r="C4273"/>
          <cell r="D4273"/>
          <cell r="E4273"/>
          <cell r="F4273"/>
          <cell r="G4273">
            <v>1.6E-2</v>
          </cell>
          <cell r="H4273"/>
          <cell r="I4273"/>
          <cell r="J4273"/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>
            <v>2E-3</v>
          </cell>
        </row>
        <row r="4274">
          <cell r="A4274" t="str">
            <v>51967-10001200CCLF</v>
          </cell>
          <cell r="B4274"/>
          <cell r="C4274"/>
          <cell r="D4274"/>
          <cell r="E4274"/>
          <cell r="F4274"/>
          <cell r="G4274">
            <v>1.4E-2</v>
          </cell>
          <cell r="H4274"/>
          <cell r="I4274"/>
          <cell r="J4274"/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>
            <v>2E-3</v>
          </cell>
        </row>
        <row r="4275">
          <cell r="A4275" t="str">
            <v>51967-10001600AALF</v>
          </cell>
          <cell r="B4275"/>
          <cell r="C4275"/>
          <cell r="D4275"/>
          <cell r="E4275"/>
          <cell r="F4275"/>
          <cell r="G4275">
            <v>1.3599999999999999E-2</v>
          </cell>
          <cell r="H4275"/>
          <cell r="I4275"/>
          <cell r="J4275"/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>
            <v>3.0000000000000001E-3</v>
          </cell>
        </row>
        <row r="4276">
          <cell r="A4276" t="str">
            <v>51967-10001600CCLF</v>
          </cell>
          <cell r="B4276"/>
          <cell r="C4276"/>
          <cell r="D4276"/>
          <cell r="E4276"/>
          <cell r="F4276"/>
          <cell r="G4276">
            <v>1.4E-2</v>
          </cell>
          <cell r="H4276"/>
          <cell r="I4276"/>
          <cell r="J4276"/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>
            <v>3.0000000000000001E-3</v>
          </cell>
        </row>
        <row r="4277">
          <cell r="A4277" t="str">
            <v>51967-10002000AALF</v>
          </cell>
          <cell r="B4277"/>
          <cell r="C4277"/>
          <cell r="D4277"/>
          <cell r="E4277"/>
          <cell r="F4277"/>
          <cell r="G4277">
            <v>1.4999999999999999E-2</v>
          </cell>
          <cell r="H4277"/>
          <cell r="I4277"/>
          <cell r="J4277"/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>
            <v>3.0000000000000001E-3</v>
          </cell>
        </row>
        <row r="4278">
          <cell r="A4278" t="str">
            <v>51967-10002000CALF</v>
          </cell>
          <cell r="B4278"/>
          <cell r="C4278"/>
          <cell r="D4278"/>
          <cell r="E4278"/>
          <cell r="F4278"/>
          <cell r="G4278">
            <v>1.4999999999999999E-2</v>
          </cell>
          <cell r="H4278"/>
          <cell r="I4278"/>
          <cell r="J4278"/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>
            <v>3.0000000000000001E-3</v>
          </cell>
        </row>
        <row r="4279">
          <cell r="A4279" t="str">
            <v>51967-10002000CCLF</v>
          </cell>
          <cell r="B4279"/>
          <cell r="C4279"/>
          <cell r="D4279"/>
          <cell r="E4279"/>
          <cell r="F4279"/>
          <cell r="G4279">
            <v>1.4E-2</v>
          </cell>
          <cell r="H4279"/>
          <cell r="I4279"/>
          <cell r="J4279"/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>
            <v>3.0000000000000001E-3</v>
          </cell>
        </row>
        <row r="4280">
          <cell r="A4280" t="str">
            <v>51967-10002400AALF</v>
          </cell>
          <cell r="B4280"/>
          <cell r="C4280"/>
          <cell r="D4280"/>
          <cell r="E4280"/>
          <cell r="F4280"/>
          <cell r="G4280">
            <v>2.5000000000000001E-2</v>
          </cell>
          <cell r="H4280"/>
          <cell r="I4280"/>
          <cell r="J4280"/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>
            <v>3.0000000000000001E-3</v>
          </cell>
        </row>
        <row r="4281">
          <cell r="A4281" t="str">
            <v>51967-10002400ACLF</v>
          </cell>
          <cell r="B4281"/>
          <cell r="C4281"/>
          <cell r="D4281"/>
          <cell r="E4281"/>
          <cell r="F4281"/>
          <cell r="G4281">
            <v>2.4E-2</v>
          </cell>
          <cell r="H4281"/>
          <cell r="I4281"/>
          <cell r="J4281"/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>
            <v>3.0000000000000001E-3</v>
          </cell>
        </row>
        <row r="4282">
          <cell r="A4282" t="str">
            <v>51967-10002400CALF</v>
          </cell>
          <cell r="B4282"/>
          <cell r="C4282"/>
          <cell r="D4282"/>
          <cell r="E4282"/>
          <cell r="F4282"/>
          <cell r="G4282">
            <v>0.01</v>
          </cell>
          <cell r="H4282"/>
          <cell r="I4282"/>
          <cell r="J4282"/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>
            <v>8.0000000000000002E-3</v>
          </cell>
        </row>
        <row r="4283">
          <cell r="A4283" t="str">
            <v>51967-10002400CCLF</v>
          </cell>
          <cell r="B4283"/>
          <cell r="C4283"/>
          <cell r="D4283"/>
          <cell r="E4283"/>
          <cell r="F4283"/>
          <cell r="G4283">
            <v>9.1999999999999998E-3</v>
          </cell>
          <cell r="H4283"/>
          <cell r="I4283"/>
          <cell r="J4283"/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>
            <v>3.0000000000000001E-3</v>
          </cell>
        </row>
        <row r="4284">
          <cell r="A4284" t="str">
            <v>51967-10002800AALF</v>
          </cell>
          <cell r="B4284"/>
          <cell r="C4284"/>
          <cell r="D4284"/>
          <cell r="E4284"/>
          <cell r="F4284"/>
          <cell r="G4284">
            <v>1.4999999999999999E-2</v>
          </cell>
          <cell r="H4284"/>
          <cell r="I4284"/>
          <cell r="J4284"/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>
            <v>4.0000000000000001E-3</v>
          </cell>
        </row>
        <row r="4285">
          <cell r="A4285" t="str">
            <v>51967-10003200AALF</v>
          </cell>
          <cell r="B4285"/>
          <cell r="C4285"/>
          <cell r="D4285"/>
          <cell r="E4285"/>
          <cell r="F4285"/>
          <cell r="G4285">
            <v>1.4E-2</v>
          </cell>
          <cell r="H4285"/>
          <cell r="I4285"/>
          <cell r="J4285"/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>
            <v>4.0000000000000001E-3</v>
          </cell>
        </row>
        <row r="4286">
          <cell r="A4286" t="str">
            <v>51967-10003200CALF</v>
          </cell>
          <cell r="B4286"/>
          <cell r="C4286"/>
          <cell r="D4286"/>
          <cell r="E4286"/>
          <cell r="F4286"/>
          <cell r="G4286">
            <v>1.0999999999999999E-2</v>
          </cell>
          <cell r="H4286"/>
          <cell r="I4286"/>
          <cell r="J4286"/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>
            <v>4.0000000000000001E-3</v>
          </cell>
        </row>
        <row r="4287">
          <cell r="A4287" t="str">
            <v>51967-10003200CCLF</v>
          </cell>
          <cell r="B4287"/>
          <cell r="C4287"/>
          <cell r="D4287"/>
          <cell r="E4287"/>
          <cell r="F4287"/>
          <cell r="G4287">
            <v>1.0800000000000001E-2</v>
          </cell>
          <cell r="H4287"/>
          <cell r="I4287"/>
          <cell r="J4287"/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>
            <v>4.0000000000000001E-3</v>
          </cell>
        </row>
        <row r="4288">
          <cell r="A4288" t="str">
            <v>51967-10003600AALF</v>
          </cell>
          <cell r="B4288"/>
          <cell r="C4288"/>
          <cell r="D4288"/>
          <cell r="E4288"/>
          <cell r="F4288"/>
          <cell r="G4288">
            <v>1.4999999999999999E-2</v>
          </cell>
          <cell r="H4288"/>
          <cell r="I4288"/>
          <cell r="J4288"/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>
            <v>4.0000000000000001E-3</v>
          </cell>
        </row>
        <row r="4289">
          <cell r="A4289" t="str">
            <v>51967-10004000AALF</v>
          </cell>
          <cell r="B4289"/>
          <cell r="C4289"/>
          <cell r="D4289"/>
          <cell r="E4289"/>
          <cell r="F4289"/>
          <cell r="G4289">
            <v>1.47E-2</v>
          </cell>
          <cell r="H4289"/>
          <cell r="I4289"/>
          <cell r="J4289"/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>
            <v>5.0000000000000001E-3</v>
          </cell>
        </row>
        <row r="4290">
          <cell r="A4290" t="str">
            <v>51967-10004800AALF</v>
          </cell>
          <cell r="B4290"/>
          <cell r="C4290"/>
          <cell r="D4290"/>
          <cell r="E4290"/>
          <cell r="F4290"/>
          <cell r="G4290">
            <v>1.7999999999999999E-2</v>
          </cell>
          <cell r="H4290"/>
          <cell r="I4290"/>
          <cell r="J4290"/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>
            <v>5.3E-3</v>
          </cell>
        </row>
        <row r="4291">
          <cell r="A4291" t="str">
            <v>51967-10005200AALF</v>
          </cell>
          <cell r="B4291"/>
          <cell r="C4291"/>
          <cell r="D4291"/>
          <cell r="E4291"/>
          <cell r="F4291"/>
          <cell r="G4291">
            <v>1.9E-2</v>
          </cell>
          <cell r="H4291"/>
          <cell r="I4291"/>
          <cell r="J4291"/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>
            <v>6.0000000000000001E-3</v>
          </cell>
        </row>
        <row r="4292">
          <cell r="A4292" t="str">
            <v>51967-10005200CCLF</v>
          </cell>
          <cell r="B4292"/>
          <cell r="C4292"/>
          <cell r="D4292"/>
          <cell r="E4292"/>
          <cell r="F4292"/>
          <cell r="G4292">
            <v>1.7000000000000001E-2</v>
          </cell>
          <cell r="H4292"/>
          <cell r="I4292"/>
          <cell r="J4292"/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>
            <v>6.0000000000000001E-3</v>
          </cell>
        </row>
        <row r="4293">
          <cell r="A4293" t="str">
            <v>51967-10005600CCLF</v>
          </cell>
          <cell r="B4293"/>
          <cell r="C4293"/>
          <cell r="D4293"/>
          <cell r="E4293"/>
          <cell r="F4293"/>
          <cell r="G4293">
            <v>1.7999999999999999E-2</v>
          </cell>
          <cell r="H4293"/>
          <cell r="I4293"/>
          <cell r="J4293"/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>
            <v>6.0000000000000001E-3</v>
          </cell>
        </row>
        <row r="4294">
          <cell r="A4294" t="str">
            <v>51967-10006000AALF</v>
          </cell>
          <cell r="B4294"/>
          <cell r="C4294"/>
          <cell r="D4294"/>
          <cell r="E4294"/>
          <cell r="F4294"/>
          <cell r="G4294">
            <v>2.1000000000000001E-2</v>
          </cell>
          <cell r="H4294"/>
          <cell r="I4294"/>
          <cell r="J4294"/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>
            <v>6.0000000000000001E-3</v>
          </cell>
        </row>
        <row r="4295">
          <cell r="A4295" t="str">
            <v>51967-10006400AALF</v>
          </cell>
          <cell r="B4295"/>
          <cell r="C4295"/>
          <cell r="D4295"/>
          <cell r="E4295"/>
          <cell r="F4295"/>
          <cell r="G4295">
            <v>2.1999999999999999E-2</v>
          </cell>
          <cell r="H4295"/>
          <cell r="I4295"/>
          <cell r="J4295"/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>
            <v>7.0000000000000001E-3</v>
          </cell>
        </row>
        <row r="4296">
          <cell r="A4296" t="str">
            <v>51967-10007200AALF</v>
          </cell>
          <cell r="B4296"/>
          <cell r="C4296"/>
          <cell r="D4296"/>
          <cell r="E4296"/>
          <cell r="F4296"/>
          <cell r="G4296">
            <v>2.5000000000000001E-2</v>
          </cell>
          <cell r="H4296"/>
          <cell r="I4296"/>
          <cell r="J4296"/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>
            <v>7.0000000000000001E-3</v>
          </cell>
        </row>
        <row r="4297">
          <cell r="A4297" t="str">
            <v>51967-10008000AALF</v>
          </cell>
          <cell r="B4297"/>
          <cell r="C4297"/>
          <cell r="D4297"/>
          <cell r="E4297"/>
          <cell r="F4297"/>
          <cell r="G4297">
            <v>2.7E-2</v>
          </cell>
          <cell r="H4297"/>
          <cell r="I4297"/>
          <cell r="J4297"/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>
            <v>8.0000000000000002E-3</v>
          </cell>
        </row>
        <row r="4298">
          <cell r="A4298" t="str">
            <v>51967-10009600AALF</v>
          </cell>
          <cell r="B4298"/>
          <cell r="C4298"/>
          <cell r="D4298"/>
          <cell r="E4298"/>
          <cell r="F4298"/>
          <cell r="G4298">
            <v>1.7999999999999999E-2</v>
          </cell>
          <cell r="H4298"/>
          <cell r="I4298"/>
          <cell r="J4298"/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>
            <v>2.1999999999999999E-2</v>
          </cell>
        </row>
        <row r="4299">
          <cell r="A4299" t="str">
            <v>51967-10009600ACLF</v>
          </cell>
          <cell r="B4299"/>
          <cell r="C4299"/>
          <cell r="D4299"/>
          <cell r="E4299"/>
          <cell r="F4299"/>
          <cell r="G4299">
            <v>2.9000000000000001E-2</v>
          </cell>
          <cell r="H4299"/>
          <cell r="I4299"/>
          <cell r="J4299"/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>
            <v>8.9999999999999993E-3</v>
          </cell>
        </row>
        <row r="4300">
          <cell r="A4300" t="str">
            <v>51967-10010000CALF</v>
          </cell>
          <cell r="B4300"/>
          <cell r="C4300"/>
          <cell r="D4300"/>
          <cell r="E4300"/>
          <cell r="F4300"/>
          <cell r="G4300">
            <v>3.3000000000000002E-2</v>
          </cell>
          <cell r="H4300"/>
          <cell r="I4300"/>
          <cell r="J4300"/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>
            <v>0.01</v>
          </cell>
        </row>
        <row r="4301">
          <cell r="A4301" t="str">
            <v>51967-10010000CCLF</v>
          </cell>
          <cell r="B4301"/>
          <cell r="C4301"/>
          <cell r="D4301"/>
          <cell r="E4301"/>
          <cell r="F4301"/>
          <cell r="G4301">
            <v>2.1000000000000001E-2</v>
          </cell>
          <cell r="H4301"/>
          <cell r="I4301"/>
          <cell r="J4301"/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>
            <v>0.01</v>
          </cell>
        </row>
        <row r="4302">
          <cell r="A4302" t="str">
            <v>51967-10010800CCLF</v>
          </cell>
          <cell r="B4302"/>
          <cell r="C4302"/>
          <cell r="D4302"/>
          <cell r="E4302"/>
          <cell r="F4302"/>
          <cell r="G4302">
            <v>3.1E-2</v>
          </cell>
          <cell r="H4302"/>
          <cell r="I4302"/>
          <cell r="J4302"/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>
            <v>0.01</v>
          </cell>
        </row>
        <row r="4303">
          <cell r="A4303" t="str">
            <v>51967-10012000AALF</v>
          </cell>
          <cell r="B4303"/>
          <cell r="C4303"/>
          <cell r="D4303"/>
          <cell r="E4303"/>
          <cell r="F4303"/>
          <cell r="G4303">
            <v>3.7999999999999999E-2</v>
          </cell>
          <cell r="H4303"/>
          <cell r="I4303"/>
          <cell r="J4303"/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>
            <v>1.0999999999999999E-2</v>
          </cell>
        </row>
        <row r="4304">
          <cell r="A4304" t="str">
            <v>51967-10012800ACLF</v>
          </cell>
          <cell r="B4304"/>
          <cell r="C4304"/>
          <cell r="D4304"/>
          <cell r="E4304"/>
          <cell r="F4304"/>
          <cell r="G4304">
            <v>3.5999999999999997E-2</v>
          </cell>
          <cell r="H4304"/>
          <cell r="I4304"/>
          <cell r="J4304"/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>
            <v>1.2E-2</v>
          </cell>
        </row>
        <row r="4305">
          <cell r="A4305" t="str">
            <v>51967-10014400AALF</v>
          </cell>
          <cell r="B4305"/>
          <cell r="C4305"/>
          <cell r="D4305"/>
          <cell r="E4305"/>
          <cell r="F4305"/>
          <cell r="G4305">
            <v>4.4999999999999998E-2</v>
          </cell>
          <cell r="H4305"/>
          <cell r="I4305"/>
          <cell r="J4305"/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>
            <v>1.2999999999999999E-2</v>
          </cell>
        </row>
        <row r="4306">
          <cell r="A4306" t="str">
            <v>51967-10014800AALF</v>
          </cell>
          <cell r="B4306"/>
          <cell r="C4306"/>
          <cell r="D4306"/>
          <cell r="E4306"/>
          <cell r="F4306"/>
          <cell r="G4306">
            <v>3.5000000000000003E-2</v>
          </cell>
          <cell r="H4306"/>
          <cell r="I4306"/>
          <cell r="J4306"/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>
            <v>1.3599999999999999E-2</v>
          </cell>
        </row>
        <row r="4307">
          <cell r="A4307" t="str">
            <v>A4310-1-1-0</v>
          </cell>
          <cell r="B4307"/>
          <cell r="C4307"/>
          <cell r="D4307"/>
          <cell r="E4307"/>
          <cell r="F4307">
            <v>5.2079999999999997E-4</v>
          </cell>
          <cell r="G4307"/>
          <cell r="H4307">
            <v>1.3889E-3</v>
          </cell>
          <cell r="I4307"/>
          <cell r="J4307"/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</row>
        <row r="4308">
          <cell r="A4308" t="str">
            <v>PWRFST017</v>
          </cell>
          <cell r="B4308"/>
          <cell r="C4308"/>
          <cell r="D4308"/>
          <cell r="E4308"/>
          <cell r="F4308"/>
          <cell r="G4308">
            <v>1.07639E-2</v>
          </cell>
          <cell r="H4308"/>
          <cell r="I4308"/>
          <cell r="J4308"/>
          <cell r="K4308"/>
          <cell r="L4308"/>
          <cell r="M4308"/>
          <cell r="N4308">
            <v>5.17361E-2</v>
          </cell>
          <cell r="O4308"/>
          <cell r="P4308"/>
          <cell r="Q4308"/>
          <cell r="R4308"/>
          <cell r="S4308"/>
          <cell r="T4308"/>
          <cell r="U4308"/>
          <cell r="V4308"/>
          <cell r="W4308"/>
        </row>
        <row r="4309">
          <cell r="A4309" t="str">
            <v>PWRFST018</v>
          </cell>
          <cell r="B4309"/>
          <cell r="C4309"/>
          <cell r="D4309"/>
          <cell r="E4309"/>
          <cell r="F4309"/>
          <cell r="G4309">
            <v>1.07639E-2</v>
          </cell>
          <cell r="H4309"/>
          <cell r="I4309"/>
          <cell r="J4309"/>
          <cell r="K4309"/>
          <cell r="L4309"/>
          <cell r="M4309"/>
          <cell r="N4309">
            <v>4.7222199999999999E-2</v>
          </cell>
          <cell r="O4309"/>
          <cell r="P4309"/>
          <cell r="Q4309"/>
          <cell r="R4309"/>
          <cell r="S4309"/>
          <cell r="T4309"/>
          <cell r="U4309"/>
          <cell r="V4309"/>
          <cell r="W4309"/>
        </row>
        <row r="4310">
          <cell r="A4310" t="str">
            <v>PWRFST019</v>
          </cell>
          <cell r="B4310"/>
          <cell r="C4310"/>
          <cell r="D4310"/>
          <cell r="E4310"/>
          <cell r="F4310"/>
          <cell r="G4310">
            <v>1.07639E-2</v>
          </cell>
          <cell r="H4310"/>
          <cell r="I4310"/>
          <cell r="J4310"/>
          <cell r="K4310"/>
          <cell r="L4310"/>
          <cell r="M4310"/>
          <cell r="N4310">
            <v>4.7222199999999999E-2</v>
          </cell>
          <cell r="O4310"/>
          <cell r="P4310"/>
          <cell r="Q4310"/>
          <cell r="R4310"/>
          <cell r="S4310"/>
          <cell r="T4310"/>
          <cell r="U4310"/>
          <cell r="V4310"/>
          <cell r="W4310"/>
        </row>
        <row r="4311">
          <cell r="A4311" t="str">
            <v>PWRFST026</v>
          </cell>
          <cell r="B4311"/>
          <cell r="C4311"/>
          <cell r="D4311"/>
          <cell r="E4311"/>
          <cell r="F4311"/>
          <cell r="G4311">
            <v>1.07639E-2</v>
          </cell>
          <cell r="H4311"/>
          <cell r="I4311"/>
          <cell r="J4311"/>
          <cell r="K4311"/>
          <cell r="L4311"/>
          <cell r="M4311"/>
          <cell r="N4311">
            <v>4.7222199999999999E-2</v>
          </cell>
          <cell r="O4311"/>
          <cell r="P4311"/>
          <cell r="Q4311"/>
          <cell r="R4311"/>
          <cell r="S4311"/>
          <cell r="T4311"/>
          <cell r="U4311"/>
          <cell r="V4311"/>
          <cell r="W4311"/>
        </row>
        <row r="4312">
          <cell r="A4312" t="str">
            <v>PWRFST027</v>
          </cell>
          <cell r="B4312"/>
          <cell r="C4312"/>
          <cell r="D4312"/>
          <cell r="E4312"/>
          <cell r="F4312"/>
          <cell r="G4312">
            <v>1.07639E-2</v>
          </cell>
          <cell r="H4312"/>
          <cell r="I4312"/>
          <cell r="J4312"/>
          <cell r="K4312"/>
          <cell r="L4312"/>
          <cell r="M4312"/>
          <cell r="N4312">
            <v>4.7222199999999999E-2</v>
          </cell>
          <cell r="O4312"/>
          <cell r="P4312"/>
          <cell r="Q4312"/>
          <cell r="R4312"/>
          <cell r="S4312"/>
          <cell r="T4312"/>
          <cell r="U4312"/>
          <cell r="V4312"/>
          <cell r="W4312"/>
        </row>
        <row r="4313">
          <cell r="A4313" t="str">
            <v>PWRMRA013</v>
          </cell>
          <cell r="B4313"/>
          <cell r="C4313"/>
          <cell r="D4313"/>
          <cell r="E4313"/>
          <cell r="F4313"/>
          <cell r="G4313">
            <v>6.9443999999999999E-3</v>
          </cell>
          <cell r="H4313"/>
          <cell r="I4313"/>
          <cell r="J4313"/>
          <cell r="K4313"/>
          <cell r="L4313"/>
          <cell r="M4313"/>
          <cell r="N4313">
            <v>9.8957999999999997E-3</v>
          </cell>
          <cell r="O4313"/>
          <cell r="P4313"/>
          <cell r="Q4313"/>
          <cell r="R4313"/>
          <cell r="S4313"/>
          <cell r="T4313"/>
          <cell r="U4313"/>
          <cell r="V4313"/>
          <cell r="W4313"/>
        </row>
        <row r="4314">
          <cell r="A4314" t="str">
            <v>PWRMRA021</v>
          </cell>
          <cell r="B4314"/>
          <cell r="C4314"/>
          <cell r="D4314"/>
          <cell r="E4314"/>
          <cell r="F4314"/>
          <cell r="G4314">
            <v>6.9443999999999999E-3</v>
          </cell>
          <cell r="H4314"/>
          <cell r="I4314"/>
          <cell r="J4314"/>
          <cell r="K4314"/>
          <cell r="L4314"/>
          <cell r="M4314"/>
          <cell r="N4314">
            <v>9.8957999999999997E-3</v>
          </cell>
          <cell r="O4314"/>
          <cell r="P4314"/>
          <cell r="Q4314"/>
          <cell r="R4314"/>
          <cell r="S4314"/>
          <cell r="T4314"/>
          <cell r="U4314"/>
          <cell r="V4314"/>
          <cell r="W4314"/>
        </row>
        <row r="4315">
          <cell r="A4315" t="str">
            <v>PWRMRA028</v>
          </cell>
          <cell r="B4315"/>
          <cell r="C4315"/>
          <cell r="D4315"/>
          <cell r="E4315"/>
          <cell r="F4315"/>
          <cell r="G4315">
            <v>7.9860999999999994E-3</v>
          </cell>
          <cell r="H4315"/>
          <cell r="I4315"/>
          <cell r="J4315"/>
          <cell r="K4315"/>
          <cell r="L4315"/>
          <cell r="M4315"/>
          <cell r="N4315">
            <v>1.84028E-2</v>
          </cell>
          <cell r="O4315"/>
          <cell r="P4315"/>
          <cell r="Q4315"/>
          <cell r="R4315"/>
          <cell r="S4315"/>
          <cell r="T4315"/>
          <cell r="U4315"/>
          <cell r="V4315"/>
          <cell r="W4315"/>
        </row>
        <row r="4316">
          <cell r="A4316" t="str">
            <v>PWRMST011</v>
          </cell>
          <cell r="B4316"/>
          <cell r="C4316"/>
          <cell r="D4316"/>
          <cell r="E4316"/>
          <cell r="F4316"/>
          <cell r="G4316">
            <v>6.9443999999999999E-3</v>
          </cell>
          <cell r="H4316"/>
          <cell r="I4316"/>
          <cell r="J4316"/>
          <cell r="K4316"/>
          <cell r="L4316"/>
          <cell r="M4316"/>
          <cell r="N4316">
            <v>1.3368100000000001E-2</v>
          </cell>
          <cell r="O4316"/>
          <cell r="P4316"/>
          <cell r="Q4316"/>
          <cell r="R4316"/>
          <cell r="S4316"/>
          <cell r="T4316"/>
          <cell r="U4316"/>
          <cell r="V4316"/>
          <cell r="W4316"/>
        </row>
        <row r="4317">
          <cell r="A4317" t="str">
            <v>RPS0411059</v>
          </cell>
          <cell r="B4317"/>
          <cell r="C4317"/>
          <cell r="D4317"/>
          <cell r="E4317"/>
          <cell r="F4317"/>
          <cell r="G4317">
            <v>6.9443999999999999E-3</v>
          </cell>
          <cell r="H4317"/>
          <cell r="I4317"/>
          <cell r="J4317"/>
          <cell r="K4317"/>
          <cell r="L4317"/>
          <cell r="M4317"/>
          <cell r="N4317">
            <v>1.42361E-2</v>
          </cell>
          <cell r="O4317"/>
          <cell r="P4317"/>
          <cell r="Q4317"/>
          <cell r="R4317"/>
          <cell r="S4317"/>
          <cell r="T4317"/>
          <cell r="U4317"/>
          <cell r="V4317"/>
          <cell r="W4317"/>
        </row>
        <row r="4318">
          <cell r="A4318" t="str">
            <v>RPS04B036</v>
          </cell>
          <cell r="B4318"/>
          <cell r="C4318"/>
          <cell r="D4318"/>
          <cell r="E4318"/>
          <cell r="F4318">
            <v>3.1944E-3</v>
          </cell>
          <cell r="G4318"/>
          <cell r="H4318">
            <v>1.3889E-3</v>
          </cell>
          <cell r="I4318"/>
          <cell r="J4318"/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</row>
        <row r="4319">
          <cell r="A4319" t="str">
            <v>RPS04B036-002</v>
          </cell>
          <cell r="B4319"/>
          <cell r="C4319"/>
          <cell r="D4319"/>
          <cell r="E4319"/>
          <cell r="F4319"/>
          <cell r="G4319">
            <v>2.7777779999999998E-3</v>
          </cell>
          <cell r="H4319"/>
          <cell r="I4319"/>
          <cell r="J4319"/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</row>
        <row r="4320">
          <cell r="A4320" t="str">
            <v>RPS04B036-002M</v>
          </cell>
          <cell r="B4320"/>
          <cell r="C4320"/>
          <cell r="D4320"/>
          <cell r="E4320"/>
          <cell r="F4320">
            <v>3.1944E-3</v>
          </cell>
          <cell r="G4320"/>
          <cell r="H4320">
            <v>1.3889E-3</v>
          </cell>
          <cell r="I4320"/>
          <cell r="J4320"/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</row>
        <row r="4321">
          <cell r="A4321" t="str">
            <v>RPS04B037</v>
          </cell>
          <cell r="B4321"/>
          <cell r="C4321"/>
          <cell r="D4321"/>
          <cell r="E4321"/>
          <cell r="F4321">
            <v>1.0417E-3</v>
          </cell>
          <cell r="G4321"/>
          <cell r="H4321">
            <v>1.3889E-3</v>
          </cell>
          <cell r="I4321"/>
          <cell r="J4321"/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</row>
        <row r="4322">
          <cell r="A4322" t="str">
            <v>RPS04C1392</v>
          </cell>
          <cell r="B4322"/>
          <cell r="C4322"/>
          <cell r="D4322"/>
          <cell r="E4322"/>
          <cell r="F4322"/>
          <cell r="G4322"/>
          <cell r="H4322"/>
          <cell r="I4322"/>
          <cell r="J4322"/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>
            <v>2.1240000000000001E-4</v>
          </cell>
          <cell r="W4322"/>
        </row>
        <row r="4323">
          <cell r="A4323" t="str">
            <v>RPS04C1392F</v>
          </cell>
          <cell r="B4323"/>
          <cell r="C4323"/>
          <cell r="D4323"/>
          <cell r="E4323"/>
          <cell r="F4323"/>
          <cell r="G4323">
            <v>1.3889E-3</v>
          </cell>
          <cell r="H4323"/>
          <cell r="I4323"/>
          <cell r="J4323"/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</row>
        <row r="4324">
          <cell r="A4324" t="str">
            <v>RPS04C1392U</v>
          </cell>
          <cell r="B4324"/>
          <cell r="C4324"/>
          <cell r="D4324"/>
          <cell r="E4324"/>
          <cell r="F4324"/>
          <cell r="G4324"/>
          <cell r="H4324"/>
          <cell r="I4324"/>
          <cell r="J4324"/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</row>
        <row r="4325">
          <cell r="A4325" t="str">
            <v>RPS04HBR01</v>
          </cell>
          <cell r="B4325"/>
          <cell r="C4325"/>
          <cell r="D4325"/>
          <cell r="E4325"/>
          <cell r="F4325">
            <v>6.1111000000000004E-3</v>
          </cell>
          <cell r="G4325"/>
          <cell r="H4325"/>
          <cell r="I4325"/>
          <cell r="J4325"/>
          <cell r="K4325"/>
          <cell r="L4325"/>
          <cell r="M4325"/>
          <cell r="N4325"/>
          <cell r="O4325"/>
          <cell r="P4325"/>
          <cell r="Q4325">
            <v>1.3889E-3</v>
          </cell>
          <cell r="R4325"/>
          <cell r="S4325"/>
          <cell r="T4325"/>
          <cell r="U4325"/>
          <cell r="V4325"/>
          <cell r="W4325"/>
        </row>
        <row r="4326">
          <cell r="A4326" t="str">
            <v>RPS04HBR01F</v>
          </cell>
          <cell r="B4326"/>
          <cell r="C4326"/>
          <cell r="D4326"/>
          <cell r="E4326"/>
          <cell r="F4326"/>
          <cell r="G4326">
            <v>2.7777000000000001E-3</v>
          </cell>
          <cell r="H4326"/>
          <cell r="I4326"/>
          <cell r="J4326"/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</row>
        <row r="4327">
          <cell r="A4327" t="str">
            <v>RPS04S124-0010</v>
          </cell>
          <cell r="B4327"/>
          <cell r="C4327"/>
          <cell r="D4327"/>
          <cell r="E4327"/>
          <cell r="F4327"/>
          <cell r="G4327"/>
          <cell r="H4327"/>
          <cell r="I4327"/>
          <cell r="J4327"/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</row>
        <row r="4328">
          <cell r="A4328" t="str">
            <v>RPS04S124-0011</v>
          </cell>
          <cell r="B4328"/>
          <cell r="C4328"/>
          <cell r="D4328"/>
          <cell r="E4328"/>
          <cell r="F4328"/>
          <cell r="G4328"/>
          <cell r="H4328"/>
          <cell r="I4328"/>
          <cell r="J4328"/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>
            <v>2.0000000000000001E-4</v>
          </cell>
          <cell r="W4328"/>
        </row>
        <row r="4329">
          <cell r="A4329" t="str">
            <v>RPS04S124-0020</v>
          </cell>
          <cell r="B4329"/>
          <cell r="C4329"/>
          <cell r="D4329"/>
          <cell r="E4329"/>
          <cell r="F4329"/>
          <cell r="G4329"/>
          <cell r="H4329"/>
          <cell r="I4329"/>
          <cell r="J4329"/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</row>
        <row r="4330">
          <cell r="A4330" t="str">
            <v>RPS04S124-0021</v>
          </cell>
          <cell r="B4330"/>
          <cell r="C4330"/>
          <cell r="D4330"/>
          <cell r="E4330"/>
          <cell r="F4330"/>
          <cell r="G4330"/>
          <cell r="H4330"/>
          <cell r="I4330"/>
          <cell r="J4330"/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>
            <v>2.0000000000000001E-4</v>
          </cell>
          <cell r="W4330"/>
        </row>
        <row r="4331">
          <cell r="A4331" t="str">
            <v>RPS04S124-0030</v>
          </cell>
          <cell r="B4331"/>
          <cell r="C4331"/>
          <cell r="D4331"/>
          <cell r="E4331"/>
          <cell r="F4331"/>
          <cell r="G4331"/>
          <cell r="H4331"/>
          <cell r="I4331"/>
          <cell r="J4331"/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</row>
        <row r="4332">
          <cell r="A4332" t="str">
            <v>RPS04S124-0031</v>
          </cell>
          <cell r="B4332"/>
          <cell r="C4332"/>
          <cell r="D4332"/>
          <cell r="E4332"/>
          <cell r="F4332"/>
          <cell r="G4332"/>
          <cell r="H4332"/>
          <cell r="I4332"/>
          <cell r="J4332"/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>
            <v>2.0000000000000001E-4</v>
          </cell>
          <cell r="W4332"/>
        </row>
        <row r="4333">
          <cell r="A4333" t="str">
            <v>RPS04S125-0010</v>
          </cell>
          <cell r="B4333"/>
          <cell r="C4333"/>
          <cell r="D4333"/>
          <cell r="E4333"/>
          <cell r="F4333"/>
          <cell r="G4333"/>
          <cell r="H4333"/>
          <cell r="I4333"/>
          <cell r="J4333"/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</row>
        <row r="4334">
          <cell r="A4334" t="str">
            <v>RPS04S125-0011</v>
          </cell>
          <cell r="B4334"/>
          <cell r="C4334"/>
          <cell r="D4334"/>
          <cell r="E4334"/>
          <cell r="F4334"/>
          <cell r="G4334"/>
          <cell r="H4334"/>
          <cell r="I4334"/>
          <cell r="J4334"/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>
            <v>2.0000000000000001E-4</v>
          </cell>
          <cell r="W4334"/>
        </row>
        <row r="4335">
          <cell r="A4335" t="str">
            <v>RPS04S125-0020</v>
          </cell>
          <cell r="B4335"/>
          <cell r="C4335"/>
          <cell r="D4335"/>
          <cell r="E4335"/>
          <cell r="F4335"/>
          <cell r="G4335"/>
          <cell r="H4335"/>
          <cell r="I4335"/>
          <cell r="J4335"/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</row>
        <row r="4336">
          <cell r="A4336" t="str">
            <v>RPS04S125-0021</v>
          </cell>
          <cell r="B4336"/>
          <cell r="C4336"/>
          <cell r="D4336"/>
          <cell r="E4336"/>
          <cell r="F4336"/>
          <cell r="G4336"/>
          <cell r="H4336"/>
          <cell r="I4336"/>
          <cell r="J4336"/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>
            <v>2.0000000000000001E-4</v>
          </cell>
          <cell r="W4336"/>
        </row>
        <row r="4337">
          <cell r="A4337" t="str">
            <v>RPS04S125-0030</v>
          </cell>
          <cell r="B4337"/>
          <cell r="C4337"/>
          <cell r="D4337"/>
          <cell r="E4337"/>
          <cell r="F4337"/>
          <cell r="G4337"/>
          <cell r="H4337"/>
          <cell r="I4337"/>
          <cell r="J4337"/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</row>
        <row r="4338">
          <cell r="A4338" t="str">
            <v>RPS04S125-0031</v>
          </cell>
          <cell r="B4338"/>
          <cell r="C4338"/>
          <cell r="D4338"/>
          <cell r="E4338"/>
          <cell r="F4338"/>
          <cell r="G4338"/>
          <cell r="H4338"/>
          <cell r="I4338"/>
          <cell r="J4338"/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>
            <v>2.0000000000000001E-4</v>
          </cell>
          <cell r="W4338"/>
        </row>
        <row r="4339">
          <cell r="A4339" t="str">
            <v>RPS04S1260</v>
          </cell>
          <cell r="B4339"/>
          <cell r="C4339"/>
          <cell r="D4339"/>
          <cell r="E4339"/>
          <cell r="F4339"/>
          <cell r="G4339"/>
          <cell r="H4339"/>
          <cell r="I4339"/>
          <cell r="J4339"/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</row>
        <row r="4340">
          <cell r="A4340" t="str">
            <v>RPS04S1261</v>
          </cell>
          <cell r="B4340"/>
          <cell r="C4340"/>
          <cell r="D4340"/>
          <cell r="E4340"/>
          <cell r="F4340"/>
          <cell r="G4340"/>
          <cell r="H4340"/>
          <cell r="I4340"/>
          <cell r="J4340"/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>
            <v>1.167E-4</v>
          </cell>
          <cell r="W4340"/>
        </row>
        <row r="4341">
          <cell r="A4341" t="str">
            <v>RPS04S1310</v>
          </cell>
          <cell r="B4341"/>
          <cell r="C4341"/>
          <cell r="D4341"/>
          <cell r="E4341"/>
          <cell r="F4341"/>
          <cell r="G4341"/>
          <cell r="H4341"/>
          <cell r="I4341"/>
          <cell r="J4341"/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</row>
        <row r="4342">
          <cell r="A4342" t="str">
            <v>RPS04S1311</v>
          </cell>
          <cell r="B4342"/>
          <cell r="C4342"/>
          <cell r="D4342"/>
          <cell r="E4342"/>
          <cell r="F4342"/>
          <cell r="G4342"/>
          <cell r="H4342"/>
          <cell r="I4342"/>
          <cell r="J4342"/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>
            <v>1.167E-4</v>
          </cell>
          <cell r="W4342"/>
        </row>
        <row r="4343">
          <cell r="A4343" t="str">
            <v>RPS0700739-003</v>
          </cell>
          <cell r="B4343"/>
          <cell r="C4343"/>
          <cell r="D4343"/>
          <cell r="E4343"/>
          <cell r="F4343"/>
          <cell r="G4343">
            <v>0.14013890000000001</v>
          </cell>
          <cell r="H4343"/>
          <cell r="I4343"/>
          <cell r="J4343"/>
          <cell r="K4343"/>
          <cell r="L4343"/>
          <cell r="M4343"/>
          <cell r="N4343">
            <v>0.58082719999999999</v>
          </cell>
          <cell r="O4343"/>
          <cell r="P4343"/>
          <cell r="Q4343"/>
          <cell r="R4343"/>
          <cell r="S4343"/>
          <cell r="T4343"/>
          <cell r="U4343"/>
          <cell r="V4343"/>
          <cell r="W4343"/>
        </row>
        <row r="4344">
          <cell r="A4344" t="str">
            <v>RPS0700739-004</v>
          </cell>
          <cell r="B4344"/>
          <cell r="C4344"/>
          <cell r="D4344"/>
          <cell r="E4344"/>
          <cell r="F4344"/>
          <cell r="G4344">
            <v>3.8194400000000003E-2</v>
          </cell>
          <cell r="H4344"/>
          <cell r="I4344"/>
          <cell r="J4344"/>
          <cell r="K4344"/>
          <cell r="L4344"/>
          <cell r="M4344"/>
          <cell r="N4344">
            <v>0.42552079999999998</v>
          </cell>
          <cell r="O4344"/>
          <cell r="P4344"/>
          <cell r="Q4344"/>
          <cell r="R4344"/>
          <cell r="S4344"/>
          <cell r="T4344"/>
          <cell r="U4344"/>
          <cell r="V4344"/>
          <cell r="W4344"/>
        </row>
        <row r="4345">
          <cell r="A4345" t="str">
            <v>RPS0700749-002</v>
          </cell>
          <cell r="B4345"/>
          <cell r="C4345"/>
          <cell r="D4345"/>
          <cell r="E4345"/>
          <cell r="F4345"/>
          <cell r="G4345">
            <v>0.14013890000000001</v>
          </cell>
          <cell r="H4345"/>
          <cell r="I4345"/>
          <cell r="J4345"/>
          <cell r="K4345"/>
          <cell r="L4345"/>
          <cell r="M4345"/>
          <cell r="N4345">
            <v>0.57250000000000001</v>
          </cell>
          <cell r="O4345"/>
          <cell r="P4345"/>
          <cell r="Q4345"/>
          <cell r="R4345"/>
          <cell r="S4345"/>
          <cell r="T4345"/>
          <cell r="U4345"/>
          <cell r="V4345"/>
          <cell r="W4345"/>
        </row>
        <row r="4346">
          <cell r="A4346" t="str">
            <v>RPS0700749-004</v>
          </cell>
          <cell r="B4346"/>
          <cell r="C4346"/>
          <cell r="D4346"/>
          <cell r="E4346"/>
          <cell r="F4346"/>
          <cell r="G4346">
            <v>0.14013890000000001</v>
          </cell>
          <cell r="H4346"/>
          <cell r="I4346"/>
          <cell r="J4346"/>
          <cell r="K4346"/>
          <cell r="L4346"/>
          <cell r="M4346"/>
          <cell r="N4346">
            <v>0.57886539999999997</v>
          </cell>
          <cell r="O4346"/>
          <cell r="P4346"/>
          <cell r="Q4346"/>
          <cell r="R4346"/>
          <cell r="S4346"/>
          <cell r="T4346"/>
          <cell r="U4346"/>
          <cell r="V4346"/>
          <cell r="W4346"/>
        </row>
        <row r="4347">
          <cell r="A4347" t="str">
            <v>RPS07B012</v>
          </cell>
          <cell r="B4347"/>
          <cell r="C4347"/>
          <cell r="D4347"/>
          <cell r="E4347"/>
          <cell r="F4347">
            <v>5.5555999999999999E-3</v>
          </cell>
          <cell r="G4347"/>
          <cell r="H4347">
            <v>2.7778E-3</v>
          </cell>
          <cell r="I4347"/>
          <cell r="J4347"/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</row>
        <row r="4348">
          <cell r="A4348" t="str">
            <v>RPS07S0311</v>
          </cell>
          <cell r="B4348"/>
          <cell r="C4348"/>
          <cell r="D4348"/>
          <cell r="E4348"/>
          <cell r="F4348"/>
          <cell r="G4348"/>
          <cell r="H4348"/>
          <cell r="I4348"/>
          <cell r="J4348"/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</row>
        <row r="4349">
          <cell r="A4349" t="str">
            <v>RPS07S0311U</v>
          </cell>
          <cell r="B4349"/>
          <cell r="C4349"/>
          <cell r="D4349"/>
          <cell r="E4349"/>
          <cell r="F4349"/>
          <cell r="G4349"/>
          <cell r="H4349"/>
          <cell r="I4349"/>
          <cell r="J4349"/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</row>
        <row r="4350">
          <cell r="A4350" t="str">
            <v>(blank)</v>
          </cell>
          <cell r="B4350"/>
          <cell r="C4350"/>
          <cell r="D4350"/>
          <cell r="E4350"/>
          <cell r="F4350"/>
          <cell r="G4350"/>
          <cell r="H4350"/>
          <cell r="I4350"/>
          <cell r="J4350"/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rch Bar"/>
      <sheetName val="Backup file"/>
      <sheetName val="346 Cycle time"/>
      <sheetName val="552 Cycle time"/>
      <sheetName val="Data"/>
      <sheetName val="Search Conditions"/>
      <sheetName val="Info"/>
    </sheetNames>
    <sheetDataSet>
      <sheetData sheetId="0"/>
      <sheetData sheetId="1">
        <row r="1">
          <cell r="A1" t="str">
            <v>Part Number</v>
          </cell>
          <cell r="B1" t="str">
            <v>Description</v>
          </cell>
          <cell r="C1" t="str">
            <v>Cycle time</v>
          </cell>
          <cell r="D1" t="str">
            <v>For one shift with 85% Effy</v>
          </cell>
          <cell r="E1" t="str">
            <v>Per day OP</v>
          </cell>
          <cell r="F1" t="str">
            <v>Inspection and Packing Cycle time</v>
          </cell>
        </row>
        <row r="2">
          <cell r="A2" t="str">
            <v>51939-973LF</v>
          </cell>
          <cell r="B2" t="str">
            <v>51939-973LF PwrBlade RAH</v>
          </cell>
          <cell r="C2">
            <v>1.4599999999999999E-3</v>
          </cell>
          <cell r="D2">
            <v>4075.3424657534251</v>
          </cell>
          <cell r="E2">
            <v>12226.027397260275</v>
          </cell>
          <cell r="F2">
            <v>1.3140000000000001E-2</v>
          </cell>
        </row>
        <row r="3">
          <cell r="A3" t="str">
            <v>51939-1269FLF</v>
          </cell>
          <cell r="B3" t="str">
            <v>51939-1269FLF PwrBlade RAH</v>
          </cell>
          <cell r="C3">
            <v>2.1603E-3</v>
          </cell>
          <cell r="D3">
            <v>2754.2470953108364</v>
          </cell>
          <cell r="E3">
            <v>8262.7412859325086</v>
          </cell>
          <cell r="F3">
            <v>2.0162800000000002E-2</v>
          </cell>
        </row>
        <row r="4">
          <cell r="A4" t="str">
            <v>51939-1057LF</v>
          </cell>
          <cell r="B4" t="str">
            <v>51939-1057LF PwrBlade RAH STB</v>
          </cell>
          <cell r="C4">
            <v>1.9E-3</v>
          </cell>
          <cell r="D4">
            <v>3131.5789473684213</v>
          </cell>
          <cell r="E4">
            <v>9394.7368421052633</v>
          </cell>
          <cell r="F4">
            <v>8.1861599999999996E-3</v>
          </cell>
        </row>
        <row r="5">
          <cell r="A5" t="str">
            <v>51939-1222LHLF</v>
          </cell>
          <cell r="B5" t="str">
            <v>51939-1222LHLF PwrBlade RAH</v>
          </cell>
          <cell r="C5">
            <v>3.3E-3</v>
          </cell>
          <cell r="D5">
            <v>1803.030303030303</v>
          </cell>
          <cell r="E5">
            <v>5409.090909090909</v>
          </cell>
          <cell r="F5">
            <v>2.6620999999999999E-2</v>
          </cell>
        </row>
        <row r="6">
          <cell r="A6" t="str">
            <v>51720-10107201AALF</v>
          </cell>
          <cell r="B6" t="str">
            <v>51720-10107201AALF PwrBlade RAH</v>
          </cell>
          <cell r="C6">
            <v>2E-3</v>
          </cell>
          <cell r="D6">
            <v>2975</v>
          </cell>
          <cell r="E6">
            <v>8925</v>
          </cell>
          <cell r="F6">
            <v>2.52E-2</v>
          </cell>
        </row>
        <row r="7">
          <cell r="A7" t="str">
            <v>51939-1112LF</v>
          </cell>
          <cell r="B7" t="str">
            <v>51939-1112LF PwrBlade RAH STB</v>
          </cell>
          <cell r="C7">
            <v>9.7999999999999997E-3</v>
          </cell>
          <cell r="D7">
            <v>607.14285714285722</v>
          </cell>
          <cell r="E7">
            <v>1821.4285714285716</v>
          </cell>
          <cell r="F7">
            <v>1.4999999999999999E-2</v>
          </cell>
        </row>
        <row r="8">
          <cell r="A8" t="str">
            <v>51940-603LF</v>
          </cell>
          <cell r="B8" t="str">
            <v>51940-603LF PwrBlade VTR</v>
          </cell>
          <cell r="C8">
            <v>2.9499999999999998E-2</v>
          </cell>
          <cell r="D8">
            <v>201.69491525423732</v>
          </cell>
          <cell r="E8">
            <v>605.08474576271192</v>
          </cell>
          <cell r="F8">
            <v>1.35E-2</v>
          </cell>
        </row>
        <row r="9">
          <cell r="A9" t="str">
            <v>51730-155LF</v>
          </cell>
          <cell r="B9" t="str">
            <v>51730-155LF PwrBlade RAH STB</v>
          </cell>
          <cell r="C9">
            <v>1.6378E-3</v>
          </cell>
          <cell r="D9">
            <v>3632.9222127243866</v>
          </cell>
          <cell r="E9">
            <v>10898.76663817316</v>
          </cell>
          <cell r="F9">
            <v>2.4997999999999999E-3</v>
          </cell>
        </row>
        <row r="10">
          <cell r="A10" t="str">
            <v>51939-981LF</v>
          </cell>
          <cell r="B10" t="str">
            <v>51939-981LF PwrBlade RAH STB</v>
          </cell>
          <cell r="C10">
            <v>6.7000000000000002E-3</v>
          </cell>
          <cell r="D10">
            <v>888.05970149253733</v>
          </cell>
          <cell r="E10">
            <v>2664.1791044776119</v>
          </cell>
          <cell r="F10">
            <v>6.5000000000000002E-2</v>
          </cell>
        </row>
        <row r="11">
          <cell r="A11" t="str">
            <v>51939-726LF</v>
          </cell>
          <cell r="B11" t="str">
            <v>51939-726LF PwrBlade RAH STB</v>
          </cell>
          <cell r="C11">
            <v>2E-3</v>
          </cell>
          <cell r="D11">
            <v>2975</v>
          </cell>
          <cell r="E11">
            <v>8925</v>
          </cell>
          <cell r="F11">
            <v>2.3649091000000001E-2</v>
          </cell>
        </row>
        <row r="12">
          <cell r="A12" t="str">
            <v>51740-10402404CCLF</v>
          </cell>
          <cell r="B12" t="str">
            <v>51740-10402404CCLF PwrBlade VTR</v>
          </cell>
          <cell r="C12">
            <v>3.06362E-3</v>
          </cell>
          <cell r="D12">
            <v>1942.1468720010969</v>
          </cell>
          <cell r="E12">
            <v>5826.4406160032904</v>
          </cell>
          <cell r="F12">
            <v>7.3155E-3</v>
          </cell>
        </row>
        <row r="13">
          <cell r="A13" t="str">
            <v>51939-1251LF</v>
          </cell>
          <cell r="B13" t="str">
            <v>51939-1251LF Connector,PBRAH</v>
          </cell>
          <cell r="C13">
            <v>3.3E-3</v>
          </cell>
          <cell r="D13">
            <v>1803.030303030303</v>
          </cell>
          <cell r="E13">
            <v>5409.090909090909</v>
          </cell>
          <cell r="F13">
            <v>2.8000000000000001E-2</v>
          </cell>
        </row>
        <row r="14">
          <cell r="A14" t="str">
            <v>51730-016LF</v>
          </cell>
          <cell r="B14" t="str">
            <v>51730-016LF PwrBlade RAH</v>
          </cell>
          <cell r="C14">
            <v>1.9E-3</v>
          </cell>
          <cell r="D14">
            <v>3131.5789473684213</v>
          </cell>
          <cell r="E14">
            <v>9394.7368421052633</v>
          </cell>
          <cell r="F14">
            <v>6.0895419999999999E-3</v>
          </cell>
        </row>
        <row r="15">
          <cell r="A15" t="str">
            <v>51731-029LF</v>
          </cell>
          <cell r="B15" t="str">
            <v>51731-029LF Connector,PBRAH</v>
          </cell>
          <cell r="C15">
            <v>1.9E-3</v>
          </cell>
          <cell r="D15">
            <v>3131.5789473684213</v>
          </cell>
          <cell r="E15">
            <v>9394.7368421052633</v>
          </cell>
          <cell r="F15">
            <v>2.2700000000000001E-2</v>
          </cell>
        </row>
        <row r="16">
          <cell r="A16" t="str">
            <v>51720-10903209AALF</v>
          </cell>
          <cell r="B16" t="str">
            <v>51720-10903209AALF PwrBlade RAH</v>
          </cell>
          <cell r="C16">
            <v>4.0000000000000001E-3</v>
          </cell>
          <cell r="D16">
            <v>1487.5</v>
          </cell>
          <cell r="E16">
            <v>4462.5</v>
          </cell>
          <cell r="F16">
            <v>6.5000000000000002E-2</v>
          </cell>
        </row>
        <row r="17">
          <cell r="A17" t="str">
            <v>51741-10000806AALF</v>
          </cell>
          <cell r="B17" t="str">
            <v>51741-10000806AALF Connector,PBVTR</v>
          </cell>
          <cell r="C17">
            <v>3.3999999999999998E-3</v>
          </cell>
          <cell r="D17">
            <v>1750.0000000000002</v>
          </cell>
          <cell r="E17">
            <v>5250.0000000000009</v>
          </cell>
          <cell r="F17">
            <v>1.37E-2</v>
          </cell>
        </row>
        <row r="18">
          <cell r="A18" t="str">
            <v>51730-233LF</v>
          </cell>
          <cell r="B18" t="str">
            <v>51730-233LF Connector,PBRAH</v>
          </cell>
          <cell r="C18">
            <v>3.0000000000000001E-3</v>
          </cell>
          <cell r="D18">
            <v>1983.3333333333333</v>
          </cell>
          <cell r="E18">
            <v>5950</v>
          </cell>
          <cell r="F18">
            <v>3.2000000000000001E-2</v>
          </cell>
        </row>
        <row r="19">
          <cell r="A19" t="str">
            <v>51721-10002404AALF</v>
          </cell>
          <cell r="B19" t="str">
            <v>51721-10002404AALF Connector,PBRAH</v>
          </cell>
          <cell r="C19">
            <v>1.9E-3</v>
          </cell>
          <cell r="D19">
            <v>3131.5789473684213</v>
          </cell>
          <cell r="E19">
            <v>9394.7368421052633</v>
          </cell>
          <cell r="F19">
            <v>1.55E-2</v>
          </cell>
        </row>
        <row r="20">
          <cell r="A20" t="str">
            <v>51856-001LF</v>
          </cell>
          <cell r="B20" t="str">
            <v>51856-001LF PwrBlade RAH</v>
          </cell>
          <cell r="C20">
            <v>3.7000000000000002E-3</v>
          </cell>
          <cell r="D20">
            <v>1608.1081081081081</v>
          </cell>
          <cell r="E20">
            <v>4824.3243243243242</v>
          </cell>
          <cell r="F20">
            <v>2.0279199000000001E-2</v>
          </cell>
        </row>
        <row r="21">
          <cell r="A21" t="str">
            <v>51721-10002004AALF</v>
          </cell>
          <cell r="B21" t="str">
            <v>51721-10002004AALF PwrBlade RAH</v>
          </cell>
          <cell r="C21">
            <v>1.9E-3</v>
          </cell>
          <cell r="D21">
            <v>3131.5789473684213</v>
          </cell>
          <cell r="E21">
            <v>9394.7368421052633</v>
          </cell>
          <cell r="F21">
            <v>1.6914999999999999E-2</v>
          </cell>
        </row>
        <row r="22">
          <cell r="A22" t="str">
            <v>51939-978LF</v>
          </cell>
          <cell r="B22" t="str">
            <v>51939-978LF PwrBlade RAH STB</v>
          </cell>
          <cell r="C22">
            <v>0.01</v>
          </cell>
          <cell r="D22">
            <v>595</v>
          </cell>
          <cell r="E22">
            <v>1785</v>
          </cell>
          <cell r="F22">
            <v>6.7000000000000004E-2</v>
          </cell>
        </row>
        <row r="23">
          <cell r="A23" t="str">
            <v>51730-223LF</v>
          </cell>
          <cell r="B23" t="str">
            <v>51730-223LF PwrBlade RAH STB</v>
          </cell>
          <cell r="C23">
            <v>2E-3</v>
          </cell>
          <cell r="D23">
            <v>2975</v>
          </cell>
          <cell r="E23">
            <v>8925</v>
          </cell>
          <cell r="F23">
            <v>2.1000000000000001E-2</v>
          </cell>
        </row>
        <row r="24">
          <cell r="A24" t="str">
            <v>51939-1015LF</v>
          </cell>
          <cell r="B24" t="str">
            <v>51939-1015LF Connector,PBRAH</v>
          </cell>
          <cell r="C24">
            <v>3.3E-3</v>
          </cell>
          <cell r="D24">
            <v>1803.030303030303</v>
          </cell>
          <cell r="E24">
            <v>5409.090909090909</v>
          </cell>
          <cell r="F24">
            <v>1.6500000000000001E-2</v>
          </cell>
        </row>
        <row r="25">
          <cell r="A25" t="str">
            <v>51939-667LF</v>
          </cell>
          <cell r="B25" t="str">
            <v>51939-667LF PwrBlade RAH STB</v>
          </cell>
          <cell r="C25">
            <v>2E-3</v>
          </cell>
          <cell r="D25">
            <v>2975</v>
          </cell>
          <cell r="E25">
            <v>8925</v>
          </cell>
          <cell r="F25">
            <v>3.9E-2</v>
          </cell>
        </row>
        <row r="26">
          <cell r="A26" t="str">
            <v>51740-10402402CCLF</v>
          </cell>
          <cell r="B26" t="str">
            <v>51740-10402402CCLF PwrBlade VR</v>
          </cell>
          <cell r="C26">
            <v>3.2499999999999999E-3</v>
          </cell>
          <cell r="D26">
            <v>1830.7692307692309</v>
          </cell>
          <cell r="E26">
            <v>5492.3076923076933</v>
          </cell>
          <cell r="F26">
            <v>2.5000000000000001E-2</v>
          </cell>
        </row>
        <row r="27">
          <cell r="A27" t="str">
            <v>51731-043LF</v>
          </cell>
          <cell r="B27" t="str">
            <v>51731-043LF PwrBlade RAH STB</v>
          </cell>
          <cell r="C27">
            <v>1.3164159999999999E-3</v>
          </cell>
          <cell r="D27">
            <v>4519.847829257621</v>
          </cell>
          <cell r="E27">
            <v>13559.543487772862</v>
          </cell>
          <cell r="F27">
            <v>6.6972660000000003E-3</v>
          </cell>
        </row>
        <row r="28">
          <cell r="A28" t="str">
            <v>51939-999LF</v>
          </cell>
          <cell r="B28" t="str">
            <v>51939-999LF PwrBlade RAH STB</v>
          </cell>
          <cell r="C28">
            <v>2E-3</v>
          </cell>
          <cell r="D28">
            <v>2975</v>
          </cell>
          <cell r="E28">
            <v>8925</v>
          </cell>
          <cell r="F28">
            <v>2.1999999999999999E-2</v>
          </cell>
        </row>
        <row r="29">
          <cell r="A29" t="str">
            <v>51939-111LF</v>
          </cell>
          <cell r="B29" t="str">
            <v>51939-111LF Connector,PBRAH</v>
          </cell>
          <cell r="C29">
            <v>3.7000000000000002E-3</v>
          </cell>
          <cell r="D29">
            <v>1608.1081081081081</v>
          </cell>
          <cell r="E29">
            <v>4824.3243243243242</v>
          </cell>
          <cell r="F29">
            <v>5.0500000000000003E-2</v>
          </cell>
        </row>
        <row r="30">
          <cell r="A30" t="str">
            <v>51732-011AULF</v>
          </cell>
          <cell r="B30" t="str">
            <v>51732-011AULF PwrBlade RAH</v>
          </cell>
          <cell r="C30">
            <v>1.9E-3</v>
          </cell>
          <cell r="D30">
            <v>3131.5789473684213</v>
          </cell>
          <cell r="E30">
            <v>9394.7368421052633</v>
          </cell>
          <cell r="F30">
            <v>2.5899999999999999E-2</v>
          </cell>
        </row>
        <row r="31">
          <cell r="A31" t="str">
            <v>51730-103LF</v>
          </cell>
          <cell r="B31" t="str">
            <v>51730-103LF PwrBlade RAH</v>
          </cell>
          <cell r="C31">
            <v>1.9E-3</v>
          </cell>
          <cell r="D31">
            <v>3131.5789473684213</v>
          </cell>
          <cell r="E31">
            <v>9394.7368421052633</v>
          </cell>
          <cell r="F31">
            <v>9.1000000000000004E-3</v>
          </cell>
        </row>
        <row r="32">
          <cell r="A32" t="str">
            <v>51720-10202402AALF</v>
          </cell>
          <cell r="B32" t="str">
            <v>51720-10202402AALF PwrBlade RAH</v>
          </cell>
          <cell r="C32">
            <v>1.9E-3</v>
          </cell>
          <cell r="D32">
            <v>3131.5789473684213</v>
          </cell>
          <cell r="E32">
            <v>9394.7368421052633</v>
          </cell>
          <cell r="F32">
            <v>0.01</v>
          </cell>
        </row>
        <row r="33">
          <cell r="A33" t="str">
            <v>51939-930LF</v>
          </cell>
          <cell r="B33" t="str">
            <v>51939-930LF PwrBlade RAH STB</v>
          </cell>
          <cell r="C33">
            <v>2E-3</v>
          </cell>
          <cell r="D33">
            <v>2975</v>
          </cell>
          <cell r="E33">
            <v>8925</v>
          </cell>
          <cell r="F33">
            <v>2.7186603E-2</v>
          </cell>
        </row>
        <row r="34">
          <cell r="A34" t="str">
            <v>51730-089LF</v>
          </cell>
          <cell r="B34" t="str">
            <v>51730-089LF PwrBlade RAH</v>
          </cell>
          <cell r="C34">
            <v>2.0999999999999999E-3</v>
          </cell>
          <cell r="D34">
            <v>2833.3333333333335</v>
          </cell>
          <cell r="E34">
            <v>8500</v>
          </cell>
          <cell r="F34">
            <v>2.2600855999999999E-2</v>
          </cell>
        </row>
        <row r="35">
          <cell r="A35" t="str">
            <v>51624-XX001LF</v>
          </cell>
          <cell r="B35" t="str">
            <v>51624-XX001LF PwrBlade RAH</v>
          </cell>
          <cell r="C35">
            <v>1.9E-3</v>
          </cell>
          <cell r="D35">
            <v>3131.5789473684213</v>
          </cell>
          <cell r="E35">
            <v>9394.7368421052633</v>
          </cell>
          <cell r="F35">
            <v>2.0571915999999999E-2</v>
          </cell>
        </row>
        <row r="36">
          <cell r="A36" t="str">
            <v>51940-421LF</v>
          </cell>
          <cell r="B36" t="str">
            <v>51940-421LF PwrBlade VR</v>
          </cell>
          <cell r="C36" t="e">
            <v>#N/A</v>
          </cell>
          <cell r="D36" t="e">
            <v>#N/A</v>
          </cell>
          <cell r="E36" t="e">
            <v>#N/A</v>
          </cell>
          <cell r="F36">
            <v>9.7000000000000003E-3</v>
          </cell>
        </row>
        <row r="37">
          <cell r="A37" t="str">
            <v>51940-459LF</v>
          </cell>
          <cell r="B37" t="str">
            <v>51940-459LF Connector,PBVTR</v>
          </cell>
          <cell r="C37">
            <v>3.0000000000000001E-3</v>
          </cell>
          <cell r="D37">
            <v>1983.3333333333333</v>
          </cell>
          <cell r="E37">
            <v>5950</v>
          </cell>
          <cell r="F37">
            <v>2.5999999999999999E-2</v>
          </cell>
        </row>
        <row r="38">
          <cell r="A38" t="str">
            <v>51740-10202402CALF</v>
          </cell>
          <cell r="B38" t="str">
            <v>51740-10202402CALF PwrBlade VR PF</v>
          </cell>
          <cell r="C38">
            <v>3.0000000000000001E-3</v>
          </cell>
          <cell r="D38">
            <v>1983.3333333333333</v>
          </cell>
          <cell r="E38">
            <v>5950</v>
          </cell>
          <cell r="F38">
            <v>4.5100000000000001E-3</v>
          </cell>
        </row>
        <row r="39">
          <cell r="A39" t="str">
            <v>51939-679LF</v>
          </cell>
          <cell r="B39" t="str">
            <v>51939-679LF PwrBlade RAH STB</v>
          </cell>
          <cell r="C39">
            <v>2E-3</v>
          </cell>
          <cell r="D39">
            <v>2975</v>
          </cell>
          <cell r="E39">
            <v>8925</v>
          </cell>
          <cell r="F39">
            <v>3.3815179000000001E-2</v>
          </cell>
        </row>
        <row r="40">
          <cell r="A40" t="str">
            <v>51939-1283FLF</v>
          </cell>
          <cell r="B40" t="str">
            <v>51939-1283FLF PwrBlade RAH STB</v>
          </cell>
          <cell r="C40">
            <v>8.9999999999999993E-3</v>
          </cell>
          <cell r="D40">
            <v>661.1111111111112</v>
          </cell>
          <cell r="E40">
            <v>1983.3333333333335</v>
          </cell>
          <cell r="F40">
            <v>2.1000000000000001E-2</v>
          </cell>
        </row>
        <row r="41">
          <cell r="A41" t="str">
            <v>51939-140LF</v>
          </cell>
          <cell r="B41" t="str">
            <v>51939-140LF PwrBlade RAH STB</v>
          </cell>
          <cell r="C41">
            <v>1.9E-3</v>
          </cell>
          <cell r="D41">
            <v>3131.5789473684213</v>
          </cell>
          <cell r="E41">
            <v>9394.7368421052633</v>
          </cell>
          <cell r="F41">
            <v>1.3223967E-2</v>
          </cell>
        </row>
        <row r="42">
          <cell r="A42" t="str">
            <v>51741-10002406CCLF</v>
          </cell>
          <cell r="B42" t="str">
            <v>51741-10002406CCLF PwrBlade VTR</v>
          </cell>
          <cell r="C42">
            <v>3.0000000000000001E-3</v>
          </cell>
          <cell r="D42">
            <v>1983.3333333333333</v>
          </cell>
          <cell r="E42">
            <v>5950</v>
          </cell>
          <cell r="F42">
            <v>8.2510399999999994E-3</v>
          </cell>
        </row>
        <row r="43">
          <cell r="A43" t="str">
            <v>51939-1081LF</v>
          </cell>
          <cell r="B43" t="str">
            <v>51939-1081LF Connector,PBRAH</v>
          </cell>
          <cell r="C43">
            <v>6.1000000000000004E-3</v>
          </cell>
          <cell r="D43">
            <v>975.4098360655737</v>
          </cell>
          <cell r="E43">
            <v>2926.2295081967213</v>
          </cell>
          <cell r="F43">
            <v>2.1999999999999999E-2</v>
          </cell>
        </row>
        <row r="44">
          <cell r="A44" t="str">
            <v>51731-023LF</v>
          </cell>
          <cell r="B44" t="str">
            <v>51731-023LF PwrBlade RAH</v>
          </cell>
          <cell r="C44">
            <v>1.9E-3</v>
          </cell>
          <cell r="D44">
            <v>3131.5789473684213</v>
          </cell>
          <cell r="E44">
            <v>9394.7368421052633</v>
          </cell>
          <cell r="F44">
            <v>2.4456236999999999E-2</v>
          </cell>
        </row>
        <row r="45">
          <cell r="A45" t="str">
            <v>51742-10602400CCLF</v>
          </cell>
          <cell r="B45" t="str">
            <v>51742-10602400CCLF Connector,PBVTR</v>
          </cell>
          <cell r="C45">
            <v>3.0000000000000001E-3</v>
          </cell>
          <cell r="D45">
            <v>1983.3333333333333</v>
          </cell>
          <cell r="E45">
            <v>5950</v>
          </cell>
          <cell r="F45">
            <v>2.5000000000000001E-2</v>
          </cell>
        </row>
        <row r="46">
          <cell r="A46" t="str">
            <v>51939-1111LF</v>
          </cell>
          <cell r="B46" t="str">
            <v>51939-1111LF PwrBlade RAH PF</v>
          </cell>
          <cell r="C46">
            <v>3.3E-3</v>
          </cell>
          <cell r="D46">
            <v>1803.030303030303</v>
          </cell>
          <cell r="E46">
            <v>5409.090909090909</v>
          </cell>
          <cell r="F46">
            <v>2.6100000000000002E-2</v>
          </cell>
        </row>
        <row r="47">
          <cell r="A47" t="str">
            <v>51750-139LF</v>
          </cell>
          <cell r="B47" t="str">
            <v>51750-139LF Connector,PBVTR</v>
          </cell>
          <cell r="C47">
            <v>3.0000000000000001E-3</v>
          </cell>
          <cell r="D47">
            <v>1983.3333333333333</v>
          </cell>
          <cell r="E47">
            <v>5950</v>
          </cell>
          <cell r="F47">
            <v>2.7099999999999999E-2</v>
          </cell>
        </row>
        <row r="48">
          <cell r="A48" t="str">
            <v>51940-522LF</v>
          </cell>
          <cell r="B48" t="str">
            <v>51940-522LF PwrBlade VR</v>
          </cell>
          <cell r="C48">
            <v>4.0000000000000001E-3</v>
          </cell>
          <cell r="D48">
            <v>1487.5</v>
          </cell>
          <cell r="E48">
            <v>4462.5</v>
          </cell>
          <cell r="F48">
            <v>3.7999999999999999E-2</v>
          </cell>
        </row>
        <row r="49">
          <cell r="A49" t="str">
            <v>51750-099LF</v>
          </cell>
          <cell r="B49" t="str">
            <v>51750-099LF PwrBlade VR PF</v>
          </cell>
          <cell r="C49">
            <v>3.0000000000000001E-3</v>
          </cell>
          <cell r="D49">
            <v>1983.3333333333333</v>
          </cell>
          <cell r="E49">
            <v>5950</v>
          </cell>
          <cell r="F49">
            <v>2.5000000000000001E-2</v>
          </cell>
        </row>
        <row r="50">
          <cell r="A50" t="str">
            <v>51939-400LF</v>
          </cell>
          <cell r="B50" t="str">
            <v>51939-400LF Connector,PBRAH</v>
          </cell>
          <cell r="C50">
            <v>2E-3</v>
          </cell>
          <cell r="D50">
            <v>2975</v>
          </cell>
          <cell r="E50">
            <v>8925</v>
          </cell>
          <cell r="F50">
            <v>2.0500000000000001E-2</v>
          </cell>
        </row>
        <row r="51">
          <cell r="A51" t="str">
            <v>51740-10102001CCLF</v>
          </cell>
          <cell r="B51" t="str">
            <v>51740-10102001CCLF Connector,PBVTR</v>
          </cell>
          <cell r="C51">
            <v>3.0000000000000001E-3</v>
          </cell>
          <cell r="D51">
            <v>1983.3333333333333</v>
          </cell>
          <cell r="E51">
            <v>5950</v>
          </cell>
          <cell r="F51">
            <v>1.2500000000000001E-2</v>
          </cell>
        </row>
        <row r="52">
          <cell r="A52" t="str">
            <v>51730-099LF</v>
          </cell>
          <cell r="B52" t="str">
            <v>51730-099LF Connector,PBRAH</v>
          </cell>
          <cell r="C52">
            <v>2.0999999999999999E-3</v>
          </cell>
          <cell r="D52">
            <v>2833.3333333333335</v>
          </cell>
          <cell r="E52">
            <v>8500</v>
          </cell>
          <cell r="F52">
            <v>3.3099999999999997E-2</v>
          </cell>
        </row>
        <row r="53">
          <cell r="A53" t="str">
            <v>51939-977LF</v>
          </cell>
          <cell r="B53" t="str">
            <v>51939-977LF PwrBlade RAH STB</v>
          </cell>
          <cell r="C53">
            <v>2E-3</v>
          </cell>
          <cell r="D53">
            <v>2975</v>
          </cell>
          <cell r="E53">
            <v>8925</v>
          </cell>
          <cell r="F53">
            <v>4.2000000000000003E-2</v>
          </cell>
        </row>
        <row r="54">
          <cell r="A54" t="str">
            <v>51740-10202402AALF</v>
          </cell>
          <cell r="B54" t="str">
            <v>51740-10202402AALF PwrBlade VR</v>
          </cell>
          <cell r="C54">
            <v>3.0000000000000001E-3</v>
          </cell>
          <cell r="D54">
            <v>1983.3333333333333</v>
          </cell>
          <cell r="E54">
            <v>5950</v>
          </cell>
          <cell r="F54">
            <v>8.9346100000000008E-3</v>
          </cell>
        </row>
        <row r="55">
          <cell r="A55" t="str">
            <v>51742-10802400CCLF</v>
          </cell>
          <cell r="B55" t="str">
            <v>51742-10802400CCLF PwrBlade VR PF</v>
          </cell>
          <cell r="C55">
            <v>3.2499999999999999E-3</v>
          </cell>
          <cell r="D55">
            <v>1830.7692307692309</v>
          </cell>
          <cell r="E55">
            <v>5492.3076923076933</v>
          </cell>
          <cell r="F55">
            <v>1.2572010999999999E-2</v>
          </cell>
        </row>
        <row r="56">
          <cell r="A56" t="str">
            <v>51731-034LF</v>
          </cell>
          <cell r="B56" t="str">
            <v>51731-034LF PwrBlade RAH</v>
          </cell>
          <cell r="C56">
            <v>1.9E-3</v>
          </cell>
          <cell r="D56">
            <v>3131.5789473684213</v>
          </cell>
          <cell r="E56">
            <v>9394.7368421052633</v>
          </cell>
          <cell r="F56">
            <v>1.5655668000000001E-2</v>
          </cell>
        </row>
        <row r="57">
          <cell r="A57" t="str">
            <v>51966-10003200AALF</v>
          </cell>
          <cell r="B57" t="str">
            <v>51966-10003200AALF PwrBlade RAH STB</v>
          </cell>
          <cell r="C57">
            <v>1.6000000000000001E-3</v>
          </cell>
          <cell r="D57">
            <v>3718.75</v>
          </cell>
          <cell r="E57">
            <v>11156.25</v>
          </cell>
          <cell r="F57">
            <v>1.8980344E-2</v>
          </cell>
        </row>
        <row r="58">
          <cell r="A58" t="str">
            <v>51721-10002406AALF</v>
          </cell>
          <cell r="B58" t="str">
            <v>51721-10002406AALF PwrBlade RAH</v>
          </cell>
          <cell r="C58">
            <v>1.9E-3</v>
          </cell>
          <cell r="D58">
            <v>3131.5789473684213</v>
          </cell>
          <cell r="E58">
            <v>9394.7368421052633</v>
          </cell>
          <cell r="F58">
            <v>1.4404348000000001E-2</v>
          </cell>
        </row>
        <row r="59">
          <cell r="A59" t="str">
            <v>51741-10001204CCLF</v>
          </cell>
          <cell r="B59" t="str">
            <v>51741-10001204CCLF PwrBlade VR</v>
          </cell>
          <cell r="C59">
            <v>2.2499999999999998E-3</v>
          </cell>
          <cell r="D59">
            <v>2644.4444444444448</v>
          </cell>
          <cell r="E59">
            <v>7933.3333333333339</v>
          </cell>
          <cell r="F59">
            <v>9.4893000000000009E-3</v>
          </cell>
        </row>
        <row r="60">
          <cell r="A60" t="str">
            <v>51940-440LF</v>
          </cell>
          <cell r="B60" t="str">
            <v>51940-440LF PwrBlade VR</v>
          </cell>
          <cell r="C60">
            <v>2.9000000000000001E-2</v>
          </cell>
          <cell r="D60">
            <v>205.17241379310343</v>
          </cell>
          <cell r="E60">
            <v>615.51724137931024</v>
          </cell>
          <cell r="F60">
            <v>7.1999999999999995E-2</v>
          </cell>
        </row>
        <row r="61">
          <cell r="A61" t="str">
            <v>51751-005LF</v>
          </cell>
          <cell r="B61" t="str">
            <v>51751-005LF PwrBlade VR</v>
          </cell>
          <cell r="C61">
            <v>3.0000000000000001E-3</v>
          </cell>
          <cell r="D61">
            <v>1983.3333333333333</v>
          </cell>
          <cell r="E61">
            <v>5950</v>
          </cell>
          <cell r="F61">
            <v>9.2936919999999992E-3</v>
          </cell>
        </row>
        <row r="62">
          <cell r="A62" t="str">
            <v>51939-346LF</v>
          </cell>
          <cell r="B62" t="str">
            <v>51939-346LF PwrBlade RAH STB</v>
          </cell>
          <cell r="C62">
            <v>6.1000000000000004E-3</v>
          </cell>
          <cell r="D62">
            <v>975.4098360655737</v>
          </cell>
          <cell r="E62">
            <v>2926.2295081967213</v>
          </cell>
          <cell r="F62">
            <v>2.5899999999999999E-2</v>
          </cell>
        </row>
        <row r="63">
          <cell r="A63" t="str">
            <v>51720-10402404ABLF</v>
          </cell>
          <cell r="B63" t="str">
            <v>51720-10402404ABLF Connector,PBRAH</v>
          </cell>
          <cell r="C63">
            <v>1.6000000000000001E-3</v>
          </cell>
          <cell r="D63">
            <v>3718.75</v>
          </cell>
          <cell r="E63">
            <v>11156.25</v>
          </cell>
          <cell r="F63">
            <v>1.7000000000000001E-2</v>
          </cell>
        </row>
        <row r="64">
          <cell r="A64" t="str">
            <v>51939-768LF</v>
          </cell>
          <cell r="B64" t="str">
            <v>51939-768LF PwrBlade RAH STB</v>
          </cell>
          <cell r="C64">
            <v>2E-3</v>
          </cell>
          <cell r="D64">
            <v>2975</v>
          </cell>
          <cell r="E64">
            <v>8925</v>
          </cell>
          <cell r="F64">
            <v>1.43E-2</v>
          </cell>
        </row>
        <row r="65">
          <cell r="A65" t="str">
            <v>51940-687LF</v>
          </cell>
          <cell r="B65" t="str">
            <v>51940-687LF PwrBlade VR STB</v>
          </cell>
          <cell r="C65">
            <v>6.1999999999999998E-3</v>
          </cell>
          <cell r="D65">
            <v>959.67741935483878</v>
          </cell>
          <cell r="E65">
            <v>2879.0322580645161</v>
          </cell>
          <cell r="F65">
            <v>1.7500000000000002E-2</v>
          </cell>
        </row>
        <row r="66">
          <cell r="A66" t="str">
            <v>51413-XX001LF</v>
          </cell>
          <cell r="B66" t="str">
            <v>51413-XX001LF PwrBlade VR</v>
          </cell>
          <cell r="C66">
            <v>3.0000000000000001E-3</v>
          </cell>
          <cell r="D66">
            <v>1983.3333333333333</v>
          </cell>
          <cell r="E66">
            <v>5950</v>
          </cell>
          <cell r="F66">
            <v>1.7618000000000002E-2</v>
          </cell>
        </row>
        <row r="67">
          <cell r="A67" t="str">
            <v>51730-145LF</v>
          </cell>
          <cell r="B67" t="str">
            <v>51730-145LF PwrBlade RAH STB</v>
          </cell>
          <cell r="C67">
            <v>1.9E-3</v>
          </cell>
          <cell r="D67">
            <v>3131.5789473684213</v>
          </cell>
          <cell r="E67">
            <v>9394.7368421052633</v>
          </cell>
          <cell r="F67">
            <v>2.0617046E-2</v>
          </cell>
        </row>
        <row r="68">
          <cell r="A68" t="str">
            <v>51939-808LF</v>
          </cell>
          <cell r="B68" t="str">
            <v>51939-808LF PwrBlade RAH STB</v>
          </cell>
          <cell r="C68">
            <v>2E-3</v>
          </cell>
          <cell r="D68">
            <v>2975</v>
          </cell>
          <cell r="E68">
            <v>8925</v>
          </cell>
          <cell r="F68">
            <v>2.7210525999999999E-2</v>
          </cell>
        </row>
        <row r="69">
          <cell r="A69" t="str">
            <v>51742-10602000CCLF</v>
          </cell>
          <cell r="B69" t="str">
            <v>51742-10602000CCLF PwrBlade VR</v>
          </cell>
          <cell r="C69">
            <v>2.916667E-3</v>
          </cell>
          <cell r="D69">
            <v>2039.9997668571696</v>
          </cell>
          <cell r="E69">
            <v>6119.9993005715087</v>
          </cell>
          <cell r="F69">
            <v>1.5085377000000001E-2</v>
          </cell>
        </row>
        <row r="70">
          <cell r="A70" t="str">
            <v>51740-10100401AALF</v>
          </cell>
          <cell r="B70" t="str">
            <v>51740-10100401AALF Connector,PBVTR</v>
          </cell>
          <cell r="C70">
            <v>1.6000000000000001E-3</v>
          </cell>
          <cell r="D70">
            <v>3718.75</v>
          </cell>
          <cell r="E70">
            <v>11156.25</v>
          </cell>
          <cell r="F70">
            <v>2.4E-2</v>
          </cell>
        </row>
        <row r="71">
          <cell r="A71" t="str">
            <v>51940-007LF</v>
          </cell>
          <cell r="B71" t="str">
            <v>51940-007LF Connector,PBVTR</v>
          </cell>
          <cell r="C71">
            <v>3.0000000000000001E-3</v>
          </cell>
          <cell r="D71">
            <v>1983.3333333333333</v>
          </cell>
          <cell r="E71">
            <v>5950</v>
          </cell>
          <cell r="F71">
            <v>1.55E-2</v>
          </cell>
        </row>
        <row r="72">
          <cell r="A72" t="str">
            <v>51750-026LF</v>
          </cell>
          <cell r="B72" t="str">
            <v>51750-026LF Connector,PBVTR</v>
          </cell>
          <cell r="C72">
            <v>9.1999999999999998E-3</v>
          </cell>
          <cell r="D72">
            <v>646.73913043478262</v>
          </cell>
          <cell r="E72">
            <v>1940.217391304348</v>
          </cell>
          <cell r="F72">
            <v>1.6E-2</v>
          </cell>
        </row>
        <row r="73">
          <cell r="A73" t="str">
            <v>51939-711LF</v>
          </cell>
          <cell r="B73" t="str">
            <v>51939-711LF PwrBlade RAH STB</v>
          </cell>
          <cell r="C73">
            <v>2E-3</v>
          </cell>
          <cell r="D73">
            <v>2975</v>
          </cell>
          <cell r="E73">
            <v>8925</v>
          </cell>
          <cell r="F73">
            <v>8.8200000000000001E-2</v>
          </cell>
        </row>
        <row r="74">
          <cell r="A74" t="str">
            <v>51730-162LF</v>
          </cell>
          <cell r="B74" t="str">
            <v>51730-162LF Connector,PBRAH</v>
          </cell>
          <cell r="C74">
            <v>2E-3</v>
          </cell>
          <cell r="D74">
            <v>2975</v>
          </cell>
          <cell r="E74">
            <v>8925</v>
          </cell>
          <cell r="F74">
            <v>1.29E-2</v>
          </cell>
        </row>
        <row r="75">
          <cell r="A75" t="str">
            <v>51742-10801600AALF</v>
          </cell>
          <cell r="B75" t="str">
            <v>51742-10801600AALF PwrBlade VR</v>
          </cell>
          <cell r="C75">
            <v>3.0000000000000001E-3</v>
          </cell>
          <cell r="D75">
            <v>1983.3333333333333</v>
          </cell>
          <cell r="E75">
            <v>5950</v>
          </cell>
          <cell r="F75">
            <v>0.03</v>
          </cell>
        </row>
        <row r="76">
          <cell r="A76" t="str">
            <v>51940-072LF</v>
          </cell>
          <cell r="B76" t="str">
            <v>51940-072LF PwrBlade VR</v>
          </cell>
          <cell r="C76">
            <v>3.0000000000000001E-3</v>
          </cell>
          <cell r="D76">
            <v>1983.3333333333333</v>
          </cell>
          <cell r="E76">
            <v>5950</v>
          </cell>
          <cell r="F76">
            <v>2.18E-2</v>
          </cell>
        </row>
        <row r="77">
          <cell r="A77" t="str">
            <v>51967-10003200CALF</v>
          </cell>
          <cell r="B77" t="str">
            <v>51967-10003200CALF Connector,PBVTR</v>
          </cell>
          <cell r="C77">
            <v>4.0000000000000001E-3</v>
          </cell>
          <cell r="D77">
            <v>1487.5</v>
          </cell>
          <cell r="E77">
            <v>4462.5</v>
          </cell>
          <cell r="F77">
            <v>1.0999999999999999E-2</v>
          </cell>
        </row>
        <row r="78">
          <cell r="A78" t="str">
            <v>51740-10103201AALF</v>
          </cell>
          <cell r="B78" t="str">
            <v>51740-10103201AALF PwrBlade VR</v>
          </cell>
          <cell r="C78">
            <v>4.0000000000000001E-3</v>
          </cell>
          <cell r="D78">
            <v>1487.5</v>
          </cell>
          <cell r="E78">
            <v>4462.5</v>
          </cell>
          <cell r="F78">
            <v>2.1000000000000001E-2</v>
          </cell>
        </row>
        <row r="79">
          <cell r="A79" t="str">
            <v>51741-10002404CCLF</v>
          </cell>
          <cell r="B79" t="str">
            <v>51741-10002404CCLF PwrBlade VR</v>
          </cell>
          <cell r="C79">
            <v>3.0000000000000001E-3</v>
          </cell>
          <cell r="D79">
            <v>1983.3333333333333</v>
          </cell>
          <cell r="E79">
            <v>5950</v>
          </cell>
          <cell r="F79">
            <v>8.2825929999999996E-3</v>
          </cell>
        </row>
        <row r="80">
          <cell r="A80" t="str">
            <v>51940-053LF</v>
          </cell>
          <cell r="B80" t="str">
            <v>51940-053LF PwrBlade VR</v>
          </cell>
          <cell r="C80">
            <v>3.0000000000000001E-3</v>
          </cell>
          <cell r="D80">
            <v>1983.3333333333333</v>
          </cell>
          <cell r="E80">
            <v>5950</v>
          </cell>
          <cell r="F80">
            <v>1.030005E-2</v>
          </cell>
        </row>
        <row r="81">
          <cell r="A81" t="str">
            <v>51720-10100401AALF</v>
          </cell>
          <cell r="B81" t="str">
            <v>51720-10100401AALF Connector,PBRAH</v>
          </cell>
          <cell r="C81">
            <v>1.9E-3</v>
          </cell>
          <cell r="D81">
            <v>3131.5789473684213</v>
          </cell>
          <cell r="E81">
            <v>9394.7368421052633</v>
          </cell>
          <cell r="F81">
            <v>2.6200000000000001E-2</v>
          </cell>
        </row>
        <row r="82">
          <cell r="A82" t="str">
            <v>51666-001LF</v>
          </cell>
          <cell r="B82" t="str">
            <v>51666-001LF PwrBlade VR</v>
          </cell>
          <cell r="C82">
            <v>3.0000000000000001E-3</v>
          </cell>
          <cell r="D82">
            <v>1983.3333333333333</v>
          </cell>
          <cell r="E82">
            <v>5950</v>
          </cell>
          <cell r="F82">
            <v>1.0002018E-2</v>
          </cell>
        </row>
        <row r="83">
          <cell r="A83" t="str">
            <v>51939-915LF</v>
          </cell>
          <cell r="B83" t="str">
            <v>51939-915LF PwrBlade RAH STB</v>
          </cell>
          <cell r="C83">
            <v>2.7000000000000001E-3</v>
          </cell>
          <cell r="D83">
            <v>2203.7037037037035</v>
          </cell>
          <cell r="E83">
            <v>6611.1111111111104</v>
          </cell>
          <cell r="F83">
            <v>4.1000000000000002E-2</v>
          </cell>
        </row>
        <row r="84">
          <cell r="A84" t="str">
            <v>51722-10201200ABLF</v>
          </cell>
          <cell r="B84" t="str">
            <v>51722-10201200ABLF PwrBlade RAH</v>
          </cell>
          <cell r="C84">
            <v>1.9E-3</v>
          </cell>
          <cell r="D84">
            <v>3131.5789473684213</v>
          </cell>
          <cell r="E84">
            <v>9394.7368421052633</v>
          </cell>
          <cell r="F84">
            <v>8.1084390000000003E-3</v>
          </cell>
        </row>
        <row r="85">
          <cell r="A85" t="str">
            <v>51722-10802400DBLF</v>
          </cell>
          <cell r="B85" t="str">
            <v>51722-10802400DBLF PwrBlade RAH STB</v>
          </cell>
          <cell r="C85">
            <v>2E-3</v>
          </cell>
          <cell r="D85">
            <v>2975</v>
          </cell>
          <cell r="E85">
            <v>8925</v>
          </cell>
          <cell r="F85">
            <v>3.1E-2</v>
          </cell>
        </row>
        <row r="86">
          <cell r="A86" t="str">
            <v>51939-261LF</v>
          </cell>
          <cell r="B86" t="str">
            <v>51939-261LF Connector,PBRAH</v>
          </cell>
          <cell r="C86">
            <v>2E-3</v>
          </cell>
          <cell r="D86">
            <v>2975</v>
          </cell>
          <cell r="E86">
            <v>8925</v>
          </cell>
          <cell r="F86">
            <v>2.5999999999999999E-2</v>
          </cell>
        </row>
        <row r="87">
          <cell r="A87" t="str">
            <v>51940-062LF</v>
          </cell>
          <cell r="B87" t="str">
            <v>51940-062LF Connector,PBVTR</v>
          </cell>
          <cell r="C87">
            <v>3.0000000000000001E-3</v>
          </cell>
          <cell r="D87">
            <v>1983.3333333333333</v>
          </cell>
          <cell r="E87">
            <v>5950</v>
          </cell>
          <cell r="F87">
            <v>1.1299999999999999E-2</v>
          </cell>
        </row>
        <row r="88">
          <cell r="A88" t="str">
            <v>51742-10201200CCLF</v>
          </cell>
          <cell r="B88" t="str">
            <v>51742-10201200CCLF PwrBlade VR PF</v>
          </cell>
          <cell r="C88">
            <v>2E-3</v>
          </cell>
          <cell r="D88">
            <v>2975</v>
          </cell>
          <cell r="E88">
            <v>8925</v>
          </cell>
          <cell r="F88">
            <v>4.6750000000000003E-3</v>
          </cell>
        </row>
        <row r="89">
          <cell r="A89" t="str">
            <v>51731-008LF</v>
          </cell>
          <cell r="B89" t="str">
            <v>51731-008LF PwrBlade RAH</v>
          </cell>
          <cell r="C89">
            <v>1.6000000000000001E-3</v>
          </cell>
          <cell r="D89">
            <v>3718.75</v>
          </cell>
          <cell r="E89">
            <v>11156.25</v>
          </cell>
          <cell r="F89">
            <v>2.5399999999999999E-2</v>
          </cell>
        </row>
        <row r="90">
          <cell r="A90" t="str">
            <v>51730-148LF</v>
          </cell>
          <cell r="B90" t="str">
            <v>51730-148LF Connector,PBRAH</v>
          </cell>
          <cell r="C90">
            <v>1.9E-3</v>
          </cell>
          <cell r="D90">
            <v>3131.5789473684213</v>
          </cell>
          <cell r="E90">
            <v>9394.7368421052633</v>
          </cell>
          <cell r="F90">
            <v>2.2599999999999999E-2</v>
          </cell>
        </row>
        <row r="91">
          <cell r="A91" t="str">
            <v>51939-092LF</v>
          </cell>
          <cell r="B91" t="str">
            <v>51939-092LF PwrBlade RAH</v>
          </cell>
          <cell r="C91">
            <v>1.9E-3</v>
          </cell>
          <cell r="D91">
            <v>3131.5789473684213</v>
          </cell>
          <cell r="E91">
            <v>9394.7368421052633</v>
          </cell>
          <cell r="F91">
            <v>3.5999999999999997E-2</v>
          </cell>
        </row>
        <row r="92">
          <cell r="A92" t="str">
            <v>51897-008LF</v>
          </cell>
          <cell r="B92" t="str">
            <v>51897-008LF PwrBlade VR</v>
          </cell>
          <cell r="C92" t="e">
            <v>#N/A</v>
          </cell>
          <cell r="D92" t="e">
            <v>#N/A</v>
          </cell>
          <cell r="E92" t="e">
            <v>#N/A</v>
          </cell>
          <cell r="F92">
            <v>9.4999999999999998E-3</v>
          </cell>
        </row>
        <row r="93">
          <cell r="A93" t="str">
            <v>51722-10404800AALF</v>
          </cell>
          <cell r="B93" t="str">
            <v>51722-10404800AALF PwrBlade RAH STB</v>
          </cell>
          <cell r="C93">
            <v>2E-3</v>
          </cell>
          <cell r="D93">
            <v>2975</v>
          </cell>
          <cell r="E93">
            <v>8925</v>
          </cell>
          <cell r="F93">
            <v>2.9000000000000001E-2</v>
          </cell>
        </row>
        <row r="94">
          <cell r="A94" t="str">
            <v>51939-173LF</v>
          </cell>
          <cell r="B94" t="str">
            <v>51939-173LF Connector,PBRAH</v>
          </cell>
          <cell r="C94">
            <v>1.9E-3</v>
          </cell>
          <cell r="D94">
            <v>3131.5789473684213</v>
          </cell>
          <cell r="E94">
            <v>9394.7368421052633</v>
          </cell>
          <cell r="F94">
            <v>1.7899999999999999E-2</v>
          </cell>
        </row>
        <row r="95">
          <cell r="A95" t="str">
            <v>51743-10400000AALF</v>
          </cell>
          <cell r="B95" t="str">
            <v>51743-10400000AALF PwrBlade VR</v>
          </cell>
          <cell r="C95" t="e">
            <v>#N/A</v>
          </cell>
          <cell r="D95" t="e">
            <v>#N/A</v>
          </cell>
          <cell r="E95" t="e">
            <v>#N/A</v>
          </cell>
          <cell r="F95">
            <v>2.3E-2</v>
          </cell>
        </row>
        <row r="96">
          <cell r="A96" t="str">
            <v>51940-264LF</v>
          </cell>
          <cell r="B96" t="str">
            <v>51940-264LF Connector,PBVTR</v>
          </cell>
          <cell r="C96">
            <v>6.1000000000000004E-3</v>
          </cell>
          <cell r="D96">
            <v>975.4098360655737</v>
          </cell>
          <cell r="E96">
            <v>2926.2295081967213</v>
          </cell>
          <cell r="F96">
            <v>1.5100000000000001E-2</v>
          </cell>
        </row>
        <row r="97">
          <cell r="A97" t="str">
            <v>51721-10002408ABLF</v>
          </cell>
          <cell r="B97" t="str">
            <v>51721-10002408ABLF Connector,PBRAH</v>
          </cell>
          <cell r="C97">
            <v>1.6000000000000001E-3</v>
          </cell>
          <cell r="D97">
            <v>3718.75</v>
          </cell>
          <cell r="E97">
            <v>11156.25</v>
          </cell>
          <cell r="F97">
            <v>2.7400000000000001E-2</v>
          </cell>
        </row>
        <row r="98">
          <cell r="A98" t="str">
            <v>51740-10203202AALF</v>
          </cell>
          <cell r="B98" t="str">
            <v>51740-10203202AALF PwrBlade VR</v>
          </cell>
          <cell r="C98">
            <v>4.0000000000000001E-3</v>
          </cell>
          <cell r="D98">
            <v>1487.5</v>
          </cell>
          <cell r="E98">
            <v>4462.5</v>
          </cell>
          <cell r="F98">
            <v>2.4E-2</v>
          </cell>
        </row>
        <row r="99">
          <cell r="A99" t="str">
            <v>51742-10402400CCLF</v>
          </cell>
          <cell r="B99" t="str">
            <v>51742-10402400CCLF PwrBlade VR</v>
          </cell>
          <cell r="C99">
            <v>3.2499999999999999E-3</v>
          </cell>
          <cell r="D99">
            <v>1830.7692307692309</v>
          </cell>
          <cell r="E99">
            <v>5492.3076923076933</v>
          </cell>
          <cell r="F99">
            <v>1.1068E-2</v>
          </cell>
        </row>
        <row r="100">
          <cell r="A100" t="str">
            <v>51939-397LF</v>
          </cell>
          <cell r="B100" t="str">
            <v>51939-397LF PwrBlade RAH</v>
          </cell>
          <cell r="C100">
            <v>1.9E-3</v>
          </cell>
          <cell r="D100">
            <v>3131.5789473684213</v>
          </cell>
          <cell r="E100">
            <v>9394.7368421052633</v>
          </cell>
          <cell r="F100">
            <v>2.1760000000000002E-2</v>
          </cell>
        </row>
        <row r="101">
          <cell r="A101" t="str">
            <v>51741-10002408CCLF</v>
          </cell>
          <cell r="B101" t="str">
            <v>51741-10002408CCLF Connector,PBVTR</v>
          </cell>
          <cell r="C101">
            <v>3.0000000000000001E-3</v>
          </cell>
          <cell r="D101">
            <v>1983.3333333333333</v>
          </cell>
          <cell r="E101">
            <v>5950</v>
          </cell>
          <cell r="F101">
            <v>1.1900000000000001E-2</v>
          </cell>
        </row>
        <row r="102">
          <cell r="A102" t="str">
            <v>51732-088LF</v>
          </cell>
          <cell r="B102" t="str">
            <v>51732-088LF Connector,PBRAH</v>
          </cell>
          <cell r="C102">
            <v>2E-3</v>
          </cell>
          <cell r="D102">
            <v>2975</v>
          </cell>
          <cell r="E102">
            <v>8925</v>
          </cell>
          <cell r="F102">
            <v>2.8899999999999999E-2</v>
          </cell>
        </row>
        <row r="103">
          <cell r="A103" t="str">
            <v>51940-290LF</v>
          </cell>
          <cell r="B103" t="str">
            <v>51940-290LF Connector,PBVTR</v>
          </cell>
          <cell r="C103">
            <v>3.0000000000000001E-3</v>
          </cell>
          <cell r="D103">
            <v>1983.3333333333333</v>
          </cell>
          <cell r="E103">
            <v>5950</v>
          </cell>
          <cell r="F103">
            <v>2.0199999999999999E-2</v>
          </cell>
        </row>
        <row r="104">
          <cell r="A104" t="str">
            <v>51742-10401200CCLF</v>
          </cell>
          <cell r="B104" t="str">
            <v>51742-10401200CCLF Connector,PBVTR</v>
          </cell>
          <cell r="C104">
            <v>2.3E-3</v>
          </cell>
          <cell r="D104">
            <v>2586.9565217391305</v>
          </cell>
          <cell r="E104">
            <v>7760.8695652173919</v>
          </cell>
          <cell r="F104">
            <v>2.4E-2</v>
          </cell>
        </row>
        <row r="105">
          <cell r="A105" t="str">
            <v>51740-10400804CALF</v>
          </cell>
          <cell r="B105" t="str">
            <v>51740-10400804CALF PwrBlade VR</v>
          </cell>
          <cell r="C105">
            <v>2E-3</v>
          </cell>
          <cell r="D105">
            <v>2975</v>
          </cell>
          <cell r="E105">
            <v>8925</v>
          </cell>
          <cell r="F105">
            <v>1.9279999999999999E-2</v>
          </cell>
        </row>
        <row r="106">
          <cell r="A106" t="str">
            <v>51939-1174LF</v>
          </cell>
          <cell r="B106" t="str">
            <v>51939-1174LF PwrBlade RAH STB</v>
          </cell>
          <cell r="C106">
            <v>0.01</v>
          </cell>
          <cell r="D106">
            <v>595</v>
          </cell>
          <cell r="E106">
            <v>1785</v>
          </cell>
          <cell r="F106">
            <v>4.2000000000000003E-2</v>
          </cell>
        </row>
        <row r="107">
          <cell r="A107" t="str">
            <v>51939-1223LF</v>
          </cell>
          <cell r="B107" t="str">
            <v>51939-1223LF PwrBlade RAH STB</v>
          </cell>
          <cell r="C107">
            <v>3.3E-3</v>
          </cell>
          <cell r="D107">
            <v>1803.030303030303</v>
          </cell>
          <cell r="E107">
            <v>5409.090909090909</v>
          </cell>
          <cell r="F107">
            <v>3.2000000000000001E-2</v>
          </cell>
        </row>
        <row r="108">
          <cell r="A108" t="str">
            <v>51939-631LF</v>
          </cell>
          <cell r="B108" t="str">
            <v>51939-631LF PwrBlade RAH STB</v>
          </cell>
          <cell r="C108">
            <v>2E-3</v>
          </cell>
          <cell r="D108">
            <v>2975</v>
          </cell>
          <cell r="E108">
            <v>8925</v>
          </cell>
          <cell r="F108">
            <v>2.2278996999999998E-2</v>
          </cell>
        </row>
        <row r="109">
          <cell r="A109" t="str">
            <v>51939-609LF</v>
          </cell>
          <cell r="B109" t="str">
            <v>51939-609LF PwrBlade RAH STB</v>
          </cell>
          <cell r="C109" t="e">
            <v>#N/A</v>
          </cell>
          <cell r="D109" t="e">
            <v>#N/A</v>
          </cell>
          <cell r="E109" t="e">
            <v>#N/A</v>
          </cell>
          <cell r="F109">
            <v>1.3791536E-2</v>
          </cell>
        </row>
        <row r="110">
          <cell r="A110" t="str">
            <v>51732-037LF</v>
          </cell>
          <cell r="B110" t="str">
            <v>51732-037LF PwrBlade RAH STB</v>
          </cell>
          <cell r="C110">
            <v>1.6000000000000001E-3</v>
          </cell>
          <cell r="D110">
            <v>3718.75</v>
          </cell>
          <cell r="E110">
            <v>11156.25</v>
          </cell>
          <cell r="F110">
            <v>2.0145E-2</v>
          </cell>
        </row>
        <row r="111">
          <cell r="A111" t="str">
            <v>10011570-001LF</v>
          </cell>
          <cell r="B111" t="str">
            <v>10011570-001LF Connector,PBVTR</v>
          </cell>
          <cell r="C111">
            <v>6.1000000000000004E-3</v>
          </cell>
          <cell r="D111">
            <v>975.4098360655737</v>
          </cell>
          <cell r="E111">
            <v>2926.2295081967213</v>
          </cell>
          <cell r="F111">
            <v>1.0200000000000001E-2</v>
          </cell>
        </row>
        <row r="112">
          <cell r="A112" t="str">
            <v>10011575-001LF</v>
          </cell>
          <cell r="B112" t="str">
            <v>10011575-001LF Connector,PBRAH</v>
          </cell>
          <cell r="C112">
            <v>6.1000000000000004E-3</v>
          </cell>
          <cell r="D112">
            <v>975.4098360655737</v>
          </cell>
          <cell r="E112">
            <v>2926.2295081967213</v>
          </cell>
          <cell r="F112">
            <v>1.4E-2</v>
          </cell>
        </row>
        <row r="113">
          <cell r="A113" t="str">
            <v>10011575-002LF</v>
          </cell>
          <cell r="B113" t="str">
            <v>10011575-002LF Connector,PBRAH</v>
          </cell>
          <cell r="C113">
            <v>6.1000000000000004E-3</v>
          </cell>
          <cell r="D113">
            <v>975.4098360655737</v>
          </cell>
          <cell r="E113">
            <v>2926.2295081967213</v>
          </cell>
          <cell r="F113">
            <v>1.4E-2</v>
          </cell>
        </row>
        <row r="114">
          <cell r="A114" t="str">
            <v>10066439-038LF</v>
          </cell>
          <cell r="B114" t="str">
            <v>10066439-038LF Connector,PBRAH</v>
          </cell>
          <cell r="C114">
            <v>6.1000000000000004E-3</v>
          </cell>
          <cell r="D114">
            <v>975.4098360655737</v>
          </cell>
          <cell r="E114">
            <v>2926.2295081967213</v>
          </cell>
          <cell r="F114">
            <v>0.02</v>
          </cell>
        </row>
        <row r="115">
          <cell r="A115" t="str">
            <v>10071628-001LF</v>
          </cell>
          <cell r="B115" t="str">
            <v>10071628-001LF Connector,PBVTR</v>
          </cell>
          <cell r="C115">
            <v>3.3E-3</v>
          </cell>
          <cell r="D115">
            <v>1803.030303030303</v>
          </cell>
          <cell r="E115">
            <v>5409.090909090909</v>
          </cell>
          <cell r="F115">
            <v>2.3E-2</v>
          </cell>
        </row>
        <row r="116">
          <cell r="A116" t="str">
            <v>51219-XX002LF</v>
          </cell>
          <cell r="B116" t="str">
            <v>51219-XX002LF Connector,PBRAH</v>
          </cell>
          <cell r="C116">
            <v>1.9E-3</v>
          </cell>
          <cell r="D116">
            <v>3131.5789473684213</v>
          </cell>
          <cell r="E116">
            <v>9394.7368421052633</v>
          </cell>
          <cell r="F116">
            <v>3.9300000000000002E-2</v>
          </cell>
        </row>
        <row r="117">
          <cell r="A117" t="str">
            <v>51261-XX001LF</v>
          </cell>
          <cell r="B117" t="str">
            <v>51261-XX001LF Connector,PBVTR</v>
          </cell>
          <cell r="C117">
            <v>3.2000000000000002E-3</v>
          </cell>
          <cell r="D117">
            <v>1859.375</v>
          </cell>
          <cell r="E117">
            <v>5578.125</v>
          </cell>
          <cell r="F117">
            <v>3.5999999999999997E-2</v>
          </cell>
        </row>
        <row r="118">
          <cell r="A118" t="str">
            <v>51413-XX001AULF</v>
          </cell>
          <cell r="B118" t="str">
            <v>51413-XX001AULF Connector,PBVTR</v>
          </cell>
          <cell r="C118">
            <v>3.0000000000000001E-3</v>
          </cell>
          <cell r="D118">
            <v>1983.3333333333333</v>
          </cell>
          <cell r="E118">
            <v>5950</v>
          </cell>
          <cell r="F118">
            <v>1.0699999999999999E-2</v>
          </cell>
        </row>
        <row r="119">
          <cell r="A119" t="str">
            <v>51415-001LF</v>
          </cell>
          <cell r="B119" t="str">
            <v>51415-001LF PwrBlade RAH</v>
          </cell>
          <cell r="C119">
            <v>1.9E-3</v>
          </cell>
          <cell r="D119">
            <v>3131.5789473684213</v>
          </cell>
          <cell r="E119">
            <v>9394.7368421052633</v>
          </cell>
          <cell r="F119">
            <v>1.0688068E-2</v>
          </cell>
        </row>
        <row r="120">
          <cell r="A120" t="str">
            <v>51415-002AU</v>
          </cell>
          <cell r="B120" t="str">
            <v>51415-002AU Connector,PBRAH</v>
          </cell>
          <cell r="C120">
            <v>1.9E-3</v>
          </cell>
          <cell r="D120">
            <v>3131.5789473684213</v>
          </cell>
          <cell r="E120">
            <v>9394.7368421052633</v>
          </cell>
          <cell r="F120">
            <v>2.0299999999999999E-2</v>
          </cell>
        </row>
        <row r="121">
          <cell r="A121" t="str">
            <v>51415-002AULF</v>
          </cell>
          <cell r="B121" t="str">
            <v>51415-002AULF PwrBlade RAH STB</v>
          </cell>
          <cell r="C121">
            <v>2E-3</v>
          </cell>
          <cell r="D121">
            <v>2975</v>
          </cell>
          <cell r="E121">
            <v>8925</v>
          </cell>
          <cell r="F121">
            <v>2.5999999999999999E-2</v>
          </cell>
        </row>
        <row r="122">
          <cell r="A122" t="str">
            <v>51415-002LF</v>
          </cell>
          <cell r="B122" t="str">
            <v>51415-002LF Connector,PBRAH</v>
          </cell>
          <cell r="C122">
            <v>1.9E-3</v>
          </cell>
          <cell r="D122">
            <v>3131.5789473684213</v>
          </cell>
          <cell r="E122">
            <v>9394.7368421052633</v>
          </cell>
          <cell r="F122">
            <v>2.4299999999999999E-2</v>
          </cell>
        </row>
        <row r="123">
          <cell r="A123" t="str">
            <v>51415-005LF</v>
          </cell>
          <cell r="B123" t="str">
            <v>51415-005LF Connector,PBRAH</v>
          </cell>
          <cell r="C123">
            <v>1.9E-3</v>
          </cell>
          <cell r="D123">
            <v>3131.5789473684213</v>
          </cell>
          <cell r="E123">
            <v>9394.7368421052633</v>
          </cell>
          <cell r="F123">
            <v>2.4299999999999999E-2</v>
          </cell>
        </row>
        <row r="124">
          <cell r="A124" t="str">
            <v>51415-006LF</v>
          </cell>
          <cell r="B124" t="str">
            <v>51415-006LF Connector,PBRAH</v>
          </cell>
          <cell r="C124">
            <v>1.9E-3</v>
          </cell>
          <cell r="D124">
            <v>3131.5789473684213</v>
          </cell>
          <cell r="E124">
            <v>9394.7368421052633</v>
          </cell>
          <cell r="F124">
            <v>2.3199999999999998E-2</v>
          </cell>
        </row>
        <row r="125">
          <cell r="A125" t="str">
            <v>51425-001LF</v>
          </cell>
          <cell r="B125" t="str">
            <v>51425-001LF Connector,PBRAH</v>
          </cell>
          <cell r="C125">
            <v>1.9E-3</v>
          </cell>
          <cell r="D125">
            <v>3131.5789473684213</v>
          </cell>
          <cell r="E125">
            <v>9394.7368421052633</v>
          </cell>
          <cell r="F125">
            <v>2.0299999999999999E-2</v>
          </cell>
        </row>
        <row r="126">
          <cell r="A126" t="str">
            <v>51425-002LF</v>
          </cell>
          <cell r="B126" t="str">
            <v>51425-002LF Connector,PBRAH</v>
          </cell>
          <cell r="C126">
            <v>1.9E-3</v>
          </cell>
          <cell r="D126">
            <v>3131.5789473684213</v>
          </cell>
          <cell r="E126">
            <v>9394.7368421052633</v>
          </cell>
          <cell r="F126">
            <v>2.52E-2</v>
          </cell>
        </row>
        <row r="127">
          <cell r="A127" t="str">
            <v>51426-001LF</v>
          </cell>
          <cell r="B127" t="str">
            <v>51426-001LF Connector,PBVTR</v>
          </cell>
          <cell r="C127">
            <v>3.0000000000000001E-3</v>
          </cell>
          <cell r="D127">
            <v>1983.3333333333333</v>
          </cell>
          <cell r="E127">
            <v>5950</v>
          </cell>
          <cell r="F127">
            <v>8.6999999999999994E-3</v>
          </cell>
        </row>
        <row r="128">
          <cell r="A128" t="str">
            <v>51534-XX001LF</v>
          </cell>
          <cell r="B128" t="str">
            <v>51534-XX001LF Connector,PBRAH</v>
          </cell>
          <cell r="C128">
            <v>3.7000000000000002E-3</v>
          </cell>
          <cell r="D128">
            <v>1608.1081081081081</v>
          </cell>
          <cell r="E128">
            <v>4824.3243243243242</v>
          </cell>
          <cell r="F128">
            <v>5.0500000000000003E-2</v>
          </cell>
        </row>
        <row r="129">
          <cell r="A129" t="str">
            <v>51617-XX002LF</v>
          </cell>
          <cell r="B129" t="str">
            <v>51617-XX002LF Connector,PBVTR</v>
          </cell>
          <cell r="C129">
            <v>3.2000000000000002E-3</v>
          </cell>
          <cell r="D129">
            <v>1859.375</v>
          </cell>
          <cell r="E129">
            <v>5578.125</v>
          </cell>
          <cell r="F129">
            <v>3.1E-2</v>
          </cell>
        </row>
        <row r="130">
          <cell r="A130" t="str">
            <v>51624-XX001AULF</v>
          </cell>
          <cell r="B130" t="str">
            <v>51624-XX001AULF Connector,PBRAH</v>
          </cell>
          <cell r="C130">
            <v>1.9E-3</v>
          </cell>
          <cell r="D130">
            <v>3131.5789473684213</v>
          </cell>
          <cell r="E130">
            <v>9394.7368421052633</v>
          </cell>
          <cell r="F130">
            <v>3.0700000000000002E-2</v>
          </cell>
        </row>
        <row r="131">
          <cell r="A131" t="str">
            <v>51624-XX001PGSALF</v>
          </cell>
          <cell r="B131" t="str">
            <v>51624-XX001PGSALF Connector,PBRAH</v>
          </cell>
          <cell r="C131">
            <v>1.9E-3</v>
          </cell>
          <cell r="D131">
            <v>3131.5789473684213</v>
          </cell>
          <cell r="E131">
            <v>9394.7368421052633</v>
          </cell>
          <cell r="F131">
            <v>2.1499999999999998E-2</v>
          </cell>
        </row>
        <row r="132">
          <cell r="A132" t="str">
            <v>51624-XX002LF</v>
          </cell>
          <cell r="B132" t="str">
            <v>51624-XX002LF Connector,PBRAH</v>
          </cell>
          <cell r="C132">
            <v>1.9E-3</v>
          </cell>
          <cell r="D132">
            <v>3131.5789473684213</v>
          </cell>
          <cell r="E132">
            <v>9394.7368421052633</v>
          </cell>
          <cell r="F132">
            <v>2.53E-2</v>
          </cell>
        </row>
        <row r="133">
          <cell r="A133" t="str">
            <v>51624-XX003LF</v>
          </cell>
          <cell r="B133" t="str">
            <v>51624-XX003LF PwrBlade RAH</v>
          </cell>
          <cell r="C133">
            <v>1.9E-3</v>
          </cell>
          <cell r="D133">
            <v>3131.5789473684213</v>
          </cell>
          <cell r="E133">
            <v>9394.7368421052633</v>
          </cell>
          <cell r="F133">
            <v>3.3700000000000001E-2</v>
          </cell>
        </row>
        <row r="134">
          <cell r="A134" t="str">
            <v>51624-XX006LF</v>
          </cell>
          <cell r="B134" t="str">
            <v>51624-XX006LF Connector,PBRAH</v>
          </cell>
          <cell r="C134">
            <v>1.9E-3</v>
          </cell>
          <cell r="D134">
            <v>3131.5789473684213</v>
          </cell>
          <cell r="E134">
            <v>9394.7368421052633</v>
          </cell>
          <cell r="F134">
            <v>3.6499999999999998E-2</v>
          </cell>
        </row>
        <row r="135">
          <cell r="A135" t="str">
            <v>51628-001LF</v>
          </cell>
          <cell r="B135" t="str">
            <v>51628-001LF Connector,PBRAH</v>
          </cell>
          <cell r="C135">
            <v>6.1000000000000004E-3</v>
          </cell>
          <cell r="D135">
            <v>975.4098360655737</v>
          </cell>
          <cell r="E135">
            <v>2926.2295081967213</v>
          </cell>
          <cell r="F135">
            <v>2.1499999999999998E-2</v>
          </cell>
        </row>
        <row r="136">
          <cell r="A136" t="str">
            <v>51657-001LF</v>
          </cell>
          <cell r="B136" t="str">
            <v>51657-001LF Connector,PBRAH</v>
          </cell>
          <cell r="C136">
            <v>2E-3</v>
          </cell>
          <cell r="D136">
            <v>2975</v>
          </cell>
          <cell r="E136">
            <v>8925</v>
          </cell>
          <cell r="F136">
            <v>3.5999999999999997E-2</v>
          </cell>
        </row>
        <row r="137">
          <cell r="A137" t="str">
            <v>51658-001LF</v>
          </cell>
          <cell r="B137" t="str">
            <v>51658-001LF Connector,PBVTR</v>
          </cell>
          <cell r="C137">
            <v>3.3E-3</v>
          </cell>
          <cell r="D137">
            <v>1803.030303030303</v>
          </cell>
          <cell r="E137">
            <v>5409.090909090909</v>
          </cell>
          <cell r="F137">
            <v>2.4E-2</v>
          </cell>
        </row>
        <row r="138">
          <cell r="A138" t="str">
            <v>51659-001LF</v>
          </cell>
          <cell r="B138" t="str">
            <v>51659-001LF PwrBlade VR</v>
          </cell>
          <cell r="C138">
            <v>3.0000000000000001E-3</v>
          </cell>
          <cell r="D138">
            <v>1983.3333333333333</v>
          </cell>
          <cell r="E138">
            <v>5950</v>
          </cell>
          <cell r="F138">
            <v>2.1999999999999999E-2</v>
          </cell>
        </row>
        <row r="139">
          <cell r="A139" t="str">
            <v>51666-001PGSALF</v>
          </cell>
          <cell r="B139" t="str">
            <v>51666-001PGSALF Connector,PBVTR</v>
          </cell>
          <cell r="C139">
            <v>3.0000000000000001E-3</v>
          </cell>
          <cell r="D139">
            <v>1983.3333333333333</v>
          </cell>
          <cell r="E139">
            <v>5950</v>
          </cell>
          <cell r="F139">
            <v>9.1999999999999998E-3</v>
          </cell>
        </row>
        <row r="140">
          <cell r="A140" t="str">
            <v>51667-XX001LF</v>
          </cell>
          <cell r="B140" t="str">
            <v>51667-XX001LF PwrBlade VR</v>
          </cell>
          <cell r="C140">
            <v>3.0000000000000001E-3</v>
          </cell>
          <cell r="D140">
            <v>1983.3333333333333</v>
          </cell>
          <cell r="E140">
            <v>5950</v>
          </cell>
          <cell r="F140">
            <v>9.3620649999999993E-3</v>
          </cell>
        </row>
        <row r="141">
          <cell r="A141" t="str">
            <v>51667-XX001PGSALF</v>
          </cell>
          <cell r="B141" t="str">
            <v>51667-XX001PGSALF Connector,PBVTR</v>
          </cell>
          <cell r="C141">
            <v>3.0000000000000001E-3</v>
          </cell>
          <cell r="D141">
            <v>1983.3333333333333</v>
          </cell>
          <cell r="E141">
            <v>5950</v>
          </cell>
          <cell r="F141">
            <v>1.04E-2</v>
          </cell>
        </row>
        <row r="142">
          <cell r="A142" t="str">
            <v>51668-001LF</v>
          </cell>
          <cell r="B142" t="str">
            <v>51668-001LF Connector,PBRAH</v>
          </cell>
          <cell r="C142">
            <v>1.9E-3</v>
          </cell>
          <cell r="D142">
            <v>3131.5789473684213</v>
          </cell>
          <cell r="E142">
            <v>9394.7368421052633</v>
          </cell>
          <cell r="F142">
            <v>4.6800000000000001E-2</v>
          </cell>
        </row>
        <row r="143">
          <cell r="A143" t="str">
            <v>51672-001LF</v>
          </cell>
          <cell r="B143" t="str">
            <v>51672-001LF Connector,PBRAH</v>
          </cell>
          <cell r="C143">
            <v>1.9E-3</v>
          </cell>
          <cell r="D143">
            <v>3131.5789473684213</v>
          </cell>
          <cell r="E143">
            <v>9394.7368421052633</v>
          </cell>
          <cell r="F143">
            <v>3.4599999999999999E-2</v>
          </cell>
        </row>
        <row r="144">
          <cell r="A144" t="str">
            <v>51673-001LF</v>
          </cell>
          <cell r="B144" t="str">
            <v>51673-001LF Connector,PBVTR</v>
          </cell>
          <cell r="C144">
            <v>4.0000000000000001E-3</v>
          </cell>
          <cell r="D144">
            <v>1487.5</v>
          </cell>
          <cell r="E144">
            <v>4462.5</v>
          </cell>
          <cell r="F144">
            <v>2.8000000000000001E-2</v>
          </cell>
        </row>
        <row r="145">
          <cell r="A145" t="str">
            <v>51683-001LF</v>
          </cell>
          <cell r="B145" t="str">
            <v>51683-001LF Connector,PBRAH</v>
          </cell>
          <cell r="C145">
            <v>1.9E-3</v>
          </cell>
          <cell r="D145">
            <v>3131.5789473684213</v>
          </cell>
          <cell r="E145">
            <v>9394.7368421052633</v>
          </cell>
          <cell r="F145">
            <v>2.9000000000000001E-2</v>
          </cell>
        </row>
        <row r="146">
          <cell r="A146" t="str">
            <v>51684-001LF</v>
          </cell>
          <cell r="B146" t="str">
            <v>51684-001LF Connector,PBVTR</v>
          </cell>
          <cell r="C146">
            <v>2E-3</v>
          </cell>
          <cell r="D146">
            <v>2975</v>
          </cell>
          <cell r="E146">
            <v>8925</v>
          </cell>
          <cell r="F146">
            <v>2.8000000000000001E-2</v>
          </cell>
        </row>
        <row r="147">
          <cell r="A147" t="str">
            <v>51691-001LF</v>
          </cell>
          <cell r="B147" t="str">
            <v>51691-001LF Connector,PBRAH</v>
          </cell>
          <cell r="C147">
            <v>1.9E-3</v>
          </cell>
          <cell r="D147">
            <v>3131.5789473684213</v>
          </cell>
          <cell r="E147">
            <v>9394.7368421052633</v>
          </cell>
          <cell r="F147">
            <v>2.4500000000000001E-2</v>
          </cell>
        </row>
        <row r="148">
          <cell r="A148" t="str">
            <v>51694-002LF</v>
          </cell>
          <cell r="B148" t="str">
            <v>51694-002LF Connector,PBRAH</v>
          </cell>
          <cell r="C148">
            <v>1.9E-3</v>
          </cell>
          <cell r="D148">
            <v>3131.5789473684213</v>
          </cell>
          <cell r="E148">
            <v>9394.7368421052633</v>
          </cell>
          <cell r="F148">
            <v>3.3700000000000001E-2</v>
          </cell>
        </row>
        <row r="149">
          <cell r="A149" t="str">
            <v>51694-003LF</v>
          </cell>
          <cell r="B149" t="str">
            <v>51694-003LF Connector,PBRAH</v>
          </cell>
          <cell r="C149">
            <v>1.9E-3</v>
          </cell>
          <cell r="D149">
            <v>3131.5789473684213</v>
          </cell>
          <cell r="E149">
            <v>9394.7368421052633</v>
          </cell>
          <cell r="F149">
            <v>3.4599999999999999E-2</v>
          </cell>
        </row>
        <row r="150">
          <cell r="A150" t="str">
            <v>51694-004LF</v>
          </cell>
          <cell r="B150" t="str">
            <v>51694-004LF Connector,PBRAH</v>
          </cell>
          <cell r="C150">
            <v>1.9E-3</v>
          </cell>
          <cell r="D150">
            <v>3131.5789473684213</v>
          </cell>
          <cell r="E150">
            <v>9394.7368421052633</v>
          </cell>
          <cell r="F150">
            <v>3.4599999999999999E-2</v>
          </cell>
        </row>
        <row r="151">
          <cell r="A151" t="str">
            <v>51720-10001204AALF</v>
          </cell>
          <cell r="B151" t="str">
            <v>51720-10001204AALF Connector,PBRAH</v>
          </cell>
          <cell r="C151">
            <v>1.9E-3</v>
          </cell>
          <cell r="D151">
            <v>3131.5789473684213</v>
          </cell>
          <cell r="E151">
            <v>9394.7368421052633</v>
          </cell>
          <cell r="F151">
            <v>2.7099999999999999E-2</v>
          </cell>
        </row>
        <row r="152">
          <cell r="A152" t="str">
            <v>51720-10002004AALF</v>
          </cell>
          <cell r="B152" t="str">
            <v>51720-10002004AALF Connector,PBRAH</v>
          </cell>
          <cell r="C152">
            <v>1.9E-3</v>
          </cell>
          <cell r="D152">
            <v>3131.5789473684213</v>
          </cell>
          <cell r="E152">
            <v>9394.7368421052633</v>
          </cell>
          <cell r="F152">
            <v>2.4E-2</v>
          </cell>
        </row>
        <row r="153">
          <cell r="A153" t="str">
            <v>51720-10002403AALF</v>
          </cell>
          <cell r="B153" t="str">
            <v>51720-10002403AALF Connector,PBRAH</v>
          </cell>
          <cell r="C153">
            <v>1.9E-3</v>
          </cell>
          <cell r="D153">
            <v>3131.5789473684213</v>
          </cell>
          <cell r="E153">
            <v>9394.7368421052633</v>
          </cell>
          <cell r="F153">
            <v>2.81E-2</v>
          </cell>
        </row>
        <row r="154">
          <cell r="A154" t="str">
            <v>51720-10002412AALF</v>
          </cell>
          <cell r="B154" t="str">
            <v>51720-10002412AALF Connector,PBRAH</v>
          </cell>
          <cell r="C154">
            <v>1.9E-3</v>
          </cell>
          <cell r="D154">
            <v>3131.5789473684213</v>
          </cell>
          <cell r="E154">
            <v>9394.7368421052633</v>
          </cell>
          <cell r="F154">
            <v>7.5700000000000003E-2</v>
          </cell>
        </row>
        <row r="155">
          <cell r="A155" t="str">
            <v>51720-10100801AALF</v>
          </cell>
          <cell r="B155" t="str">
            <v>51720-10100801AALF PwrBlade RAH</v>
          </cell>
          <cell r="C155">
            <v>1.9E-3</v>
          </cell>
          <cell r="D155">
            <v>3131.5789473684213</v>
          </cell>
          <cell r="E155">
            <v>9394.7368421052633</v>
          </cell>
          <cell r="F155">
            <v>2.6200000000000001E-2</v>
          </cell>
        </row>
        <row r="156">
          <cell r="A156" t="str">
            <v>51720-10100801ABLF</v>
          </cell>
          <cell r="B156" t="str">
            <v>51720-10100801ABLF PwrBlade RAH STB</v>
          </cell>
          <cell r="C156">
            <v>2E-3</v>
          </cell>
          <cell r="D156">
            <v>2975</v>
          </cell>
          <cell r="E156">
            <v>8925</v>
          </cell>
          <cell r="F156">
            <v>2.5999999999999999E-2</v>
          </cell>
        </row>
        <row r="157">
          <cell r="A157" t="str">
            <v>51720-10100802AALF</v>
          </cell>
          <cell r="B157" t="str">
            <v>51720-10100802AALF Connector,PBRAH</v>
          </cell>
          <cell r="C157">
            <v>2E-3</v>
          </cell>
          <cell r="D157">
            <v>2975</v>
          </cell>
          <cell r="E157">
            <v>8925</v>
          </cell>
          <cell r="F157">
            <v>2.8000000000000001E-2</v>
          </cell>
        </row>
        <row r="158">
          <cell r="A158" t="str">
            <v>51720-10101201AALF</v>
          </cell>
          <cell r="B158" t="str">
            <v>51720-10101201AALF PwrBlade RAH</v>
          </cell>
          <cell r="C158">
            <v>1.9E-3</v>
          </cell>
          <cell r="D158">
            <v>3131.5789473684213</v>
          </cell>
          <cell r="E158">
            <v>9394.7368421052633</v>
          </cell>
          <cell r="F158">
            <v>2.6200000000000001E-2</v>
          </cell>
        </row>
        <row r="159">
          <cell r="A159" t="str">
            <v>51720-10101201ABLF</v>
          </cell>
          <cell r="B159" t="str">
            <v>51720-10101201ABLF Connector,PBRAH</v>
          </cell>
          <cell r="C159">
            <v>1.9E-3</v>
          </cell>
          <cell r="D159">
            <v>3131.5789473684213</v>
          </cell>
          <cell r="E159">
            <v>9394.7368421052633</v>
          </cell>
          <cell r="F159">
            <v>2.4299999999999999E-2</v>
          </cell>
        </row>
        <row r="160">
          <cell r="A160" t="str">
            <v>51720-10101601ABLF</v>
          </cell>
          <cell r="B160" t="str">
            <v>51720-10101601ABLF Connector,PBRAH</v>
          </cell>
          <cell r="C160">
            <v>5.4999999999999997E-3</v>
          </cell>
          <cell r="D160">
            <v>1081.818181818182</v>
          </cell>
          <cell r="E160">
            <v>3245.454545454546</v>
          </cell>
          <cell r="F160">
            <v>8.8999999999999999E-3</v>
          </cell>
        </row>
        <row r="161">
          <cell r="A161" t="str">
            <v>51720-10102001ABLF</v>
          </cell>
          <cell r="B161" t="str">
            <v>51720-10102001ABLF Connector,PBRAH</v>
          </cell>
          <cell r="C161">
            <v>2E-3</v>
          </cell>
          <cell r="D161">
            <v>2975</v>
          </cell>
          <cell r="E161">
            <v>8925</v>
          </cell>
          <cell r="F161">
            <v>2.5999999999999999E-2</v>
          </cell>
        </row>
        <row r="162">
          <cell r="A162" t="str">
            <v>51720-10102401AALF</v>
          </cell>
          <cell r="B162" t="str">
            <v>51720-10102401AALF PwrBlade RAH</v>
          </cell>
          <cell r="C162">
            <v>1.9E-3</v>
          </cell>
          <cell r="D162">
            <v>3131.5789473684213</v>
          </cell>
          <cell r="E162">
            <v>9394.7368421052633</v>
          </cell>
          <cell r="F162">
            <v>2.1000000000000001E-2</v>
          </cell>
        </row>
        <row r="163">
          <cell r="A163" t="str">
            <v>51720-10102801AALF</v>
          </cell>
          <cell r="B163" t="str">
            <v>51720-10102801AALF Connector,PBRAH</v>
          </cell>
          <cell r="C163">
            <v>3.3E-3</v>
          </cell>
          <cell r="D163">
            <v>1803.030303030303</v>
          </cell>
          <cell r="E163">
            <v>5409.090909090909</v>
          </cell>
          <cell r="F163">
            <v>3.2000000000000001E-2</v>
          </cell>
        </row>
        <row r="164">
          <cell r="A164" t="str">
            <v>51720-10102801BALF</v>
          </cell>
          <cell r="B164" t="str">
            <v>51720-10102801BALF PwrBlade RAH STB</v>
          </cell>
          <cell r="C164">
            <v>3.3E-3</v>
          </cell>
          <cell r="D164">
            <v>1803.030303030303</v>
          </cell>
          <cell r="E164">
            <v>5409.090909090909</v>
          </cell>
          <cell r="F164">
            <v>2.8000000000000001E-2</v>
          </cell>
        </row>
        <row r="165">
          <cell r="A165" t="str">
            <v>51720-10103201AALF</v>
          </cell>
          <cell r="B165" t="str">
            <v>51720-10103201AALF Connector,PBRAH</v>
          </cell>
          <cell r="C165">
            <v>2E-3</v>
          </cell>
          <cell r="D165">
            <v>2975</v>
          </cell>
          <cell r="E165">
            <v>8925</v>
          </cell>
          <cell r="F165">
            <v>2.8000000000000001E-2</v>
          </cell>
        </row>
        <row r="166">
          <cell r="A166" t="str">
            <v>51720-10103201ABLF</v>
          </cell>
          <cell r="B166" t="str">
            <v>51720-10103201ABLF Connector,PBRAH</v>
          </cell>
          <cell r="C166">
            <v>2E-3</v>
          </cell>
          <cell r="D166">
            <v>2975</v>
          </cell>
          <cell r="E166">
            <v>8925</v>
          </cell>
          <cell r="F166">
            <v>2.5999999999999999E-2</v>
          </cell>
        </row>
        <row r="167">
          <cell r="A167" t="str">
            <v>51720-10103601AALF</v>
          </cell>
          <cell r="B167" t="str">
            <v>51720-10103601AALF Connector,PBRAH</v>
          </cell>
          <cell r="C167">
            <v>2E-3</v>
          </cell>
          <cell r="D167">
            <v>2975</v>
          </cell>
          <cell r="E167">
            <v>8925</v>
          </cell>
          <cell r="F167">
            <v>2.8000000000000001E-2</v>
          </cell>
        </row>
        <row r="168">
          <cell r="A168" t="str">
            <v>51720-10104001AALF</v>
          </cell>
          <cell r="B168" t="str">
            <v>51720-10104001AALF Connector,PBRAH</v>
          </cell>
          <cell r="C168">
            <v>2E-3</v>
          </cell>
          <cell r="D168">
            <v>2975</v>
          </cell>
          <cell r="E168">
            <v>8925</v>
          </cell>
          <cell r="F168">
            <v>2.8000000000000001E-2</v>
          </cell>
        </row>
        <row r="169">
          <cell r="A169" t="str">
            <v>51720-10104002AALF</v>
          </cell>
          <cell r="B169" t="str">
            <v>51720-10104002AALF Connector,PBRAH</v>
          </cell>
          <cell r="C169">
            <v>2E-3</v>
          </cell>
          <cell r="D169">
            <v>2975</v>
          </cell>
          <cell r="E169">
            <v>8925</v>
          </cell>
          <cell r="F169">
            <v>2.8000000000000001E-2</v>
          </cell>
        </row>
        <row r="170">
          <cell r="A170" t="str">
            <v>51720-10104401AALF</v>
          </cell>
          <cell r="B170" t="str">
            <v>51720-10104401AALF Connector,PBRAH</v>
          </cell>
          <cell r="C170">
            <v>2E-3</v>
          </cell>
          <cell r="D170">
            <v>2975</v>
          </cell>
          <cell r="E170">
            <v>8925</v>
          </cell>
          <cell r="F170">
            <v>2.8000000000000001E-2</v>
          </cell>
        </row>
        <row r="171">
          <cell r="A171" t="str">
            <v>51720-10104801AALF</v>
          </cell>
          <cell r="B171" t="str">
            <v>51720-10104801AALF Connector,PBRAH</v>
          </cell>
          <cell r="C171">
            <v>2E-3</v>
          </cell>
          <cell r="D171">
            <v>2975</v>
          </cell>
          <cell r="E171">
            <v>8925</v>
          </cell>
          <cell r="F171">
            <v>2.8000000000000001E-2</v>
          </cell>
        </row>
        <row r="172">
          <cell r="A172" t="str">
            <v>51720-10106001AALF</v>
          </cell>
          <cell r="B172" t="str">
            <v>51720-10106001AALF Connector,PBRAH</v>
          </cell>
          <cell r="C172">
            <v>2E-3</v>
          </cell>
          <cell r="D172">
            <v>2975</v>
          </cell>
          <cell r="E172">
            <v>8925</v>
          </cell>
          <cell r="F172">
            <v>2.8000000000000001E-2</v>
          </cell>
        </row>
        <row r="173">
          <cell r="A173" t="str">
            <v>51720-10106001ABLF</v>
          </cell>
          <cell r="B173" t="str">
            <v>51720-10106001ABLF Connector,PBRAH</v>
          </cell>
          <cell r="C173">
            <v>1.9E-3</v>
          </cell>
          <cell r="D173">
            <v>3131.5789473684213</v>
          </cell>
          <cell r="E173">
            <v>9394.7368421052633</v>
          </cell>
          <cell r="F173">
            <v>2.4299999999999999E-2</v>
          </cell>
        </row>
        <row r="174">
          <cell r="A174" t="str">
            <v>51720-10106402AALF</v>
          </cell>
          <cell r="B174" t="str">
            <v>51720-10106402AALF Connector,PBRAH</v>
          </cell>
          <cell r="C174">
            <v>1.9E-3</v>
          </cell>
          <cell r="D174">
            <v>3131.5789473684213</v>
          </cell>
          <cell r="E174">
            <v>9394.7368421052633</v>
          </cell>
          <cell r="F174">
            <v>8.2299999999999998E-2</v>
          </cell>
        </row>
        <row r="175">
          <cell r="A175" t="str">
            <v>51720-10107201ABLF</v>
          </cell>
          <cell r="B175" t="str">
            <v>51720-10107201ABLF Connector,PBRAH</v>
          </cell>
          <cell r="C175">
            <v>2E-3</v>
          </cell>
          <cell r="D175">
            <v>2975</v>
          </cell>
          <cell r="E175">
            <v>8925</v>
          </cell>
          <cell r="F175">
            <v>2.5999999999999999E-2</v>
          </cell>
        </row>
        <row r="176">
          <cell r="A176" t="str">
            <v>51720-10108001AALF</v>
          </cell>
          <cell r="B176" t="str">
            <v>51720-10108001AALF Connector,PBRAH</v>
          </cell>
          <cell r="C176">
            <v>2E-3</v>
          </cell>
          <cell r="D176">
            <v>2975</v>
          </cell>
          <cell r="E176">
            <v>8925</v>
          </cell>
          <cell r="F176">
            <v>2.8000000000000001E-2</v>
          </cell>
        </row>
        <row r="177">
          <cell r="A177" t="str">
            <v>51720-10108001ABLF</v>
          </cell>
          <cell r="B177" t="str">
            <v>51720-10108001ABLF Connector,PBRAH</v>
          </cell>
          <cell r="C177">
            <v>2E-3</v>
          </cell>
          <cell r="D177">
            <v>2975</v>
          </cell>
          <cell r="E177">
            <v>8925</v>
          </cell>
          <cell r="F177">
            <v>2.8000000000000001E-2</v>
          </cell>
        </row>
        <row r="178">
          <cell r="A178" t="str">
            <v>51720-10200402AALF</v>
          </cell>
          <cell r="B178" t="str">
            <v>51720-10200402AALF Connector,PBRAH</v>
          </cell>
          <cell r="C178">
            <v>2E-3</v>
          </cell>
          <cell r="D178">
            <v>2975</v>
          </cell>
          <cell r="E178">
            <v>8925</v>
          </cell>
          <cell r="F178">
            <v>2.9000000000000001E-2</v>
          </cell>
        </row>
        <row r="179">
          <cell r="A179" t="str">
            <v>51720-10200402ABLF</v>
          </cell>
          <cell r="B179" t="str">
            <v>51720-10200402ABLF Connector,PBRAH</v>
          </cell>
          <cell r="C179">
            <v>1.9E-3</v>
          </cell>
          <cell r="D179">
            <v>3131.5789473684213</v>
          </cell>
          <cell r="E179">
            <v>9394.7368421052633</v>
          </cell>
          <cell r="F179">
            <v>6.2300000000000001E-2</v>
          </cell>
        </row>
        <row r="180">
          <cell r="A180" t="str">
            <v>51720-10200801AALF</v>
          </cell>
          <cell r="B180" t="str">
            <v>51720-10200801AALF Connector,PBRAH</v>
          </cell>
          <cell r="C180">
            <v>1.9E-3</v>
          </cell>
          <cell r="D180">
            <v>3131.5789473684213</v>
          </cell>
          <cell r="E180">
            <v>9394.7368421052633</v>
          </cell>
          <cell r="F180">
            <v>4.8000000000000001E-2</v>
          </cell>
        </row>
        <row r="181">
          <cell r="A181" t="str">
            <v>51720-10200802AALF</v>
          </cell>
          <cell r="B181" t="str">
            <v>51720-10200802AALF Connector,PBRAH</v>
          </cell>
          <cell r="C181">
            <v>1.9E-3</v>
          </cell>
          <cell r="D181">
            <v>3131.5789473684213</v>
          </cell>
          <cell r="E181">
            <v>9394.7368421052633</v>
          </cell>
          <cell r="F181">
            <v>0.02</v>
          </cell>
        </row>
        <row r="182">
          <cell r="A182" t="str">
            <v>51720-10200802ABLF</v>
          </cell>
          <cell r="B182" t="str">
            <v>51720-10200802ABLF Connector,PBRAH</v>
          </cell>
          <cell r="C182">
            <v>1.9E-3</v>
          </cell>
          <cell r="D182">
            <v>3131.5789473684213</v>
          </cell>
          <cell r="E182">
            <v>9394.7368421052633</v>
          </cell>
          <cell r="F182">
            <v>2.81E-2</v>
          </cell>
        </row>
        <row r="183">
          <cell r="A183" t="str">
            <v>51720-10201201AALF</v>
          </cell>
          <cell r="B183" t="str">
            <v>51720-10201201AALF Connector,PBRAH</v>
          </cell>
          <cell r="C183">
            <v>2E-3</v>
          </cell>
          <cell r="D183">
            <v>2975</v>
          </cell>
          <cell r="E183">
            <v>8925</v>
          </cell>
          <cell r="F183">
            <v>2.8000000000000001E-2</v>
          </cell>
        </row>
        <row r="184">
          <cell r="A184" t="str">
            <v>51720-10201202AALF</v>
          </cell>
          <cell r="B184" t="str">
            <v>51720-10201202AALF PwrBlade RAH</v>
          </cell>
          <cell r="C184">
            <v>1.9E-3</v>
          </cell>
          <cell r="D184">
            <v>3131.5789473684213</v>
          </cell>
          <cell r="E184">
            <v>9394.7368421052633</v>
          </cell>
          <cell r="F184">
            <v>1.4514501000000001E-2</v>
          </cell>
        </row>
        <row r="185">
          <cell r="A185" t="str">
            <v>51720-10201202ABLF</v>
          </cell>
          <cell r="B185" t="str">
            <v>51720-10201202ABLF Connector,PBRAH</v>
          </cell>
          <cell r="C185">
            <v>2E-3</v>
          </cell>
          <cell r="D185">
            <v>2975</v>
          </cell>
          <cell r="E185">
            <v>8925</v>
          </cell>
          <cell r="F185">
            <v>2.7E-2</v>
          </cell>
        </row>
        <row r="186">
          <cell r="A186" t="str">
            <v>51720-10201205AALF</v>
          </cell>
          <cell r="B186" t="str">
            <v>51720-10201205AALF Connector,PBRAH</v>
          </cell>
          <cell r="C186">
            <v>2E-3</v>
          </cell>
          <cell r="D186">
            <v>2975</v>
          </cell>
          <cell r="E186">
            <v>8925</v>
          </cell>
          <cell r="F186">
            <v>3.5999999999999997E-2</v>
          </cell>
        </row>
        <row r="187">
          <cell r="A187" t="str">
            <v>51720-10201602AALF</v>
          </cell>
          <cell r="B187" t="str">
            <v>51720-10201602AALF PwrBlade RAH STB</v>
          </cell>
          <cell r="C187">
            <v>1.9E-3</v>
          </cell>
          <cell r="D187">
            <v>3131.5789473684213</v>
          </cell>
          <cell r="E187">
            <v>9394.7368421052633</v>
          </cell>
          <cell r="F187">
            <v>2.7099999999999999E-2</v>
          </cell>
        </row>
        <row r="188">
          <cell r="A188" t="str">
            <v>51720-10201602ABLF</v>
          </cell>
          <cell r="B188" t="str">
            <v>51720-10201602ABLF Connector,PBRAH</v>
          </cell>
          <cell r="C188">
            <v>1.9E-3</v>
          </cell>
          <cell r="D188">
            <v>3131.5789473684213</v>
          </cell>
          <cell r="E188">
            <v>9394.7368421052633</v>
          </cell>
          <cell r="F188">
            <v>2.52E-2</v>
          </cell>
        </row>
        <row r="189">
          <cell r="A189" t="str">
            <v>51720-10201604AALF</v>
          </cell>
          <cell r="B189" t="str">
            <v>51720-10201604AALF Connector,PBRAH</v>
          </cell>
          <cell r="C189">
            <v>1.9E-3</v>
          </cell>
          <cell r="D189">
            <v>3131.5789473684213</v>
          </cell>
          <cell r="E189">
            <v>9394.7368421052633</v>
          </cell>
          <cell r="F189">
            <v>2.9000000000000001E-2</v>
          </cell>
        </row>
        <row r="190">
          <cell r="A190" t="str">
            <v>51720-10201606AALF</v>
          </cell>
          <cell r="B190" t="str">
            <v>51720-10201606AALF Connector,PBRAH</v>
          </cell>
          <cell r="C190">
            <v>1.9E-3</v>
          </cell>
          <cell r="D190">
            <v>3131.5789473684213</v>
          </cell>
          <cell r="E190">
            <v>9394.7368421052633</v>
          </cell>
          <cell r="F190">
            <v>2.6200000000000001E-2</v>
          </cell>
        </row>
        <row r="191">
          <cell r="A191" t="str">
            <v>51720-10202002AALF</v>
          </cell>
          <cell r="B191" t="str">
            <v>51720-10202002AALF Connector,PBRAH</v>
          </cell>
          <cell r="C191">
            <v>2E-3</v>
          </cell>
          <cell r="D191">
            <v>2975</v>
          </cell>
          <cell r="E191">
            <v>8925</v>
          </cell>
          <cell r="F191">
            <v>2.9000000000000001E-2</v>
          </cell>
        </row>
        <row r="192">
          <cell r="A192" t="str">
            <v>51720-10202402ABLF</v>
          </cell>
          <cell r="B192" t="str">
            <v>51720-10202402ABLF Connector,PBRAH</v>
          </cell>
          <cell r="C192">
            <v>1.9E-3</v>
          </cell>
          <cell r="D192">
            <v>3131.5789473684213</v>
          </cell>
          <cell r="E192">
            <v>9394.7368421052633</v>
          </cell>
          <cell r="F192">
            <v>2.52E-2</v>
          </cell>
        </row>
        <row r="193">
          <cell r="A193" t="str">
            <v>51720-10202402DALF</v>
          </cell>
          <cell r="B193" t="str">
            <v>51720-10202402DALF Connector,PBRAH</v>
          </cell>
          <cell r="C193">
            <v>1.9E-3</v>
          </cell>
          <cell r="D193">
            <v>3131.5789473684213</v>
          </cell>
          <cell r="E193">
            <v>9394.7368421052633</v>
          </cell>
          <cell r="F193">
            <v>1.55E-2</v>
          </cell>
        </row>
        <row r="194">
          <cell r="A194" t="str">
            <v>51720-10202403AALF</v>
          </cell>
          <cell r="B194" t="str">
            <v>51720-10202403AALF Connector,PBRAH</v>
          </cell>
          <cell r="C194">
            <v>1.9E-3</v>
          </cell>
          <cell r="D194">
            <v>3131.5789473684213</v>
          </cell>
          <cell r="E194">
            <v>9394.7368421052633</v>
          </cell>
          <cell r="F194">
            <v>3.3700000000000001E-2</v>
          </cell>
        </row>
        <row r="195">
          <cell r="A195" t="str">
            <v>51720-10202404AALF</v>
          </cell>
          <cell r="B195" t="str">
            <v>51720-10202404AALF PwrBlade RAH</v>
          </cell>
          <cell r="C195">
            <v>1.9E-3</v>
          </cell>
          <cell r="D195">
            <v>3131.5789473684213</v>
          </cell>
          <cell r="E195">
            <v>9394.7368421052633</v>
          </cell>
          <cell r="F195">
            <v>2.2957160000000001E-2</v>
          </cell>
        </row>
        <row r="196">
          <cell r="A196" t="str">
            <v>51720-10202404ABLF</v>
          </cell>
          <cell r="B196" t="str">
            <v>51720-10202404ABLF PwrBlade RAH</v>
          </cell>
          <cell r="C196">
            <v>1.9E-3</v>
          </cell>
          <cell r="D196">
            <v>3131.5789473684213</v>
          </cell>
          <cell r="E196">
            <v>9394.7368421052633</v>
          </cell>
          <cell r="F196">
            <v>2.7099999999999999E-2</v>
          </cell>
        </row>
        <row r="197">
          <cell r="A197" t="str">
            <v>51720-10202408AALF</v>
          </cell>
          <cell r="B197" t="str">
            <v>51720-10202408AALF Connector,PBRAH</v>
          </cell>
          <cell r="C197">
            <v>1.9E-3</v>
          </cell>
          <cell r="D197">
            <v>3131.5789473684213</v>
          </cell>
          <cell r="E197">
            <v>9394.7368421052633</v>
          </cell>
          <cell r="F197">
            <v>3.9300000000000002E-2</v>
          </cell>
        </row>
        <row r="198">
          <cell r="A198" t="str">
            <v>51720-10202408ABLF</v>
          </cell>
          <cell r="B198" t="str">
            <v>51720-10202408ABLF PwrBlade RAH STB</v>
          </cell>
          <cell r="C198">
            <v>2E-3</v>
          </cell>
          <cell r="D198">
            <v>2975</v>
          </cell>
          <cell r="E198">
            <v>8925</v>
          </cell>
          <cell r="F198">
            <v>3.9E-2</v>
          </cell>
        </row>
        <row r="199">
          <cell r="A199" t="str">
            <v>51720-10202802AALF</v>
          </cell>
          <cell r="B199" t="str">
            <v>51720-10202802AALF Connector,PBRAH</v>
          </cell>
          <cell r="C199">
            <v>2E-3</v>
          </cell>
          <cell r="D199">
            <v>2975</v>
          </cell>
          <cell r="E199">
            <v>8925</v>
          </cell>
          <cell r="F199">
            <v>2.9000000000000001E-2</v>
          </cell>
        </row>
        <row r="200">
          <cell r="A200" t="str">
            <v>51720-10202814ABLF</v>
          </cell>
          <cell r="B200" t="str">
            <v>51720-10202814ABLF PwrBlade RAH STB</v>
          </cell>
          <cell r="C200">
            <v>4.0000000000000001E-3</v>
          </cell>
          <cell r="D200">
            <v>1487.5</v>
          </cell>
          <cell r="E200">
            <v>4462.5</v>
          </cell>
          <cell r="F200">
            <v>6.5000000000000002E-2</v>
          </cell>
        </row>
        <row r="201">
          <cell r="A201" t="str">
            <v>51720-10203202AALF</v>
          </cell>
          <cell r="B201" t="str">
            <v>51720-10203202AALF Connector,PBRAH</v>
          </cell>
          <cell r="C201">
            <v>2E-3</v>
          </cell>
          <cell r="D201">
            <v>2975</v>
          </cell>
          <cell r="E201">
            <v>8925</v>
          </cell>
          <cell r="F201">
            <v>2.9000000000000001E-2</v>
          </cell>
        </row>
        <row r="202">
          <cell r="A202" t="str">
            <v>51720-10203206AALF</v>
          </cell>
          <cell r="B202" t="str">
            <v>51720-10203206AALF Connector,PBRAH</v>
          </cell>
          <cell r="C202">
            <v>1.9E-3</v>
          </cell>
          <cell r="D202">
            <v>3131.5789473684213</v>
          </cell>
          <cell r="E202">
            <v>9394.7368421052633</v>
          </cell>
          <cell r="F202">
            <v>7.7600000000000002E-2</v>
          </cell>
        </row>
        <row r="203">
          <cell r="A203" t="str">
            <v>51720-10204002AALF</v>
          </cell>
          <cell r="B203" t="str">
            <v>51720-10204002AALF Connector,PBRAH</v>
          </cell>
          <cell r="C203">
            <v>2E-3</v>
          </cell>
          <cell r="D203">
            <v>2975</v>
          </cell>
          <cell r="E203">
            <v>8925</v>
          </cell>
          <cell r="F203">
            <v>2.9000000000000001E-2</v>
          </cell>
        </row>
        <row r="204">
          <cell r="A204" t="str">
            <v>51720-10204800AALF</v>
          </cell>
          <cell r="B204" t="str">
            <v>51720-10204800AALF Connector,PBRAH</v>
          </cell>
          <cell r="C204">
            <v>1.9E-3</v>
          </cell>
          <cell r="D204">
            <v>3131.5789473684213</v>
          </cell>
          <cell r="E204">
            <v>9394.7368421052633</v>
          </cell>
          <cell r="F204">
            <v>2.6200000000000001E-2</v>
          </cell>
        </row>
        <row r="205">
          <cell r="A205" t="str">
            <v>51720-10204802AALF</v>
          </cell>
          <cell r="B205" t="str">
            <v>51720-10204802AALF Connector,PBRAH</v>
          </cell>
          <cell r="C205">
            <v>1.9E-3</v>
          </cell>
          <cell r="D205">
            <v>3131.5789473684213</v>
          </cell>
          <cell r="E205">
            <v>9394.7368421052633</v>
          </cell>
          <cell r="F205">
            <v>2.7099999999999999E-2</v>
          </cell>
        </row>
        <row r="206">
          <cell r="A206" t="str">
            <v>51720-10206002AALF</v>
          </cell>
          <cell r="B206" t="str">
            <v>51720-10206002AALF PwrBlade RAH</v>
          </cell>
          <cell r="C206">
            <v>2E-3</v>
          </cell>
          <cell r="D206">
            <v>2975</v>
          </cell>
          <cell r="E206">
            <v>8925</v>
          </cell>
          <cell r="F206">
            <v>2.3800000000000002E-2</v>
          </cell>
        </row>
        <row r="207">
          <cell r="A207" t="str">
            <v>51720-10206404AALF</v>
          </cell>
          <cell r="B207" t="str">
            <v>51720-10206404AALF PwrBlade RAH STB</v>
          </cell>
          <cell r="C207">
            <v>4.0000000000000001E-3</v>
          </cell>
          <cell r="D207">
            <v>1487.5</v>
          </cell>
          <cell r="E207">
            <v>4462.5</v>
          </cell>
          <cell r="F207">
            <v>6.0999999999999999E-2</v>
          </cell>
        </row>
        <row r="208">
          <cell r="A208" t="str">
            <v>51720-10206802AALF</v>
          </cell>
          <cell r="B208" t="str">
            <v>51720-10206802AALF Connector,PBRAH</v>
          </cell>
          <cell r="C208">
            <v>1.9E-3</v>
          </cell>
          <cell r="D208">
            <v>3131.5789473684213</v>
          </cell>
          <cell r="E208">
            <v>9394.7368421052633</v>
          </cell>
          <cell r="F208">
            <v>2.7099999999999999E-2</v>
          </cell>
        </row>
        <row r="209">
          <cell r="A209" t="str">
            <v>51720-10207202AALF</v>
          </cell>
          <cell r="B209" t="str">
            <v>51720-10207202AALF Connector,PBRAH</v>
          </cell>
          <cell r="C209">
            <v>2E-3</v>
          </cell>
          <cell r="D209">
            <v>2975</v>
          </cell>
          <cell r="E209">
            <v>8925</v>
          </cell>
          <cell r="F209">
            <v>2.9000000000000001E-2</v>
          </cell>
        </row>
        <row r="210">
          <cell r="A210" t="str">
            <v>51720-10208002AALF</v>
          </cell>
          <cell r="B210" t="str">
            <v>51720-10208002AALF Connector,PBRAH</v>
          </cell>
          <cell r="C210">
            <v>2.0999999999999999E-3</v>
          </cell>
          <cell r="D210">
            <v>2833.3333333333335</v>
          </cell>
          <cell r="E210">
            <v>8500</v>
          </cell>
          <cell r="F210">
            <v>3.27E-2</v>
          </cell>
        </row>
        <row r="211">
          <cell r="A211" t="str">
            <v>51720-10209602AALF</v>
          </cell>
          <cell r="B211" t="str">
            <v>51720-10209602AALF PwrBlade RAH</v>
          </cell>
          <cell r="C211">
            <v>1.9E-3</v>
          </cell>
          <cell r="D211">
            <v>3131.5789473684213</v>
          </cell>
          <cell r="E211">
            <v>9394.7368421052633</v>
          </cell>
          <cell r="F211">
            <v>3.27E-2</v>
          </cell>
        </row>
        <row r="212">
          <cell r="A212" t="str">
            <v>51720-10300403ABLF</v>
          </cell>
          <cell r="B212" t="str">
            <v>51720-10300403ABLF Connector,PBRAH</v>
          </cell>
          <cell r="C212">
            <v>2E-3</v>
          </cell>
          <cell r="D212">
            <v>2975</v>
          </cell>
          <cell r="E212">
            <v>8925</v>
          </cell>
          <cell r="F212">
            <v>2.9000000000000001E-2</v>
          </cell>
        </row>
        <row r="213">
          <cell r="A213" t="str">
            <v>51720-10300801AALF</v>
          </cell>
          <cell r="B213" t="str">
            <v>51720-10300801AALF Connector,PBRAH</v>
          </cell>
          <cell r="C213">
            <v>2E-3</v>
          </cell>
          <cell r="D213">
            <v>2975</v>
          </cell>
          <cell r="E213">
            <v>8925</v>
          </cell>
          <cell r="F213">
            <v>2.9000000000000001E-2</v>
          </cell>
        </row>
        <row r="214">
          <cell r="A214" t="str">
            <v>51720-10300803AALF</v>
          </cell>
          <cell r="B214" t="str">
            <v>51720-10300803AALF Connector,PBRAH</v>
          </cell>
          <cell r="C214">
            <v>1.6000000000000001E-3</v>
          </cell>
          <cell r="D214">
            <v>3718.75</v>
          </cell>
          <cell r="E214">
            <v>11156.25</v>
          </cell>
          <cell r="F214">
            <v>2.9000000000000001E-2</v>
          </cell>
        </row>
        <row r="215">
          <cell r="A215" t="str">
            <v>51720-10300804AALF</v>
          </cell>
          <cell r="B215" t="str">
            <v>51720-10300804AALF Connector,PBRAH</v>
          </cell>
          <cell r="C215">
            <v>2E-3</v>
          </cell>
          <cell r="D215">
            <v>2975</v>
          </cell>
          <cell r="E215">
            <v>8925</v>
          </cell>
          <cell r="F215">
            <v>3.5999999999999997E-2</v>
          </cell>
        </row>
        <row r="216">
          <cell r="A216" t="str">
            <v>51720-10301203AALF</v>
          </cell>
          <cell r="B216" t="str">
            <v>51720-10301203AALF PwrBlade RAH</v>
          </cell>
          <cell r="C216">
            <v>1.6000000000000001E-3</v>
          </cell>
          <cell r="D216">
            <v>3718.75</v>
          </cell>
          <cell r="E216">
            <v>11156.25</v>
          </cell>
          <cell r="F216">
            <v>2.9000000000000001E-2</v>
          </cell>
        </row>
        <row r="217">
          <cell r="A217" t="str">
            <v>51720-10301602AALF</v>
          </cell>
          <cell r="B217" t="str">
            <v>51720-10301602AALF Connector,PBRAH</v>
          </cell>
          <cell r="C217">
            <v>1.6000000000000001E-3</v>
          </cell>
          <cell r="D217">
            <v>3718.75</v>
          </cell>
          <cell r="E217">
            <v>11156.25</v>
          </cell>
          <cell r="F217">
            <v>3.3700000000000001E-2</v>
          </cell>
        </row>
        <row r="218">
          <cell r="A218" t="str">
            <v>51720-10301603AALF</v>
          </cell>
          <cell r="B218" t="str">
            <v>51720-10301603AALF Connector,PBRAH</v>
          </cell>
          <cell r="C218">
            <v>2E-3</v>
          </cell>
          <cell r="D218">
            <v>2975</v>
          </cell>
          <cell r="E218">
            <v>8925</v>
          </cell>
          <cell r="F218">
            <v>3.1E-2</v>
          </cell>
        </row>
        <row r="219">
          <cell r="A219" t="str">
            <v>51720-10301603ABLF</v>
          </cell>
          <cell r="B219" t="str">
            <v>51720-10301603ABLF Connector,PBRAH</v>
          </cell>
          <cell r="C219">
            <v>2E-3</v>
          </cell>
          <cell r="D219">
            <v>2975</v>
          </cell>
          <cell r="E219">
            <v>8925</v>
          </cell>
          <cell r="F219">
            <v>2.9000000000000001E-2</v>
          </cell>
        </row>
        <row r="220">
          <cell r="A220" t="str">
            <v>51720-10302003AALF</v>
          </cell>
          <cell r="B220" t="str">
            <v>51720-10302003AALF PwrBlade RAH</v>
          </cell>
          <cell r="C220">
            <v>1.6000000000000001E-3</v>
          </cell>
          <cell r="D220">
            <v>3718.75</v>
          </cell>
          <cell r="E220">
            <v>11156.25</v>
          </cell>
          <cell r="F220">
            <v>2.6700000000000002E-2</v>
          </cell>
        </row>
        <row r="221">
          <cell r="A221" t="str">
            <v>51720-10302005AALF</v>
          </cell>
          <cell r="B221" t="str">
            <v>51720-10302005AALF Connector,PBRAH</v>
          </cell>
          <cell r="C221">
            <v>2E-3</v>
          </cell>
          <cell r="D221">
            <v>2975</v>
          </cell>
          <cell r="E221">
            <v>8925</v>
          </cell>
          <cell r="F221">
            <v>3.2000000000000001E-2</v>
          </cell>
        </row>
        <row r="222">
          <cell r="A222" t="str">
            <v>51720-10302403AALF</v>
          </cell>
          <cell r="B222" t="str">
            <v>51720-10302403AALF PwrBlade RAH</v>
          </cell>
          <cell r="C222">
            <v>1.6000000000000001E-3</v>
          </cell>
          <cell r="D222">
            <v>3718.75</v>
          </cell>
          <cell r="E222">
            <v>11156.25</v>
          </cell>
          <cell r="F222">
            <v>1.9300000000000001E-2</v>
          </cell>
        </row>
        <row r="223">
          <cell r="A223" t="str">
            <v>51720-10302403ABLF</v>
          </cell>
          <cell r="B223" t="str">
            <v>51720-10302403ABLF Connector,PBRAH</v>
          </cell>
          <cell r="C223">
            <v>1.6000000000000001E-3</v>
          </cell>
          <cell r="D223">
            <v>3718.75</v>
          </cell>
          <cell r="E223">
            <v>11156.25</v>
          </cell>
          <cell r="F223">
            <v>2.7099999999999999E-2</v>
          </cell>
        </row>
        <row r="224">
          <cell r="A224" t="str">
            <v>51720-10302404AALF</v>
          </cell>
          <cell r="B224" t="str">
            <v>51720-10302404AALF Connector,PBRAH</v>
          </cell>
          <cell r="C224">
            <v>3.0000000000000001E-3</v>
          </cell>
          <cell r="D224">
            <v>1983.3333333333333</v>
          </cell>
          <cell r="E224">
            <v>5950</v>
          </cell>
          <cell r="F224">
            <v>2.9000000000000001E-2</v>
          </cell>
        </row>
        <row r="225">
          <cell r="A225" t="str">
            <v>51720-10302406AALF</v>
          </cell>
          <cell r="B225" t="str">
            <v>51720-10302406AALF Connector,PBRAH</v>
          </cell>
          <cell r="C225">
            <v>1.6000000000000001E-3</v>
          </cell>
          <cell r="D225">
            <v>3718.75</v>
          </cell>
          <cell r="E225">
            <v>11156.25</v>
          </cell>
          <cell r="F225">
            <v>3.4599999999999999E-2</v>
          </cell>
        </row>
        <row r="226">
          <cell r="A226" t="str">
            <v>51720-10302406ABLF</v>
          </cell>
          <cell r="B226" t="str">
            <v>51720-10302406ABLF Connector,PBRAH</v>
          </cell>
          <cell r="C226">
            <v>2E-3</v>
          </cell>
          <cell r="D226">
            <v>2975</v>
          </cell>
          <cell r="E226">
            <v>8925</v>
          </cell>
          <cell r="F226">
            <v>3.5000000000000003E-2</v>
          </cell>
        </row>
        <row r="227">
          <cell r="A227" t="str">
            <v>51720-10302408AALF</v>
          </cell>
          <cell r="B227" t="str">
            <v>51720-10302408AALF Connector,PBRAH</v>
          </cell>
          <cell r="C227">
            <v>2.0999999999999999E-3</v>
          </cell>
          <cell r="D227">
            <v>2833.3333333333335</v>
          </cell>
          <cell r="E227">
            <v>8500</v>
          </cell>
          <cell r="F227">
            <v>3.9300000000000002E-2</v>
          </cell>
        </row>
        <row r="228">
          <cell r="A228" t="str">
            <v>51720-10302803AALF</v>
          </cell>
          <cell r="B228" t="str">
            <v>51720-10302803AALF Connector,PBRAH</v>
          </cell>
          <cell r="C228">
            <v>1.6000000000000001E-3</v>
          </cell>
          <cell r="D228">
            <v>3718.75</v>
          </cell>
          <cell r="E228">
            <v>11156.25</v>
          </cell>
          <cell r="F228">
            <v>2.9000000000000001E-2</v>
          </cell>
        </row>
        <row r="229">
          <cell r="A229" t="str">
            <v>51720-10303203AALF</v>
          </cell>
          <cell r="B229" t="str">
            <v>51720-10303203AALF Connector,PBRAH</v>
          </cell>
          <cell r="C229">
            <v>1.6000000000000001E-3</v>
          </cell>
          <cell r="D229">
            <v>3718.75</v>
          </cell>
          <cell r="E229">
            <v>11156.25</v>
          </cell>
          <cell r="F229">
            <v>2.9000000000000001E-2</v>
          </cell>
        </row>
        <row r="230">
          <cell r="A230" t="str">
            <v>51720-10303203ABLF</v>
          </cell>
          <cell r="B230" t="str">
            <v>51720-10303203ABLF Connector,PBRAH</v>
          </cell>
          <cell r="C230">
            <v>1.9E-3</v>
          </cell>
          <cell r="D230">
            <v>3131.5789473684213</v>
          </cell>
          <cell r="E230">
            <v>9394.7368421052633</v>
          </cell>
          <cell r="F230">
            <v>2.7099999999999999E-2</v>
          </cell>
        </row>
        <row r="231">
          <cell r="A231" t="str">
            <v>51720-10303603AALF</v>
          </cell>
          <cell r="B231" t="str">
            <v>51720-10303603AALF Connector,PBRAH</v>
          </cell>
          <cell r="C231">
            <v>1.6000000000000001E-3</v>
          </cell>
          <cell r="D231">
            <v>3718.75</v>
          </cell>
          <cell r="E231">
            <v>11156.25</v>
          </cell>
          <cell r="F231">
            <v>2.9000000000000001E-2</v>
          </cell>
        </row>
        <row r="232">
          <cell r="A232" t="str">
            <v>51720-10306402AALF</v>
          </cell>
          <cell r="B232" t="str">
            <v>51720-10306402AALF Connector,PBRAH</v>
          </cell>
          <cell r="C232">
            <v>1.6000000000000001E-3</v>
          </cell>
          <cell r="D232">
            <v>3718.75</v>
          </cell>
          <cell r="E232">
            <v>11156.25</v>
          </cell>
          <cell r="F232">
            <v>3.3700000000000001E-2</v>
          </cell>
        </row>
        <row r="233">
          <cell r="A233" t="str">
            <v>51720-10306802AALF</v>
          </cell>
          <cell r="B233" t="str">
            <v>51720-10306802AALF Connector,PBRAH</v>
          </cell>
          <cell r="C233">
            <v>1.9E-3</v>
          </cell>
          <cell r="D233">
            <v>3131.5789473684213</v>
          </cell>
          <cell r="E233">
            <v>9394.7368421052633</v>
          </cell>
          <cell r="F233">
            <v>2.8899999999999999E-2</v>
          </cell>
        </row>
        <row r="234">
          <cell r="A234" t="str">
            <v>51720-10312003ABLF</v>
          </cell>
          <cell r="B234" t="str">
            <v>51720-10312003ABLF Connector,PBRAH</v>
          </cell>
          <cell r="C234">
            <v>3.3E-3</v>
          </cell>
          <cell r="D234">
            <v>1803.030303030303</v>
          </cell>
          <cell r="E234">
            <v>5409.090909090909</v>
          </cell>
          <cell r="F234">
            <v>3.7400000000000003E-2</v>
          </cell>
        </row>
        <row r="235">
          <cell r="A235" t="str">
            <v>51720-10312803ABLF</v>
          </cell>
          <cell r="B235" t="str">
            <v>51720-10312803ABLF Connector,PBRAH</v>
          </cell>
          <cell r="C235">
            <v>3.3E-3</v>
          </cell>
          <cell r="D235">
            <v>1803.030303030303</v>
          </cell>
          <cell r="E235">
            <v>5409.090909090909</v>
          </cell>
          <cell r="F235">
            <v>3.7400000000000003E-2</v>
          </cell>
        </row>
        <row r="236">
          <cell r="A236" t="str">
            <v>51720-10400804AALF</v>
          </cell>
          <cell r="B236" t="str">
            <v>51720-10400804AALF Connector,PBRAH</v>
          </cell>
          <cell r="C236">
            <v>1.9E-3</v>
          </cell>
          <cell r="D236">
            <v>3131.5789473684213</v>
          </cell>
          <cell r="E236">
            <v>9394.7368421052633</v>
          </cell>
          <cell r="F236">
            <v>1.8700000000000001E-2</v>
          </cell>
        </row>
        <row r="237">
          <cell r="A237" t="str">
            <v>51720-10401202AALF</v>
          </cell>
          <cell r="B237" t="str">
            <v>51720-10401202AALF Connector,PBRAH</v>
          </cell>
          <cell r="C237">
            <v>2E-3</v>
          </cell>
          <cell r="D237">
            <v>2975</v>
          </cell>
          <cell r="E237">
            <v>8925</v>
          </cell>
          <cell r="F237">
            <v>3.1E-2</v>
          </cell>
        </row>
        <row r="238">
          <cell r="A238" t="str">
            <v>51720-10401204AALF</v>
          </cell>
          <cell r="B238" t="str">
            <v>51720-10401204AALF PwrBlade RAH</v>
          </cell>
          <cell r="C238">
            <v>1.6000000000000001E-3</v>
          </cell>
          <cell r="D238">
            <v>3718.75</v>
          </cell>
          <cell r="E238">
            <v>11156.25</v>
          </cell>
          <cell r="F238">
            <v>2.9899999999999999E-2</v>
          </cell>
        </row>
        <row r="239">
          <cell r="A239" t="str">
            <v>51720-10401204ABLF</v>
          </cell>
          <cell r="B239" t="str">
            <v>51720-10401204ABLF Connector,PBRAH</v>
          </cell>
          <cell r="C239">
            <v>2E-3</v>
          </cell>
          <cell r="D239">
            <v>2975</v>
          </cell>
          <cell r="E239">
            <v>8925</v>
          </cell>
          <cell r="F239">
            <v>3.1E-2</v>
          </cell>
        </row>
        <row r="240">
          <cell r="A240" t="str">
            <v>51720-10401602AALF</v>
          </cell>
          <cell r="B240" t="str">
            <v>51720-10401602AALF PwrBlade RAH</v>
          </cell>
          <cell r="C240">
            <v>1.6000000000000001E-3</v>
          </cell>
          <cell r="D240">
            <v>3718.75</v>
          </cell>
          <cell r="E240">
            <v>11156.25</v>
          </cell>
          <cell r="F240">
            <v>2.4649999999999998E-2</v>
          </cell>
        </row>
        <row r="241">
          <cell r="A241" t="str">
            <v>51720-10401602ABLF</v>
          </cell>
          <cell r="B241" t="str">
            <v>51720-10401602ABLF Connector,PBRAH</v>
          </cell>
          <cell r="C241">
            <v>1.6000000000000001E-3</v>
          </cell>
          <cell r="D241">
            <v>3718.75</v>
          </cell>
          <cell r="E241">
            <v>11156.25</v>
          </cell>
          <cell r="F241">
            <v>2.7099999999999999E-2</v>
          </cell>
        </row>
        <row r="242">
          <cell r="A242" t="str">
            <v>51720-10401603AALF</v>
          </cell>
          <cell r="B242" t="str">
            <v>51720-10401603AALF Connector,PBRAH</v>
          </cell>
          <cell r="C242">
            <v>1.6000000000000001E-3</v>
          </cell>
          <cell r="D242">
            <v>3718.75</v>
          </cell>
          <cell r="E242">
            <v>11156.25</v>
          </cell>
          <cell r="F242">
            <v>3.3700000000000001E-2</v>
          </cell>
        </row>
        <row r="243">
          <cell r="A243" t="str">
            <v>51720-10401604AALF</v>
          </cell>
          <cell r="B243" t="str">
            <v>51720-10401604AALF Connector,PBRAH</v>
          </cell>
          <cell r="C243">
            <v>1.6000000000000001E-3</v>
          </cell>
          <cell r="D243">
            <v>3718.75</v>
          </cell>
          <cell r="E243">
            <v>11156.25</v>
          </cell>
          <cell r="F243">
            <v>2.9899999999999999E-2</v>
          </cell>
        </row>
        <row r="244">
          <cell r="A244" t="str">
            <v>51720-10401604ABLF</v>
          </cell>
          <cell r="B244" t="str">
            <v>51720-10401604ABLF Connector,PBRAH</v>
          </cell>
          <cell r="C244">
            <v>1.6000000000000001E-3</v>
          </cell>
          <cell r="D244">
            <v>3718.75</v>
          </cell>
          <cell r="E244">
            <v>11156.25</v>
          </cell>
          <cell r="F244">
            <v>2.9000000000000001E-2</v>
          </cell>
        </row>
        <row r="245">
          <cell r="A245" t="str">
            <v>51720-10402002AALF</v>
          </cell>
          <cell r="B245" t="str">
            <v>51720-10402002AALF Connector,PBRAH</v>
          </cell>
          <cell r="C245">
            <v>2E-3</v>
          </cell>
          <cell r="D245">
            <v>2975</v>
          </cell>
          <cell r="E245">
            <v>8925</v>
          </cell>
          <cell r="F245">
            <v>3.1E-2</v>
          </cell>
        </row>
        <row r="246">
          <cell r="A246" t="str">
            <v>51720-10402003AALF</v>
          </cell>
          <cell r="B246" t="str">
            <v>51720-10402003AALF Connector,PBRAH</v>
          </cell>
          <cell r="C246">
            <v>1.9E-3</v>
          </cell>
          <cell r="D246">
            <v>3131.5789473684213</v>
          </cell>
          <cell r="E246">
            <v>9394.7368421052633</v>
          </cell>
          <cell r="F246">
            <v>3.3700000000000001E-2</v>
          </cell>
        </row>
        <row r="247">
          <cell r="A247" t="str">
            <v>51720-10402004AALF</v>
          </cell>
          <cell r="B247" t="str">
            <v>51720-10402004AALF Connector,PBRAH</v>
          </cell>
          <cell r="C247">
            <v>1.6000000000000001E-3</v>
          </cell>
          <cell r="D247">
            <v>3718.75</v>
          </cell>
          <cell r="E247">
            <v>11156.25</v>
          </cell>
          <cell r="F247">
            <v>2.7099999999999999E-2</v>
          </cell>
        </row>
        <row r="248">
          <cell r="A248" t="str">
            <v>51720-10402004ABLF</v>
          </cell>
          <cell r="B248" t="str">
            <v>51720-10402004ABLF Connector,PBRAH</v>
          </cell>
          <cell r="C248">
            <v>1.9E-3</v>
          </cell>
          <cell r="D248">
            <v>3131.5789473684213</v>
          </cell>
          <cell r="E248">
            <v>9394.7368421052633</v>
          </cell>
          <cell r="F248">
            <v>2.9000000000000001E-2</v>
          </cell>
        </row>
        <row r="249">
          <cell r="A249" t="str">
            <v>51720-10402402AALF</v>
          </cell>
          <cell r="B249" t="str">
            <v>51720-10402402AALF Connector,PBRAH</v>
          </cell>
          <cell r="C249">
            <v>1.6000000000000001E-3</v>
          </cell>
          <cell r="D249">
            <v>3718.75</v>
          </cell>
          <cell r="E249">
            <v>11156.25</v>
          </cell>
          <cell r="F249">
            <v>2.7099999999999999E-2</v>
          </cell>
        </row>
        <row r="250">
          <cell r="A250" t="str">
            <v>51720-10402403AALF</v>
          </cell>
          <cell r="B250" t="str">
            <v>51720-10402403AALF Connector,PBRAH</v>
          </cell>
          <cell r="C250">
            <v>1.6000000000000001E-3</v>
          </cell>
          <cell r="D250">
            <v>3718.75</v>
          </cell>
          <cell r="E250">
            <v>11156.25</v>
          </cell>
          <cell r="F250">
            <v>3.3700000000000001E-2</v>
          </cell>
        </row>
        <row r="251">
          <cell r="A251" t="str">
            <v>51720-10402404AALF</v>
          </cell>
          <cell r="B251" t="str">
            <v>51720-10402404AALF PwrBlade RAH</v>
          </cell>
          <cell r="C251">
            <v>1.6000000000000001E-3</v>
          </cell>
          <cell r="D251">
            <v>3718.75</v>
          </cell>
          <cell r="E251">
            <v>11156.25</v>
          </cell>
          <cell r="F251">
            <v>2.538E-2</v>
          </cell>
        </row>
        <row r="252">
          <cell r="A252" t="str">
            <v>51720-10402404CBLF</v>
          </cell>
          <cell r="B252" t="str">
            <v>51720-10402404CBLF PwrBlade RAH PF</v>
          </cell>
          <cell r="C252">
            <v>2E-3</v>
          </cell>
          <cell r="D252">
            <v>2975</v>
          </cell>
          <cell r="E252">
            <v>8925</v>
          </cell>
          <cell r="F252">
            <v>3.1E-2</v>
          </cell>
        </row>
        <row r="253">
          <cell r="A253" t="str">
            <v>51720-10402405AALF</v>
          </cell>
          <cell r="B253" t="str">
            <v>51720-10402405AALF Connector,PBRAH</v>
          </cell>
          <cell r="C253">
            <v>2E-3</v>
          </cell>
          <cell r="D253">
            <v>2975</v>
          </cell>
          <cell r="E253">
            <v>8925</v>
          </cell>
          <cell r="F253">
            <v>3.6999999999999998E-2</v>
          </cell>
        </row>
        <row r="254">
          <cell r="A254" t="str">
            <v>51720-10402406AALF</v>
          </cell>
          <cell r="B254" t="str">
            <v>51720-10402406AALF Connector,PBRAH</v>
          </cell>
          <cell r="C254">
            <v>2E-3</v>
          </cell>
          <cell r="D254">
            <v>2975</v>
          </cell>
          <cell r="E254">
            <v>8925</v>
          </cell>
          <cell r="F254">
            <v>4.2000000000000003E-2</v>
          </cell>
        </row>
        <row r="255">
          <cell r="A255" t="str">
            <v>51720-10402406ABLF</v>
          </cell>
          <cell r="B255" t="str">
            <v>51720-10402406ABLF Connector,PBRAH</v>
          </cell>
          <cell r="C255">
            <v>2.2000000000000001E-3</v>
          </cell>
          <cell r="D255">
            <v>2704.5454545454545</v>
          </cell>
          <cell r="E255">
            <v>8113.636363636364</v>
          </cell>
          <cell r="F255">
            <v>3.6499999999999998E-2</v>
          </cell>
        </row>
        <row r="256">
          <cell r="A256" t="str">
            <v>51720-10402408AALF</v>
          </cell>
          <cell r="B256" t="str">
            <v>51720-10402408AALF Connector,PBRAH</v>
          </cell>
          <cell r="C256">
            <v>2E-3</v>
          </cell>
          <cell r="D256">
            <v>2975</v>
          </cell>
          <cell r="E256">
            <v>8925</v>
          </cell>
          <cell r="F256">
            <v>3.9E-2</v>
          </cell>
        </row>
        <row r="257">
          <cell r="A257" t="str">
            <v>51720-10402804AALF</v>
          </cell>
          <cell r="B257" t="str">
            <v>51720-10402804AALF Connector,PBRAH</v>
          </cell>
          <cell r="C257">
            <v>1.6000000000000001E-3</v>
          </cell>
          <cell r="D257">
            <v>3718.75</v>
          </cell>
          <cell r="E257">
            <v>11156.25</v>
          </cell>
          <cell r="F257">
            <v>2.9899999999999999E-2</v>
          </cell>
        </row>
        <row r="258">
          <cell r="A258" t="str">
            <v>51720-10403204AALF</v>
          </cell>
          <cell r="B258" t="str">
            <v>51720-10403204AALF Connector,PBRAH</v>
          </cell>
          <cell r="C258">
            <v>2E-3</v>
          </cell>
          <cell r="D258">
            <v>2975</v>
          </cell>
          <cell r="E258">
            <v>8925</v>
          </cell>
          <cell r="F258">
            <v>3.2000000000000001E-2</v>
          </cell>
        </row>
        <row r="259">
          <cell r="A259" t="str">
            <v>51720-10404004AALF</v>
          </cell>
          <cell r="B259" t="str">
            <v>51720-10404004AALF PwrBlade RAH</v>
          </cell>
          <cell r="C259">
            <v>1.9E-3</v>
          </cell>
          <cell r="D259">
            <v>3131.5789473684213</v>
          </cell>
          <cell r="E259">
            <v>9394.7368421052633</v>
          </cell>
          <cell r="F259">
            <v>3.6499999999999998E-2</v>
          </cell>
        </row>
        <row r="260">
          <cell r="A260" t="str">
            <v>51720-10404804AALF</v>
          </cell>
          <cell r="B260" t="str">
            <v>51720-10404804AALF PwrBlade RAH</v>
          </cell>
          <cell r="C260">
            <v>2.0999999999999999E-3</v>
          </cell>
          <cell r="D260">
            <v>2833.3333333333335</v>
          </cell>
          <cell r="E260">
            <v>8500</v>
          </cell>
          <cell r="F260">
            <v>3.6499999999999998E-2</v>
          </cell>
        </row>
        <row r="261">
          <cell r="A261" t="str">
            <v>51720-10404804ABLF</v>
          </cell>
          <cell r="B261" t="str">
            <v>51720-10404804ABLF Connector,PBRAH</v>
          </cell>
          <cell r="C261">
            <v>2E-3</v>
          </cell>
          <cell r="D261">
            <v>2975</v>
          </cell>
          <cell r="E261">
            <v>8925</v>
          </cell>
          <cell r="F261">
            <v>3.6999999999999998E-2</v>
          </cell>
        </row>
        <row r="262">
          <cell r="A262" t="str">
            <v>51720-10404804CALF</v>
          </cell>
          <cell r="B262" t="str">
            <v>51720-10404804CALF PwrBlade RAH PF</v>
          </cell>
          <cell r="C262">
            <v>2E-3</v>
          </cell>
          <cell r="D262">
            <v>2975</v>
          </cell>
          <cell r="E262">
            <v>8925</v>
          </cell>
          <cell r="F262">
            <v>3.9E-2</v>
          </cell>
        </row>
        <row r="263">
          <cell r="A263" t="str">
            <v>51720-10405604ABLF</v>
          </cell>
          <cell r="B263" t="str">
            <v>51720-10405604ABLF PwrBlade RAH STB</v>
          </cell>
          <cell r="C263">
            <v>2E-3</v>
          </cell>
          <cell r="D263">
            <v>2975</v>
          </cell>
          <cell r="E263">
            <v>8925</v>
          </cell>
          <cell r="F263">
            <v>3.6999999999999998E-2</v>
          </cell>
        </row>
        <row r="264">
          <cell r="A264" t="str">
            <v>51720-10406004ABLF</v>
          </cell>
          <cell r="B264" t="str">
            <v>51720-10406004ABLF PwrBlade RAH STB</v>
          </cell>
          <cell r="C264">
            <v>6.7000000000000002E-3</v>
          </cell>
          <cell r="D264">
            <v>888.05970149253733</v>
          </cell>
          <cell r="E264">
            <v>2664.1791044776119</v>
          </cell>
          <cell r="F264">
            <v>3.9E-2</v>
          </cell>
        </row>
        <row r="265">
          <cell r="A265" t="str">
            <v>51720-10408004AALF</v>
          </cell>
          <cell r="B265" t="str">
            <v>51720-10408004AALF Connector,PBRAH</v>
          </cell>
          <cell r="C265">
            <v>2E-3</v>
          </cell>
          <cell r="D265">
            <v>2975</v>
          </cell>
          <cell r="E265">
            <v>8925</v>
          </cell>
          <cell r="F265">
            <v>3.5000000000000003E-2</v>
          </cell>
        </row>
        <row r="266">
          <cell r="A266" t="str">
            <v>51720-10410004AALF</v>
          </cell>
          <cell r="B266" t="str">
            <v>51720-10410004AALF Connector,PBRAH</v>
          </cell>
          <cell r="C266">
            <v>3.5000000000000001E-3</v>
          </cell>
          <cell r="D266">
            <v>1700</v>
          </cell>
          <cell r="E266">
            <v>5100</v>
          </cell>
          <cell r="F266">
            <v>4.7E-2</v>
          </cell>
        </row>
        <row r="267">
          <cell r="A267" t="str">
            <v>51720-10500805AALF</v>
          </cell>
          <cell r="B267" t="str">
            <v>51720-10500805AALF Connector,PBRAH</v>
          </cell>
          <cell r="C267">
            <v>1.6000000000000001E-3</v>
          </cell>
          <cell r="D267">
            <v>3718.75</v>
          </cell>
          <cell r="E267">
            <v>11156.25</v>
          </cell>
          <cell r="F267">
            <v>3.1800000000000002E-2</v>
          </cell>
        </row>
        <row r="268">
          <cell r="A268" t="str">
            <v>51720-10502002AALF</v>
          </cell>
          <cell r="B268" t="str">
            <v>51720-10502002AALF Connector,PBRAH</v>
          </cell>
          <cell r="C268">
            <v>1.6000000000000001E-3</v>
          </cell>
          <cell r="D268">
            <v>3718.75</v>
          </cell>
          <cell r="E268">
            <v>11156.25</v>
          </cell>
          <cell r="F268">
            <v>3.3700000000000001E-2</v>
          </cell>
        </row>
        <row r="269">
          <cell r="A269" t="str">
            <v>51720-10502400AALF</v>
          </cell>
          <cell r="B269" t="str">
            <v>51720-10502400AALF Connector,PBRAH</v>
          </cell>
          <cell r="C269">
            <v>1.6000000000000001E-3</v>
          </cell>
          <cell r="D269">
            <v>3718.75</v>
          </cell>
          <cell r="E269">
            <v>11156.25</v>
          </cell>
          <cell r="F269">
            <v>3.3700000000000001E-2</v>
          </cell>
        </row>
        <row r="270">
          <cell r="A270" t="str">
            <v>51720-10502403ABLF</v>
          </cell>
          <cell r="B270" t="str">
            <v>51720-10502403ABLF PwrBlade RAH</v>
          </cell>
          <cell r="C270">
            <v>1.6000000000000001E-3</v>
          </cell>
          <cell r="D270">
            <v>3718.75</v>
          </cell>
          <cell r="E270">
            <v>11156.25</v>
          </cell>
          <cell r="F270">
            <v>2.9000000000000001E-2</v>
          </cell>
        </row>
        <row r="271">
          <cell r="A271" t="str">
            <v>51720-10502404AALF</v>
          </cell>
          <cell r="B271" t="str">
            <v>51720-10502404AALF Connector,PBRAH</v>
          </cell>
          <cell r="C271">
            <v>1.9E-3</v>
          </cell>
          <cell r="D271">
            <v>3131.5789473684213</v>
          </cell>
          <cell r="E271">
            <v>9394.7368421052633</v>
          </cell>
          <cell r="F271">
            <v>3.4599999999999999E-2</v>
          </cell>
        </row>
        <row r="272">
          <cell r="A272" t="str">
            <v>51720-10502405AALF</v>
          </cell>
          <cell r="B272" t="str">
            <v>51720-10502405AALF Connector,PBRAH</v>
          </cell>
          <cell r="C272">
            <v>2.0999999999999999E-3</v>
          </cell>
          <cell r="D272">
            <v>2833.3333333333335</v>
          </cell>
          <cell r="E272">
            <v>8500</v>
          </cell>
          <cell r="F272">
            <v>3.9300000000000002E-2</v>
          </cell>
        </row>
        <row r="273">
          <cell r="A273" t="str">
            <v>51720-10502410AALF</v>
          </cell>
          <cell r="B273" t="str">
            <v>51720-10502410AALF Connector,PBRAH</v>
          </cell>
          <cell r="C273">
            <v>2E-3</v>
          </cell>
          <cell r="D273">
            <v>2975</v>
          </cell>
          <cell r="E273">
            <v>8925</v>
          </cell>
          <cell r="F273">
            <v>5.1999999999999998E-2</v>
          </cell>
        </row>
        <row r="274">
          <cell r="A274" t="str">
            <v>51720-10503205AALF</v>
          </cell>
          <cell r="B274" t="str">
            <v>51720-10503205AALF Connector,PBRAH</v>
          </cell>
          <cell r="C274">
            <v>2.0999999999999999E-3</v>
          </cell>
          <cell r="D274">
            <v>2833.3333333333335</v>
          </cell>
          <cell r="E274">
            <v>8500</v>
          </cell>
          <cell r="F274">
            <v>3.9300000000000002E-2</v>
          </cell>
        </row>
        <row r="275">
          <cell r="A275" t="str">
            <v>51720-10600806AALF</v>
          </cell>
          <cell r="B275" t="str">
            <v>51720-10600806AALF Connector,PBRAH</v>
          </cell>
          <cell r="C275">
            <v>2E-3</v>
          </cell>
          <cell r="D275">
            <v>2975</v>
          </cell>
          <cell r="E275">
            <v>8925</v>
          </cell>
          <cell r="F275">
            <v>4.2000000000000003E-2</v>
          </cell>
        </row>
        <row r="276">
          <cell r="A276" t="str">
            <v>51720-10601601ABLF</v>
          </cell>
          <cell r="B276" t="str">
            <v>51720-10601601ABLF Connector,PBRAH</v>
          </cell>
          <cell r="C276">
            <v>2E-3</v>
          </cell>
          <cell r="D276">
            <v>2975</v>
          </cell>
          <cell r="E276">
            <v>8925</v>
          </cell>
          <cell r="F276">
            <v>3.4000000000000002E-2</v>
          </cell>
        </row>
        <row r="277">
          <cell r="A277" t="str">
            <v>51720-10601602AALF</v>
          </cell>
          <cell r="B277" t="str">
            <v>51720-10601602AALF Connector,PBRAH</v>
          </cell>
          <cell r="C277">
            <v>2E-3</v>
          </cell>
          <cell r="D277">
            <v>2975</v>
          </cell>
          <cell r="E277">
            <v>8925</v>
          </cell>
          <cell r="F277">
            <v>3.2000000000000001E-2</v>
          </cell>
        </row>
        <row r="278">
          <cell r="A278" t="str">
            <v>51720-10601602ABLF</v>
          </cell>
          <cell r="B278" t="str">
            <v>51720-10601602ABLF Connector,PBRAH</v>
          </cell>
          <cell r="C278">
            <v>2E-3</v>
          </cell>
          <cell r="D278">
            <v>2975</v>
          </cell>
          <cell r="E278">
            <v>8925</v>
          </cell>
          <cell r="F278">
            <v>2.63E-2</v>
          </cell>
        </row>
        <row r="279">
          <cell r="A279" t="str">
            <v>51720-10601603ABLF</v>
          </cell>
          <cell r="B279" t="str">
            <v>51720-10601603ABLF Connector,PBRAH</v>
          </cell>
          <cell r="C279">
            <v>2E-3</v>
          </cell>
          <cell r="D279">
            <v>2975</v>
          </cell>
          <cell r="E279">
            <v>8925</v>
          </cell>
          <cell r="F279">
            <v>3.5000000000000003E-2</v>
          </cell>
        </row>
        <row r="280">
          <cell r="A280" t="str">
            <v>51720-10601604ABLF</v>
          </cell>
          <cell r="B280" t="str">
            <v>51720-10601604ABLF Connector,PBRAH</v>
          </cell>
          <cell r="C280">
            <v>2E-3</v>
          </cell>
          <cell r="D280">
            <v>2975</v>
          </cell>
          <cell r="E280">
            <v>8925</v>
          </cell>
          <cell r="F280">
            <v>3.9E-2</v>
          </cell>
        </row>
        <row r="281">
          <cell r="A281" t="str">
            <v>51720-10602005ABLF</v>
          </cell>
          <cell r="B281" t="str">
            <v>51720-10602005ABLF Connector,PBRAH</v>
          </cell>
          <cell r="C281">
            <v>2.0999999999999999E-3</v>
          </cell>
          <cell r="D281">
            <v>2833.3333333333335</v>
          </cell>
          <cell r="E281">
            <v>8500</v>
          </cell>
          <cell r="F281">
            <v>3.6499999999999998E-2</v>
          </cell>
        </row>
        <row r="282">
          <cell r="A282" t="str">
            <v>51720-10602404ABLF</v>
          </cell>
          <cell r="B282" t="str">
            <v>51720-10602404ABLF Connector,PBRAH</v>
          </cell>
          <cell r="C282">
            <v>2.0999999999999999E-3</v>
          </cell>
          <cell r="D282">
            <v>2833.3333333333335</v>
          </cell>
          <cell r="E282">
            <v>8500</v>
          </cell>
          <cell r="F282">
            <v>3.6499999999999998E-2</v>
          </cell>
        </row>
        <row r="283">
          <cell r="A283" t="str">
            <v>51720-10602405AALF</v>
          </cell>
          <cell r="B283" t="str">
            <v>51720-10602405AALF PwrBlade RAH</v>
          </cell>
          <cell r="C283">
            <v>2.0999999999999999E-3</v>
          </cell>
          <cell r="D283">
            <v>2833.3333333333335</v>
          </cell>
          <cell r="E283">
            <v>8500</v>
          </cell>
          <cell r="F283">
            <v>3.9300000000000002E-2</v>
          </cell>
        </row>
        <row r="284">
          <cell r="A284" t="str">
            <v>51720-10602405ABLF</v>
          </cell>
          <cell r="B284" t="str">
            <v>51720-10602405ABLF Connector,PBRAH</v>
          </cell>
          <cell r="C284">
            <v>2E-3</v>
          </cell>
          <cell r="D284">
            <v>2975</v>
          </cell>
          <cell r="E284">
            <v>8925</v>
          </cell>
          <cell r="F284">
            <v>3.9E-2</v>
          </cell>
        </row>
        <row r="285">
          <cell r="A285" t="str">
            <v>51720-10602406AALF</v>
          </cell>
          <cell r="B285" t="str">
            <v>51720-10602406AALF PwrBlade RAH</v>
          </cell>
          <cell r="C285">
            <v>2.0999999999999999E-3</v>
          </cell>
          <cell r="D285">
            <v>2833.3333333333335</v>
          </cell>
          <cell r="E285">
            <v>8500</v>
          </cell>
          <cell r="F285">
            <v>3.9300000000000002E-2</v>
          </cell>
        </row>
        <row r="286">
          <cell r="A286" t="str">
            <v>51720-10602804ABLF</v>
          </cell>
          <cell r="B286" t="str">
            <v>51720-10602804ABLF Connector,PBRAH</v>
          </cell>
          <cell r="C286">
            <v>1.9E-3</v>
          </cell>
          <cell r="D286">
            <v>3131.5789473684213</v>
          </cell>
          <cell r="E286">
            <v>9394.7368421052633</v>
          </cell>
          <cell r="F286">
            <v>3.6499999999999998E-2</v>
          </cell>
        </row>
        <row r="287">
          <cell r="A287" t="str">
            <v>51720-10602807ABLF</v>
          </cell>
          <cell r="B287" t="str">
            <v>51720-10602807ABLF Connector,PBRAH</v>
          </cell>
          <cell r="C287">
            <v>2.0999999999999999E-3</v>
          </cell>
          <cell r="D287">
            <v>2833.3333333333335</v>
          </cell>
          <cell r="E287">
            <v>8500</v>
          </cell>
          <cell r="F287">
            <v>3.9300000000000002E-2</v>
          </cell>
        </row>
        <row r="288">
          <cell r="A288" t="str">
            <v>51720-10602808ABLF</v>
          </cell>
          <cell r="B288" t="str">
            <v>51720-10602808ABLF Connector,PBRAH</v>
          </cell>
          <cell r="C288">
            <v>1.9E-3</v>
          </cell>
          <cell r="D288">
            <v>3131.5789473684213</v>
          </cell>
          <cell r="E288">
            <v>9394.7368421052633</v>
          </cell>
          <cell r="F288">
            <v>4.6399999999999997E-2</v>
          </cell>
        </row>
        <row r="289">
          <cell r="A289" t="str">
            <v>51720-10603204AALF</v>
          </cell>
          <cell r="B289" t="str">
            <v>51720-10603204AALF Connector,PBRAH</v>
          </cell>
          <cell r="C289">
            <v>2E-3</v>
          </cell>
          <cell r="D289">
            <v>2975</v>
          </cell>
          <cell r="E289">
            <v>8925</v>
          </cell>
          <cell r="F289">
            <v>4.5999999999999999E-2</v>
          </cell>
        </row>
        <row r="290">
          <cell r="A290" t="str">
            <v>51720-10606006AALF</v>
          </cell>
          <cell r="B290" t="str">
            <v>51720-10606006AALF Connector,PBRAH</v>
          </cell>
          <cell r="C290">
            <v>3.7000000000000002E-3</v>
          </cell>
          <cell r="D290">
            <v>1608.1081081081081</v>
          </cell>
          <cell r="E290">
            <v>4824.3243243243242</v>
          </cell>
          <cell r="F290">
            <v>4.7699999999999999E-2</v>
          </cell>
        </row>
        <row r="291">
          <cell r="A291" t="str">
            <v>51720-10700807AALF</v>
          </cell>
          <cell r="B291" t="str">
            <v>51720-10700807AALF Connector,PBRAH</v>
          </cell>
          <cell r="C291">
            <v>3.0000000000000001E-3</v>
          </cell>
          <cell r="D291">
            <v>1983.3333333333333</v>
          </cell>
          <cell r="E291">
            <v>5950</v>
          </cell>
          <cell r="F291">
            <v>3.2000000000000001E-2</v>
          </cell>
        </row>
        <row r="292">
          <cell r="A292" t="str">
            <v>51720-10701607ABLF</v>
          </cell>
          <cell r="B292" t="str">
            <v>51720-10701607ABLF PwrBlade RAH</v>
          </cell>
          <cell r="C292">
            <v>2E-3</v>
          </cell>
          <cell r="D292">
            <v>2975</v>
          </cell>
          <cell r="E292">
            <v>8925</v>
          </cell>
          <cell r="F292">
            <v>2.2974747E-2</v>
          </cell>
        </row>
        <row r="293">
          <cell r="A293" t="str">
            <v>51720-10702407AALF</v>
          </cell>
          <cell r="B293" t="str">
            <v>51720-10702407AALF Connector,PBRAH</v>
          </cell>
          <cell r="C293">
            <v>2.0999999999999999E-3</v>
          </cell>
          <cell r="D293">
            <v>2833.3333333333335</v>
          </cell>
          <cell r="E293">
            <v>8500</v>
          </cell>
          <cell r="F293">
            <v>2.1399999999999999E-2</v>
          </cell>
        </row>
        <row r="294">
          <cell r="A294" t="str">
            <v>51720-10702807ABLF</v>
          </cell>
          <cell r="B294" t="str">
            <v>51720-10702807ABLF Connector,PBRAH</v>
          </cell>
          <cell r="C294">
            <v>2E-3</v>
          </cell>
          <cell r="D294">
            <v>2975</v>
          </cell>
          <cell r="E294">
            <v>8925</v>
          </cell>
          <cell r="F294">
            <v>4.4999999999999998E-2</v>
          </cell>
        </row>
        <row r="295">
          <cell r="A295" t="str">
            <v>51720-10703206AALF</v>
          </cell>
          <cell r="B295" t="str">
            <v>51720-10703206AALF Connector,PBRAH</v>
          </cell>
          <cell r="C295">
            <v>2.0999999999999999E-3</v>
          </cell>
          <cell r="D295">
            <v>2833.3333333333335</v>
          </cell>
          <cell r="E295">
            <v>8500</v>
          </cell>
          <cell r="F295">
            <v>4.1099999999999998E-2</v>
          </cell>
        </row>
        <row r="296">
          <cell r="A296" t="str">
            <v>51720-10703207AALF</v>
          </cell>
          <cell r="B296" t="str">
            <v>51720-10703207AALF Connector,PBRAH</v>
          </cell>
          <cell r="C296">
            <v>2E-3</v>
          </cell>
          <cell r="D296">
            <v>2975</v>
          </cell>
          <cell r="E296">
            <v>8925</v>
          </cell>
          <cell r="F296">
            <v>4.8000000000000001E-2</v>
          </cell>
        </row>
        <row r="297">
          <cell r="A297" t="str">
            <v>51720-10703607AALF</v>
          </cell>
          <cell r="B297" t="str">
            <v>51720-10703607AALF PwrBlade RAH STB</v>
          </cell>
          <cell r="C297">
            <v>5.0000000000000001E-3</v>
          </cell>
          <cell r="D297">
            <v>1190</v>
          </cell>
          <cell r="E297">
            <v>3570</v>
          </cell>
          <cell r="F297">
            <v>4.8000000000000001E-2</v>
          </cell>
        </row>
        <row r="298">
          <cell r="A298" t="str">
            <v>51720-10802008AALF</v>
          </cell>
          <cell r="B298" t="str">
            <v>51720-10802008AALF Connector,PBRAH</v>
          </cell>
          <cell r="C298">
            <v>4.0000000000000001E-3</v>
          </cell>
          <cell r="D298">
            <v>1487.5</v>
          </cell>
          <cell r="E298">
            <v>4462.5</v>
          </cell>
          <cell r="F298">
            <v>6.8000000000000005E-2</v>
          </cell>
        </row>
        <row r="299">
          <cell r="A299" t="str">
            <v>51720-10802408AALF</v>
          </cell>
          <cell r="B299" t="str">
            <v>51720-10802408AALF Connector,PBRAH</v>
          </cell>
          <cell r="C299">
            <v>3.3E-3</v>
          </cell>
          <cell r="D299">
            <v>1803.030303030303</v>
          </cell>
          <cell r="E299">
            <v>5409.090909090909</v>
          </cell>
          <cell r="F299">
            <v>5.0500000000000003E-2</v>
          </cell>
        </row>
        <row r="300">
          <cell r="A300" t="str">
            <v>51720-10803208AALF</v>
          </cell>
          <cell r="B300" t="str">
            <v>51720-10803208AALF Connector,PBRAH</v>
          </cell>
          <cell r="C300">
            <v>4.0000000000000001E-3</v>
          </cell>
          <cell r="D300">
            <v>1487.5</v>
          </cell>
          <cell r="E300">
            <v>4462.5</v>
          </cell>
          <cell r="F300">
            <v>6.8000000000000005E-2</v>
          </cell>
        </row>
        <row r="301">
          <cell r="A301" t="str">
            <v>51720-10803208ABLF</v>
          </cell>
          <cell r="B301" t="str">
            <v>51720-10803208ABLF Connector,PBRAH</v>
          </cell>
          <cell r="C301">
            <v>4.0000000000000001E-3</v>
          </cell>
          <cell r="D301">
            <v>1487.5</v>
          </cell>
          <cell r="E301">
            <v>4462.5</v>
          </cell>
          <cell r="F301">
            <v>6.5000000000000002E-2</v>
          </cell>
        </row>
        <row r="302">
          <cell r="A302" t="str">
            <v>51720-10806010AALF</v>
          </cell>
          <cell r="B302" t="str">
            <v>51720-10806010AALF PwrBlade RAH STB</v>
          </cell>
          <cell r="C302">
            <v>4.0000000000000001E-3</v>
          </cell>
          <cell r="D302">
            <v>1487.5</v>
          </cell>
          <cell r="E302">
            <v>4462.5</v>
          </cell>
          <cell r="F302">
            <v>6.8000000000000005E-2</v>
          </cell>
        </row>
        <row r="303">
          <cell r="A303" t="str">
            <v>51720-10902409AALF</v>
          </cell>
          <cell r="B303" t="str">
            <v>51720-10902409AALF Connector,PBRAH</v>
          </cell>
          <cell r="C303">
            <v>3.7000000000000002E-3</v>
          </cell>
          <cell r="D303">
            <v>1608.1081081081081</v>
          </cell>
          <cell r="E303">
            <v>4824.3243243243242</v>
          </cell>
          <cell r="F303">
            <v>5.7000000000000002E-2</v>
          </cell>
        </row>
        <row r="304">
          <cell r="A304" t="str">
            <v>51720-10903204AALF</v>
          </cell>
          <cell r="B304" t="str">
            <v>51720-10903204AALF Connector,PBRAH</v>
          </cell>
          <cell r="C304">
            <v>2E-3</v>
          </cell>
          <cell r="D304">
            <v>2975</v>
          </cell>
          <cell r="E304">
            <v>8925</v>
          </cell>
          <cell r="F304">
            <v>4.3999999999999997E-2</v>
          </cell>
        </row>
        <row r="305">
          <cell r="A305" t="str">
            <v>51720-11002006AALF</v>
          </cell>
          <cell r="B305" t="str">
            <v>51720-11002006AALF Connector,PBRAH</v>
          </cell>
          <cell r="C305">
            <v>2E-3</v>
          </cell>
          <cell r="D305">
            <v>2975</v>
          </cell>
          <cell r="E305">
            <v>8925</v>
          </cell>
          <cell r="F305">
            <v>0.06</v>
          </cell>
        </row>
        <row r="306">
          <cell r="A306" t="str">
            <v>51720-11003206ABLF</v>
          </cell>
          <cell r="B306" t="str">
            <v>51720-11003206ABLF Connector,PBRAH</v>
          </cell>
          <cell r="C306">
            <v>4.0000000000000001E-3</v>
          </cell>
          <cell r="D306">
            <v>1487.5</v>
          </cell>
          <cell r="E306">
            <v>4462.5</v>
          </cell>
          <cell r="F306">
            <v>6.5000000000000002E-2</v>
          </cell>
        </row>
        <row r="307">
          <cell r="A307" t="str">
            <v>51720-11003210AALF</v>
          </cell>
          <cell r="B307" t="str">
            <v>51720-11003210AALF Connector,PBRAH</v>
          </cell>
          <cell r="C307">
            <v>3.7000000000000002E-3</v>
          </cell>
          <cell r="D307">
            <v>1608.1081081081081</v>
          </cell>
          <cell r="E307">
            <v>4824.3243243243242</v>
          </cell>
          <cell r="F307">
            <v>5.4199999999999998E-2</v>
          </cell>
        </row>
        <row r="308">
          <cell r="A308" t="str">
            <v>51720-11008410AALF</v>
          </cell>
          <cell r="B308" t="str">
            <v>51720-11008410AALF Connector,PBRAH</v>
          </cell>
          <cell r="C308">
            <v>3.3E-3</v>
          </cell>
          <cell r="D308">
            <v>1803.030303030303</v>
          </cell>
          <cell r="E308">
            <v>5409.090909090909</v>
          </cell>
          <cell r="F308">
            <v>5.4199999999999998E-2</v>
          </cell>
        </row>
        <row r="309">
          <cell r="A309" t="str">
            <v>51720-11008410ABLF</v>
          </cell>
          <cell r="B309" t="str">
            <v>51720-11008410ABLF Connector,PBRAH</v>
          </cell>
          <cell r="C309">
            <v>4.0000000000000001E-3</v>
          </cell>
          <cell r="D309">
            <v>1487.5</v>
          </cell>
          <cell r="E309">
            <v>4462.5</v>
          </cell>
          <cell r="F309">
            <v>6.1199999999999997E-2</v>
          </cell>
        </row>
        <row r="310">
          <cell r="A310" t="str">
            <v>51720-11102003AALF</v>
          </cell>
          <cell r="B310" t="str">
            <v>51720-11102003AALF Connector,PBRAH</v>
          </cell>
          <cell r="C310">
            <v>2.0999999999999999E-3</v>
          </cell>
          <cell r="D310">
            <v>2833.3333333333335</v>
          </cell>
          <cell r="E310">
            <v>8500</v>
          </cell>
          <cell r="F310">
            <v>4.4900000000000002E-2</v>
          </cell>
        </row>
        <row r="311">
          <cell r="A311" t="str">
            <v>51720-A0802408AALF</v>
          </cell>
          <cell r="B311" t="str">
            <v>51720-A0802408AALF Connector,PBRAH</v>
          </cell>
          <cell r="C311">
            <v>3.3E-3</v>
          </cell>
          <cell r="D311">
            <v>1803.030303030303</v>
          </cell>
          <cell r="E311">
            <v>5409.090909090909</v>
          </cell>
          <cell r="F311">
            <v>5.0500000000000003E-2</v>
          </cell>
        </row>
        <row r="312">
          <cell r="A312" t="str">
            <v>51720-B0202402AALF</v>
          </cell>
          <cell r="B312" t="str">
            <v>51720-B0202402AALF Connector,PBRAH</v>
          </cell>
          <cell r="C312">
            <v>1.9E-3</v>
          </cell>
          <cell r="D312">
            <v>3131.5789473684213</v>
          </cell>
          <cell r="E312">
            <v>9394.7368421052633</v>
          </cell>
          <cell r="F312">
            <v>1.9199999999999998E-2</v>
          </cell>
        </row>
        <row r="313">
          <cell r="A313" t="str">
            <v>51720-B0302003AALF</v>
          </cell>
          <cell r="B313" t="str">
            <v>51720-B0302003AALF Connector,PBRAH</v>
          </cell>
          <cell r="C313">
            <v>1.6000000000000001E-3</v>
          </cell>
          <cell r="D313">
            <v>3718.75</v>
          </cell>
          <cell r="E313">
            <v>11156.25</v>
          </cell>
          <cell r="F313">
            <v>2.9000000000000001E-2</v>
          </cell>
        </row>
        <row r="314">
          <cell r="A314" t="str">
            <v>51720-B0602406AALF</v>
          </cell>
          <cell r="B314" t="str">
            <v>51720-B0602406AALF Connector,PBRAH</v>
          </cell>
          <cell r="C314">
            <v>2.0999999999999999E-3</v>
          </cell>
          <cell r="D314">
            <v>2833.3333333333335</v>
          </cell>
          <cell r="E314">
            <v>8500</v>
          </cell>
          <cell r="F314">
            <v>3.9300000000000002E-2</v>
          </cell>
        </row>
        <row r="315">
          <cell r="A315" t="str">
            <v>51720-B0702407AALF</v>
          </cell>
          <cell r="B315" t="str">
            <v>51720-B0702407AALF Connector,PBRAH</v>
          </cell>
          <cell r="C315">
            <v>2.0999999999999999E-3</v>
          </cell>
          <cell r="D315">
            <v>2833.3333333333335</v>
          </cell>
          <cell r="E315">
            <v>8500</v>
          </cell>
          <cell r="F315">
            <v>2.86E-2</v>
          </cell>
        </row>
        <row r="316">
          <cell r="A316" t="str">
            <v>51720-B0902409AALF</v>
          </cell>
          <cell r="B316" t="str">
            <v>51720-B0902409AALF Connector,PBRAH</v>
          </cell>
          <cell r="C316">
            <v>3.7000000000000002E-3</v>
          </cell>
          <cell r="D316">
            <v>1608.1081081081081</v>
          </cell>
          <cell r="E316">
            <v>4824.3243243243242</v>
          </cell>
          <cell r="F316">
            <v>5.7000000000000002E-2</v>
          </cell>
        </row>
        <row r="317">
          <cell r="A317" t="str">
            <v>51721-10000404AALF</v>
          </cell>
          <cell r="B317" t="str">
            <v>51721-10000404AALF Connector,PBRAH</v>
          </cell>
          <cell r="C317">
            <v>1.6000000000000001E-3</v>
          </cell>
          <cell r="D317">
            <v>3718.75</v>
          </cell>
          <cell r="E317">
            <v>11156.25</v>
          </cell>
          <cell r="F317">
            <v>2.7099999999999999E-2</v>
          </cell>
        </row>
        <row r="318">
          <cell r="A318" t="str">
            <v>51721-10000404ABLF</v>
          </cell>
          <cell r="B318" t="str">
            <v>51721-10000404ABLF Connector,PBRAH</v>
          </cell>
          <cell r="C318">
            <v>2E-3</v>
          </cell>
          <cell r="D318">
            <v>2975</v>
          </cell>
          <cell r="E318">
            <v>8925</v>
          </cell>
          <cell r="F318">
            <v>2.41E-2</v>
          </cell>
        </row>
        <row r="319">
          <cell r="A319" t="str">
            <v>51721-10000405AALF</v>
          </cell>
          <cell r="B319" t="str">
            <v>51721-10000405AALF Connector,PBRAH</v>
          </cell>
          <cell r="C319">
            <v>2E-3</v>
          </cell>
          <cell r="D319">
            <v>2975</v>
          </cell>
          <cell r="E319">
            <v>8925</v>
          </cell>
          <cell r="F319">
            <v>3.5999999999999997E-2</v>
          </cell>
        </row>
        <row r="320">
          <cell r="A320" t="str">
            <v>51721-10000406AALF</v>
          </cell>
          <cell r="B320" t="str">
            <v>51721-10000406AALF Connector,PBRAH</v>
          </cell>
          <cell r="C320">
            <v>2E-3</v>
          </cell>
          <cell r="D320">
            <v>2975</v>
          </cell>
          <cell r="E320">
            <v>8925</v>
          </cell>
          <cell r="F320">
            <v>3.1E-2</v>
          </cell>
        </row>
        <row r="321">
          <cell r="A321" t="str">
            <v>51721-10000802AALF</v>
          </cell>
          <cell r="B321" t="str">
            <v>51721-10000802AALF PwrBlade RAH</v>
          </cell>
          <cell r="C321">
            <v>1.6000000000000001E-3</v>
          </cell>
          <cell r="D321">
            <v>3718.75</v>
          </cell>
          <cell r="E321">
            <v>11156.25</v>
          </cell>
          <cell r="F321">
            <v>2.6200000000000001E-2</v>
          </cell>
        </row>
        <row r="322">
          <cell r="A322" t="str">
            <v>51721-10000803AALF</v>
          </cell>
          <cell r="B322" t="str">
            <v>51721-10000803AALF Connector,PBRAH</v>
          </cell>
          <cell r="C322">
            <v>2E-3</v>
          </cell>
          <cell r="D322">
            <v>2975</v>
          </cell>
          <cell r="E322">
            <v>8925</v>
          </cell>
          <cell r="F322">
            <v>2.5999999999999999E-2</v>
          </cell>
        </row>
        <row r="323">
          <cell r="A323" t="str">
            <v>51721-10000804AALF</v>
          </cell>
          <cell r="B323" t="str">
            <v>51721-10000804AALF Connector,PBRAH</v>
          </cell>
          <cell r="C323">
            <v>1.6000000000000001E-3</v>
          </cell>
          <cell r="D323">
            <v>3718.75</v>
          </cell>
          <cell r="E323">
            <v>11156.25</v>
          </cell>
          <cell r="F323">
            <v>2.7099999999999999E-2</v>
          </cell>
        </row>
        <row r="324">
          <cell r="A324" t="str">
            <v>51721-10000805AALF</v>
          </cell>
          <cell r="B324" t="str">
            <v>51721-10000805AALF Connector,PBRAH</v>
          </cell>
          <cell r="C324">
            <v>2E-3</v>
          </cell>
          <cell r="D324">
            <v>2975</v>
          </cell>
          <cell r="E324">
            <v>8925</v>
          </cell>
          <cell r="F324">
            <v>5.6000000000000001E-2</v>
          </cell>
        </row>
        <row r="325">
          <cell r="A325" t="str">
            <v>51721-10000806ABLF</v>
          </cell>
          <cell r="B325" t="str">
            <v>51721-10000806ABLF Connector,PBRAH</v>
          </cell>
          <cell r="C325">
            <v>2E-3</v>
          </cell>
          <cell r="D325">
            <v>2975</v>
          </cell>
          <cell r="E325">
            <v>8925</v>
          </cell>
          <cell r="F325">
            <v>2.9000000000000001E-2</v>
          </cell>
        </row>
        <row r="326">
          <cell r="A326" t="str">
            <v>51721-10000807AALF</v>
          </cell>
          <cell r="B326" t="str">
            <v>51721-10000807AALF Connector,PBRAH</v>
          </cell>
          <cell r="C326">
            <v>1.6000000000000001E-3</v>
          </cell>
          <cell r="D326">
            <v>3718.75</v>
          </cell>
          <cell r="E326">
            <v>11156.25</v>
          </cell>
          <cell r="F326">
            <v>3.3700000000000001E-2</v>
          </cell>
        </row>
        <row r="327">
          <cell r="A327" t="str">
            <v>51721-10000810AALF</v>
          </cell>
          <cell r="B327" t="str">
            <v>51721-10000810AALF Connector,PBRAH</v>
          </cell>
          <cell r="C327">
            <v>1.9E-3</v>
          </cell>
          <cell r="D327">
            <v>3131.5789473684213</v>
          </cell>
          <cell r="E327">
            <v>9394.7368421052633</v>
          </cell>
          <cell r="F327">
            <v>2.58E-2</v>
          </cell>
        </row>
        <row r="328">
          <cell r="A328" t="str">
            <v>51721-10000812AALF</v>
          </cell>
          <cell r="B328" t="str">
            <v>51721-10000812AALF Connector,PBRAH</v>
          </cell>
          <cell r="C328">
            <v>2E-3</v>
          </cell>
          <cell r="D328">
            <v>2975</v>
          </cell>
          <cell r="E328">
            <v>8925</v>
          </cell>
          <cell r="F328">
            <v>4.7E-2</v>
          </cell>
        </row>
        <row r="329">
          <cell r="A329" t="str">
            <v>51721-10001204AALF</v>
          </cell>
          <cell r="B329" t="str">
            <v>51721-10001204AALF PwrBlade RAH</v>
          </cell>
          <cell r="C329">
            <v>1.6000000000000001E-3</v>
          </cell>
          <cell r="D329">
            <v>3718.75</v>
          </cell>
          <cell r="E329">
            <v>11156.25</v>
          </cell>
          <cell r="F329">
            <v>1.6899999999999998E-2</v>
          </cell>
        </row>
        <row r="330">
          <cell r="A330" t="str">
            <v>51721-10001204ABLF</v>
          </cell>
          <cell r="B330" t="str">
            <v>51721-10001204ABLF Connector,PBRAH</v>
          </cell>
          <cell r="C330">
            <v>2E-3</v>
          </cell>
          <cell r="D330">
            <v>2975</v>
          </cell>
          <cell r="E330">
            <v>8925</v>
          </cell>
          <cell r="F330">
            <v>2.7E-2</v>
          </cell>
        </row>
        <row r="331">
          <cell r="A331" t="str">
            <v>51721-10001205AALF</v>
          </cell>
          <cell r="B331" t="str">
            <v>51721-10001205AALF Connector,PBRAH</v>
          </cell>
          <cell r="C331">
            <v>2E-3</v>
          </cell>
          <cell r="D331">
            <v>2975</v>
          </cell>
          <cell r="E331">
            <v>8925</v>
          </cell>
          <cell r="F331">
            <v>3.5999999999999997E-2</v>
          </cell>
        </row>
        <row r="332">
          <cell r="A332" t="str">
            <v>51721-10001206AALF</v>
          </cell>
          <cell r="B332" t="str">
            <v>51721-10001206AALF Connector,PBRAH</v>
          </cell>
          <cell r="C332">
            <v>1.6000000000000001E-3</v>
          </cell>
          <cell r="D332">
            <v>3718.75</v>
          </cell>
          <cell r="E332">
            <v>11156.25</v>
          </cell>
          <cell r="F332">
            <v>2.9000000000000001E-2</v>
          </cell>
        </row>
        <row r="333">
          <cell r="A333" t="str">
            <v>51721-10001206ABLF</v>
          </cell>
          <cell r="B333" t="str">
            <v>51721-10001206ABLF Connector,PBRAH</v>
          </cell>
          <cell r="C333">
            <v>1.6000000000000001E-3</v>
          </cell>
          <cell r="D333">
            <v>3718.75</v>
          </cell>
          <cell r="E333">
            <v>11156.25</v>
          </cell>
          <cell r="F333">
            <v>2.7099999999999999E-2</v>
          </cell>
        </row>
        <row r="334">
          <cell r="A334" t="str">
            <v>51721-10001208AALF</v>
          </cell>
          <cell r="B334" t="str">
            <v>51721-10001208AALF Connector,PBRAH</v>
          </cell>
          <cell r="C334">
            <v>2E-3</v>
          </cell>
          <cell r="D334">
            <v>2975</v>
          </cell>
          <cell r="E334">
            <v>8925</v>
          </cell>
          <cell r="F334">
            <v>3.2000000000000001E-2</v>
          </cell>
        </row>
        <row r="335">
          <cell r="A335" t="str">
            <v>51721-10001210AALF</v>
          </cell>
          <cell r="B335" t="str">
            <v>51721-10001210AALF Connector,PBRAH</v>
          </cell>
          <cell r="C335">
            <v>2E-3</v>
          </cell>
          <cell r="D335">
            <v>2975</v>
          </cell>
          <cell r="E335">
            <v>8925</v>
          </cell>
          <cell r="F335">
            <v>3.4000000000000002E-2</v>
          </cell>
        </row>
        <row r="336">
          <cell r="A336" t="str">
            <v>51721-10001213AALF</v>
          </cell>
          <cell r="B336" t="str">
            <v>51721-10001213AALF Connector,PBRAH</v>
          </cell>
          <cell r="C336">
            <v>2E-3</v>
          </cell>
          <cell r="D336">
            <v>2975</v>
          </cell>
          <cell r="E336">
            <v>8925</v>
          </cell>
          <cell r="F336">
            <v>4.3999999999999997E-2</v>
          </cell>
        </row>
        <row r="337">
          <cell r="A337" t="str">
            <v>51721-10001218AALF</v>
          </cell>
          <cell r="B337" t="str">
            <v>51721-10001218AALF Connector,PBRAH</v>
          </cell>
          <cell r="C337">
            <v>3.7000000000000002E-3</v>
          </cell>
          <cell r="D337">
            <v>1608.1081081081081</v>
          </cell>
          <cell r="E337">
            <v>4824.3243243243242</v>
          </cell>
          <cell r="F337">
            <v>3.9199999999999999E-2</v>
          </cell>
        </row>
        <row r="338">
          <cell r="A338" t="str">
            <v>51721-10001218ABLF</v>
          </cell>
          <cell r="B338" t="str">
            <v>51721-10001218ABLF Connector,PBRAH</v>
          </cell>
          <cell r="C338">
            <v>3.3E-3</v>
          </cell>
          <cell r="D338">
            <v>1803.030303030303</v>
          </cell>
          <cell r="E338">
            <v>5409.090909090909</v>
          </cell>
          <cell r="F338">
            <v>5.4199999999999998E-2</v>
          </cell>
        </row>
        <row r="339">
          <cell r="A339" t="str">
            <v>51721-10001602AALF</v>
          </cell>
          <cell r="B339" t="str">
            <v>51721-10001602AALF Connector,PBRAH</v>
          </cell>
          <cell r="C339">
            <v>1.9E-3</v>
          </cell>
          <cell r="D339">
            <v>3131.5789473684213</v>
          </cell>
          <cell r="E339">
            <v>9394.7368421052633</v>
          </cell>
          <cell r="F339">
            <v>3.3500000000000002E-2</v>
          </cell>
        </row>
        <row r="340">
          <cell r="A340" t="str">
            <v>51721-10001602CBLF</v>
          </cell>
          <cell r="B340" t="str">
            <v>51721-10001602CBLF PwrBlade RAH PF</v>
          </cell>
          <cell r="C340">
            <v>4.4000000000000003E-3</v>
          </cell>
          <cell r="D340">
            <v>1352.2727272727273</v>
          </cell>
          <cell r="E340">
            <v>4056.818181818182</v>
          </cell>
          <cell r="F340">
            <v>2.8000000000000001E-2</v>
          </cell>
        </row>
        <row r="341">
          <cell r="A341" t="str">
            <v>51721-10001604AALF</v>
          </cell>
          <cell r="B341" t="str">
            <v>51721-10001604AALF PwrBlade RAH</v>
          </cell>
          <cell r="C341">
            <v>1.6000000000000001E-3</v>
          </cell>
          <cell r="D341">
            <v>3718.75</v>
          </cell>
          <cell r="E341">
            <v>11156.25</v>
          </cell>
          <cell r="F341">
            <v>2.7099999999999999E-2</v>
          </cell>
        </row>
        <row r="342">
          <cell r="A342" t="str">
            <v>51721-10001604BALF</v>
          </cell>
          <cell r="B342" t="str">
            <v>51721-10001604BALF Connector,PBRAH</v>
          </cell>
          <cell r="C342">
            <v>3.3E-3</v>
          </cell>
          <cell r="D342">
            <v>1803.030303030303</v>
          </cell>
          <cell r="E342">
            <v>5409.090909090909</v>
          </cell>
          <cell r="F342">
            <v>2.7E-2</v>
          </cell>
        </row>
        <row r="343">
          <cell r="A343" t="str">
            <v>51721-10001605AALF</v>
          </cell>
          <cell r="B343" t="str">
            <v>51721-10001605AALF Connector,PBRAH</v>
          </cell>
          <cell r="C343">
            <v>2E-3</v>
          </cell>
          <cell r="D343">
            <v>2975</v>
          </cell>
          <cell r="E343">
            <v>8925</v>
          </cell>
          <cell r="F343">
            <v>3.5999999999999997E-2</v>
          </cell>
        </row>
        <row r="344">
          <cell r="A344" t="str">
            <v>51721-10001605ABLF</v>
          </cell>
          <cell r="B344" t="str">
            <v>51721-10001605ABLF Connector,PBRAH</v>
          </cell>
          <cell r="C344">
            <v>2E-3</v>
          </cell>
          <cell r="D344">
            <v>2975</v>
          </cell>
          <cell r="E344">
            <v>8925</v>
          </cell>
          <cell r="F344">
            <v>3.4000000000000002E-2</v>
          </cell>
        </row>
        <row r="345">
          <cell r="A345" t="str">
            <v>51721-10001606AALF</v>
          </cell>
          <cell r="B345" t="str">
            <v>51721-10001606AALF Connector,PBRAH</v>
          </cell>
          <cell r="C345">
            <v>1.6000000000000001E-3</v>
          </cell>
          <cell r="D345">
            <v>3718.75</v>
          </cell>
          <cell r="E345">
            <v>11156.25</v>
          </cell>
          <cell r="F345">
            <v>2.9000000000000001E-2</v>
          </cell>
        </row>
        <row r="346">
          <cell r="A346" t="str">
            <v>51721-10001608AALF</v>
          </cell>
          <cell r="B346" t="str">
            <v>51721-10001608AALF Connector,PBRAH</v>
          </cell>
          <cell r="C346">
            <v>2E-3</v>
          </cell>
          <cell r="D346">
            <v>2975</v>
          </cell>
          <cell r="E346">
            <v>8925</v>
          </cell>
          <cell r="F346">
            <v>3.2000000000000001E-2</v>
          </cell>
        </row>
        <row r="347">
          <cell r="A347" t="str">
            <v>51721-10001608ABLF</v>
          </cell>
          <cell r="B347" t="str">
            <v>51721-10001608ABLF Connector,PBRAH</v>
          </cell>
          <cell r="C347">
            <v>1.9E-3</v>
          </cell>
          <cell r="D347">
            <v>3131.5789473684213</v>
          </cell>
          <cell r="E347">
            <v>9394.7368421052633</v>
          </cell>
          <cell r="F347">
            <v>2.9000000000000001E-2</v>
          </cell>
        </row>
        <row r="348">
          <cell r="A348" t="str">
            <v>51721-10001612AALF</v>
          </cell>
          <cell r="B348" t="str">
            <v>51721-10001612AALF Connector,PBRAH</v>
          </cell>
          <cell r="C348">
            <v>2E-3</v>
          </cell>
          <cell r="D348">
            <v>2975</v>
          </cell>
          <cell r="E348">
            <v>8925</v>
          </cell>
          <cell r="F348">
            <v>4.2000000000000003E-2</v>
          </cell>
        </row>
        <row r="349">
          <cell r="A349" t="str">
            <v>51721-10002005ABLF</v>
          </cell>
          <cell r="B349" t="str">
            <v>51721-10002005ABLF Connector,PBRAH</v>
          </cell>
          <cell r="C349">
            <v>2E-3</v>
          </cell>
          <cell r="D349">
            <v>2975</v>
          </cell>
          <cell r="E349">
            <v>8925</v>
          </cell>
          <cell r="F349">
            <v>3.4000000000000002E-2</v>
          </cell>
        </row>
        <row r="350">
          <cell r="A350" t="str">
            <v>51721-10002006AALF</v>
          </cell>
          <cell r="B350" t="str">
            <v>51721-10002006AALF Connector,PBRAH</v>
          </cell>
          <cell r="C350">
            <v>1.6000000000000001E-3</v>
          </cell>
          <cell r="D350">
            <v>3718.75</v>
          </cell>
          <cell r="E350">
            <v>11156.25</v>
          </cell>
          <cell r="F350">
            <v>2.9000000000000001E-2</v>
          </cell>
        </row>
        <row r="351">
          <cell r="A351" t="str">
            <v>51721-10002006ABLF</v>
          </cell>
          <cell r="B351" t="str">
            <v>51721-10002006ABLF Connector,PBRAH</v>
          </cell>
          <cell r="C351">
            <v>2E-3</v>
          </cell>
          <cell r="D351">
            <v>2975</v>
          </cell>
          <cell r="E351">
            <v>8925</v>
          </cell>
          <cell r="F351">
            <v>2.9000000000000001E-2</v>
          </cell>
        </row>
        <row r="352">
          <cell r="A352" t="str">
            <v>51721-10002403ABLF</v>
          </cell>
          <cell r="B352" t="str">
            <v>51721-10002403ABLF Connector,PBRAH</v>
          </cell>
          <cell r="C352">
            <v>1.6000000000000001E-3</v>
          </cell>
          <cell r="D352">
            <v>3718.75</v>
          </cell>
          <cell r="E352">
            <v>11156.25</v>
          </cell>
          <cell r="F352">
            <v>2.4299999999999999E-2</v>
          </cell>
        </row>
        <row r="353">
          <cell r="A353" t="str">
            <v>51721-10002404ABLF</v>
          </cell>
          <cell r="B353" t="str">
            <v>51721-10002404ABLF Connector,PBRAH</v>
          </cell>
          <cell r="C353">
            <v>2E-3</v>
          </cell>
          <cell r="D353">
            <v>2975</v>
          </cell>
          <cell r="E353">
            <v>8925</v>
          </cell>
          <cell r="F353">
            <v>1.2E-2</v>
          </cell>
        </row>
        <row r="354">
          <cell r="A354" t="str">
            <v>51721-10002405BALF</v>
          </cell>
          <cell r="B354" t="str">
            <v>51721-10002405BALF Connector,PBRAH</v>
          </cell>
          <cell r="C354">
            <v>3.0000000000000001E-3</v>
          </cell>
          <cell r="D354">
            <v>1983.3333333333333</v>
          </cell>
          <cell r="E354">
            <v>5950</v>
          </cell>
          <cell r="F354">
            <v>2.8000000000000001E-2</v>
          </cell>
        </row>
        <row r="355">
          <cell r="A355" t="str">
            <v>51721-10002406ABLF</v>
          </cell>
          <cell r="B355" t="str">
            <v>51721-10002406ABLF PwrBlade RAH</v>
          </cell>
          <cell r="C355">
            <v>1.6000000000000001E-3</v>
          </cell>
          <cell r="D355">
            <v>3718.75</v>
          </cell>
          <cell r="E355">
            <v>11156.25</v>
          </cell>
          <cell r="F355">
            <v>1.32E-2</v>
          </cell>
        </row>
        <row r="356">
          <cell r="A356" t="str">
            <v>51721-10002407AALF</v>
          </cell>
          <cell r="B356" t="str">
            <v>51721-10002407AALF Connector,PBRAH</v>
          </cell>
          <cell r="C356">
            <v>2E-3</v>
          </cell>
          <cell r="D356">
            <v>2975</v>
          </cell>
          <cell r="E356">
            <v>8925</v>
          </cell>
          <cell r="F356">
            <v>3.5999999999999997E-2</v>
          </cell>
        </row>
        <row r="357">
          <cell r="A357" t="str">
            <v>51721-10002407ABLF</v>
          </cell>
          <cell r="B357" t="str">
            <v>51721-10002407ABLF Connector,PBRAH</v>
          </cell>
          <cell r="C357">
            <v>1.6000000000000001E-3</v>
          </cell>
          <cell r="D357">
            <v>3718.75</v>
          </cell>
          <cell r="E357">
            <v>11156.25</v>
          </cell>
          <cell r="F357">
            <v>2.1999999999999999E-2</v>
          </cell>
        </row>
        <row r="358">
          <cell r="A358" t="str">
            <v>51721-10002408AALF</v>
          </cell>
          <cell r="B358" t="str">
            <v>51721-10002408AALF PwrBlade RAH STB</v>
          </cell>
          <cell r="C358">
            <v>1.9E-3</v>
          </cell>
          <cell r="D358">
            <v>3131.5789473684213</v>
          </cell>
          <cell r="E358">
            <v>9394.7368421052633</v>
          </cell>
          <cell r="F358">
            <v>2.9899999999999999E-2</v>
          </cell>
        </row>
        <row r="359">
          <cell r="A359" t="str">
            <v>51721-10002410AALF</v>
          </cell>
          <cell r="B359" t="str">
            <v>51721-10002410AALF Connector,PBRAH</v>
          </cell>
          <cell r="C359">
            <v>1.9E-3</v>
          </cell>
          <cell r="D359">
            <v>3131.5789473684213</v>
          </cell>
          <cell r="E359">
            <v>9394.7368421052633</v>
          </cell>
          <cell r="F359">
            <v>2.6200000000000001E-2</v>
          </cell>
        </row>
        <row r="360">
          <cell r="A360" t="str">
            <v>51721-10002410ABLF</v>
          </cell>
          <cell r="B360" t="str">
            <v>51721-10002410ABLF Connector,PBRAH</v>
          </cell>
          <cell r="C360">
            <v>2.0999999999999999E-3</v>
          </cell>
          <cell r="D360">
            <v>2833.3333333333335</v>
          </cell>
          <cell r="E360">
            <v>8500</v>
          </cell>
          <cell r="F360">
            <v>3.2899999999999999E-2</v>
          </cell>
        </row>
        <row r="361">
          <cell r="A361" t="str">
            <v>51721-10002412AALF</v>
          </cell>
          <cell r="B361" t="str">
            <v>51721-10002412AALF Connector,PBRAH</v>
          </cell>
          <cell r="C361">
            <v>2E-3</v>
          </cell>
          <cell r="D361">
            <v>2975</v>
          </cell>
          <cell r="E361">
            <v>8925</v>
          </cell>
          <cell r="F361">
            <v>4.2000000000000003E-2</v>
          </cell>
        </row>
        <row r="362">
          <cell r="A362" t="str">
            <v>51721-10002412ABLF</v>
          </cell>
          <cell r="B362" t="str">
            <v>51721-10002412ABLF Connector,PBRAH</v>
          </cell>
          <cell r="C362">
            <v>2.0999999999999999E-3</v>
          </cell>
          <cell r="D362">
            <v>2833.3333333333335</v>
          </cell>
          <cell r="E362">
            <v>8500</v>
          </cell>
          <cell r="F362">
            <v>3.6499999999999998E-2</v>
          </cell>
        </row>
        <row r="363">
          <cell r="A363" t="str">
            <v>51721-10002414AALF</v>
          </cell>
          <cell r="B363" t="str">
            <v>51721-10002414AALF Connector,PBRAH</v>
          </cell>
          <cell r="C363">
            <v>2.0999999999999999E-3</v>
          </cell>
          <cell r="D363">
            <v>2833.3333333333335</v>
          </cell>
          <cell r="E363">
            <v>8500</v>
          </cell>
          <cell r="F363">
            <v>4.4900000000000002E-2</v>
          </cell>
        </row>
        <row r="364">
          <cell r="A364" t="str">
            <v>51721-10002416AALF</v>
          </cell>
          <cell r="B364" t="str">
            <v>51721-10002416AALF Connector,PBRAH</v>
          </cell>
          <cell r="C364">
            <v>3.3E-3</v>
          </cell>
          <cell r="D364">
            <v>1803.030303030303</v>
          </cell>
          <cell r="E364">
            <v>5409.090909090909</v>
          </cell>
          <cell r="F364">
            <v>5.0500000000000003E-2</v>
          </cell>
        </row>
        <row r="365">
          <cell r="A365" t="str">
            <v>51721-10002420ABLF</v>
          </cell>
          <cell r="B365" t="str">
            <v>51721-10002420ABLF Connector,PBRAH</v>
          </cell>
          <cell r="C365">
            <v>3.3E-3</v>
          </cell>
          <cell r="D365">
            <v>1803.030303030303</v>
          </cell>
          <cell r="E365">
            <v>5409.090909090909</v>
          </cell>
          <cell r="F365">
            <v>5.4199999999999998E-2</v>
          </cell>
        </row>
        <row r="366">
          <cell r="A366" t="str">
            <v>51721-10002805AALF</v>
          </cell>
          <cell r="B366" t="str">
            <v>51721-10002805AALF PwrBlade RAH STB</v>
          </cell>
          <cell r="C366">
            <v>3.3E-3</v>
          </cell>
          <cell r="D366">
            <v>1803.030303030303</v>
          </cell>
          <cell r="E366">
            <v>5409.090909090909</v>
          </cell>
          <cell r="F366">
            <v>3.2000000000000001E-2</v>
          </cell>
        </row>
        <row r="367">
          <cell r="A367" t="str">
            <v>51721-10002806AALF</v>
          </cell>
          <cell r="B367" t="str">
            <v>51721-10002806AALF Connector,PBRAH</v>
          </cell>
          <cell r="C367">
            <v>2E-3</v>
          </cell>
          <cell r="D367">
            <v>2975</v>
          </cell>
          <cell r="E367">
            <v>8925</v>
          </cell>
          <cell r="F367">
            <v>8.8200000000000001E-2</v>
          </cell>
        </row>
        <row r="368">
          <cell r="A368" t="str">
            <v>51721-10002806ABLF</v>
          </cell>
          <cell r="B368" t="str">
            <v>51721-10002806ABLF PwrBlade RAH</v>
          </cell>
          <cell r="C368">
            <v>2E-3</v>
          </cell>
          <cell r="D368">
            <v>2975</v>
          </cell>
          <cell r="E368">
            <v>8925</v>
          </cell>
          <cell r="F368">
            <v>2.9000000000000001E-2</v>
          </cell>
        </row>
        <row r="369">
          <cell r="A369" t="str">
            <v>51721-10002808AALF</v>
          </cell>
          <cell r="B369" t="str">
            <v>51721-10002808AALF Connector,PBRAH</v>
          </cell>
          <cell r="C369">
            <v>1.9E-3</v>
          </cell>
          <cell r="D369">
            <v>3131.5789473684213</v>
          </cell>
          <cell r="E369">
            <v>9394.7368421052633</v>
          </cell>
          <cell r="F369">
            <v>2.9899999999999999E-2</v>
          </cell>
        </row>
        <row r="370">
          <cell r="A370" t="str">
            <v>51721-10003202AALF</v>
          </cell>
          <cell r="B370" t="str">
            <v>51721-10003202AALF Connector,PBRAH</v>
          </cell>
          <cell r="C370">
            <v>2E-3</v>
          </cell>
          <cell r="D370">
            <v>2975</v>
          </cell>
          <cell r="E370">
            <v>8925</v>
          </cell>
          <cell r="F370">
            <v>2.8000000000000001E-2</v>
          </cell>
        </row>
        <row r="371">
          <cell r="A371" t="str">
            <v>51721-10003204AALF</v>
          </cell>
          <cell r="B371" t="str">
            <v>51721-10003204AALF Connector,PBRAH</v>
          </cell>
          <cell r="C371">
            <v>1.6000000000000001E-3</v>
          </cell>
          <cell r="D371">
            <v>3718.75</v>
          </cell>
          <cell r="E371">
            <v>11156.25</v>
          </cell>
          <cell r="F371">
            <v>2.7099999999999999E-2</v>
          </cell>
        </row>
        <row r="372">
          <cell r="A372" t="str">
            <v>51721-10003205AALF</v>
          </cell>
          <cell r="B372" t="str">
            <v>51721-10003205AALF Connector,PBRAH</v>
          </cell>
          <cell r="C372">
            <v>3.3E-3</v>
          </cell>
          <cell r="D372">
            <v>1803.030303030303</v>
          </cell>
          <cell r="E372">
            <v>5409.090909090909</v>
          </cell>
          <cell r="F372">
            <v>3.1E-2</v>
          </cell>
        </row>
        <row r="373">
          <cell r="A373" t="str">
            <v>51721-10003206ABLF</v>
          </cell>
          <cell r="B373" t="str">
            <v>51721-10003206ABLF Connector,PBRAH</v>
          </cell>
          <cell r="C373">
            <v>1.6000000000000001E-3</v>
          </cell>
          <cell r="D373">
            <v>3718.75</v>
          </cell>
          <cell r="E373">
            <v>11156.25</v>
          </cell>
          <cell r="F373">
            <v>2.7099999999999999E-2</v>
          </cell>
        </row>
        <row r="374">
          <cell r="A374" t="str">
            <v>51721-10003208AALF</v>
          </cell>
          <cell r="B374" t="str">
            <v>51721-10003208AALF Connector,PBRAH</v>
          </cell>
          <cell r="C374">
            <v>2E-3</v>
          </cell>
          <cell r="D374">
            <v>2975</v>
          </cell>
          <cell r="E374">
            <v>8925</v>
          </cell>
          <cell r="F374">
            <v>3.2000000000000001E-2</v>
          </cell>
        </row>
        <row r="375">
          <cell r="A375" t="str">
            <v>51721-10003218ABLF</v>
          </cell>
          <cell r="B375" t="str">
            <v>51721-10003218ABLF Connector,PBRAH</v>
          </cell>
          <cell r="C375">
            <v>4.0000000000000001E-3</v>
          </cell>
          <cell r="D375">
            <v>1487.5</v>
          </cell>
          <cell r="E375">
            <v>4462.5</v>
          </cell>
          <cell r="F375">
            <v>6.5000000000000002E-2</v>
          </cell>
        </row>
        <row r="376">
          <cell r="A376" t="str">
            <v>51721-10003603AALF</v>
          </cell>
          <cell r="B376" t="str">
            <v>51721-10003603AALF Connector,PBRAH</v>
          </cell>
          <cell r="C376">
            <v>2E-3</v>
          </cell>
          <cell r="D376">
            <v>2975</v>
          </cell>
          <cell r="E376">
            <v>8925</v>
          </cell>
          <cell r="F376">
            <v>2.8000000000000001E-2</v>
          </cell>
        </row>
        <row r="377">
          <cell r="A377" t="str">
            <v>51721-10003605AALF</v>
          </cell>
          <cell r="B377" t="str">
            <v>51721-10003605AALF PwrBlade RAH</v>
          </cell>
          <cell r="C377">
            <v>2E-3</v>
          </cell>
          <cell r="D377">
            <v>2975</v>
          </cell>
          <cell r="E377">
            <v>8925</v>
          </cell>
          <cell r="F377">
            <v>3.5999999999999997E-2</v>
          </cell>
        </row>
        <row r="378">
          <cell r="A378" t="str">
            <v>51721-10003606AALF</v>
          </cell>
          <cell r="B378" t="str">
            <v>51721-10003606AALF Connector,PBRAH</v>
          </cell>
          <cell r="C378">
            <v>1.9E-3</v>
          </cell>
          <cell r="D378">
            <v>3131.5789473684213</v>
          </cell>
          <cell r="E378">
            <v>9394.7368421052633</v>
          </cell>
          <cell r="F378">
            <v>2.9000000000000001E-2</v>
          </cell>
        </row>
        <row r="379">
          <cell r="A379" t="str">
            <v>51721-10004006AALF</v>
          </cell>
          <cell r="B379" t="str">
            <v>51721-10004006AALF Connector,PBRAH</v>
          </cell>
          <cell r="C379">
            <v>1.9E-3</v>
          </cell>
          <cell r="D379">
            <v>3131.5789473684213</v>
          </cell>
          <cell r="E379">
            <v>9394.7368421052633</v>
          </cell>
          <cell r="F379">
            <v>2.7799999999999998E-2</v>
          </cell>
        </row>
        <row r="380">
          <cell r="A380" t="str">
            <v>51721-10004007ABLF</v>
          </cell>
          <cell r="B380" t="str">
            <v>51721-10004007ABLF Connector,PBRAH</v>
          </cell>
          <cell r="C380">
            <v>2E-3</v>
          </cell>
          <cell r="D380">
            <v>2975</v>
          </cell>
          <cell r="E380">
            <v>8925</v>
          </cell>
          <cell r="F380">
            <v>3.4000000000000002E-2</v>
          </cell>
        </row>
        <row r="381">
          <cell r="A381" t="str">
            <v>51721-10004802AALF</v>
          </cell>
          <cell r="B381" t="str">
            <v>51721-10004802AALF Connector,PBRAH</v>
          </cell>
          <cell r="C381">
            <v>1.9E-3</v>
          </cell>
          <cell r="D381">
            <v>3131.5789473684213</v>
          </cell>
          <cell r="E381">
            <v>9394.7368421052633</v>
          </cell>
          <cell r="F381">
            <v>2.6200000000000001E-2</v>
          </cell>
        </row>
        <row r="382">
          <cell r="A382" t="str">
            <v>51721-10004803AALF</v>
          </cell>
          <cell r="B382" t="str">
            <v>51721-10004803AALF Connector,PBRAH</v>
          </cell>
          <cell r="C382">
            <v>2E-3</v>
          </cell>
          <cell r="D382">
            <v>2975</v>
          </cell>
          <cell r="E382">
            <v>8925</v>
          </cell>
          <cell r="F382">
            <v>2.9000000000000001E-2</v>
          </cell>
        </row>
        <row r="383">
          <cell r="A383" t="str">
            <v>51721-10004807AALF</v>
          </cell>
          <cell r="B383" t="str">
            <v>51721-10004807AALF Connector,PBRAH</v>
          </cell>
          <cell r="C383">
            <v>2E-3</v>
          </cell>
          <cell r="D383">
            <v>2975</v>
          </cell>
          <cell r="E383">
            <v>8925</v>
          </cell>
          <cell r="F383">
            <v>3.6999999999999998E-2</v>
          </cell>
        </row>
        <row r="384">
          <cell r="A384" t="str">
            <v>51721-10004808ABLF</v>
          </cell>
          <cell r="B384" t="str">
            <v>51721-10004808ABLF PwrBlade RAH</v>
          </cell>
          <cell r="C384">
            <v>2E-3</v>
          </cell>
          <cell r="D384">
            <v>2975</v>
          </cell>
          <cell r="E384">
            <v>8925</v>
          </cell>
          <cell r="F384">
            <v>3.6999999999999998E-2</v>
          </cell>
        </row>
        <row r="385">
          <cell r="A385" t="str">
            <v>51721-10004812AALF</v>
          </cell>
          <cell r="B385" t="str">
            <v>51721-10004812AALF Connector,PBRAH</v>
          </cell>
          <cell r="C385">
            <v>2E-3</v>
          </cell>
          <cell r="D385">
            <v>2975</v>
          </cell>
          <cell r="E385">
            <v>8925</v>
          </cell>
          <cell r="F385">
            <v>4.2000000000000003E-2</v>
          </cell>
        </row>
        <row r="386">
          <cell r="A386" t="str">
            <v>51721-10005611ABLF</v>
          </cell>
          <cell r="B386" t="str">
            <v>51721-10005611ABLF Connector,PBRAH</v>
          </cell>
          <cell r="C386">
            <v>2E-3</v>
          </cell>
          <cell r="D386">
            <v>2975</v>
          </cell>
          <cell r="E386">
            <v>8925</v>
          </cell>
          <cell r="F386">
            <v>3.9E-2</v>
          </cell>
        </row>
        <row r="387">
          <cell r="A387" t="str">
            <v>51721-10006402ABLF</v>
          </cell>
          <cell r="B387" t="str">
            <v>51721-10006402ABLF Connector,PBRAH</v>
          </cell>
          <cell r="C387">
            <v>2E-3</v>
          </cell>
          <cell r="D387">
            <v>2975</v>
          </cell>
          <cell r="E387">
            <v>8925</v>
          </cell>
          <cell r="F387">
            <v>2.5999999999999999E-2</v>
          </cell>
        </row>
        <row r="388">
          <cell r="A388" t="str">
            <v>51721-10006403AALF</v>
          </cell>
          <cell r="B388" t="str">
            <v>51721-10006403AALF Connector,PBRAH</v>
          </cell>
          <cell r="C388">
            <v>2E-3</v>
          </cell>
          <cell r="D388">
            <v>2975</v>
          </cell>
          <cell r="E388">
            <v>8925</v>
          </cell>
          <cell r="F388">
            <v>2.8000000000000001E-2</v>
          </cell>
        </row>
        <row r="389">
          <cell r="A389" t="str">
            <v>51721-10007205ABLF</v>
          </cell>
          <cell r="B389" t="str">
            <v>51721-10007205ABLF PwrBlade RAH</v>
          </cell>
          <cell r="C389">
            <v>2E-3</v>
          </cell>
          <cell r="D389">
            <v>2975</v>
          </cell>
          <cell r="E389">
            <v>8925</v>
          </cell>
          <cell r="F389">
            <v>5.04E-2</v>
          </cell>
        </row>
        <row r="390">
          <cell r="A390" t="str">
            <v>51721-B0001204AALF</v>
          </cell>
          <cell r="B390" t="str">
            <v>51721-B0001204AALF Connector,PBRAH</v>
          </cell>
          <cell r="C390">
            <v>1.6000000000000001E-3</v>
          </cell>
          <cell r="D390">
            <v>3718.75</v>
          </cell>
          <cell r="E390">
            <v>11156.25</v>
          </cell>
          <cell r="F390">
            <v>1.8800000000000001E-2</v>
          </cell>
        </row>
        <row r="391">
          <cell r="A391" t="str">
            <v>51721-B0002406AALF</v>
          </cell>
          <cell r="B391" t="str">
            <v>51721-B0002406AALF Connector,PBRAH</v>
          </cell>
          <cell r="C391">
            <v>1.9E-3</v>
          </cell>
          <cell r="D391">
            <v>3131.5789473684213</v>
          </cell>
          <cell r="E391">
            <v>9394.7368421052633</v>
          </cell>
          <cell r="F391">
            <v>2.1700000000000001E-2</v>
          </cell>
        </row>
        <row r="392">
          <cell r="A392" t="str">
            <v>51722-10103600AALF</v>
          </cell>
          <cell r="B392" t="str">
            <v>51722-10103600AALF Connector,PBRAH</v>
          </cell>
          <cell r="C392">
            <v>1.6000000000000001E-3</v>
          </cell>
          <cell r="D392">
            <v>3718.75</v>
          </cell>
          <cell r="E392">
            <v>11156.25</v>
          </cell>
          <cell r="F392">
            <v>2.6200000000000001E-2</v>
          </cell>
        </row>
        <row r="393">
          <cell r="A393" t="str">
            <v>51722-10200400AALF</v>
          </cell>
          <cell r="B393" t="str">
            <v>51722-10200400AALF Connector,PBRAH</v>
          </cell>
          <cell r="C393">
            <v>2E-3</v>
          </cell>
          <cell r="D393">
            <v>2975</v>
          </cell>
          <cell r="E393">
            <v>8925</v>
          </cell>
          <cell r="F393">
            <v>2.8000000000000001E-2</v>
          </cell>
        </row>
        <row r="394">
          <cell r="A394" t="str">
            <v>51722-10200800AALF</v>
          </cell>
          <cell r="B394" t="str">
            <v>51722-10200800AALF Connector,PBRAH</v>
          </cell>
          <cell r="C394">
            <v>2E-3</v>
          </cell>
          <cell r="D394">
            <v>2975</v>
          </cell>
          <cell r="E394">
            <v>8925</v>
          </cell>
          <cell r="F394">
            <v>2.8000000000000001E-2</v>
          </cell>
        </row>
        <row r="395">
          <cell r="A395" t="str">
            <v>51722-10201200AALF</v>
          </cell>
          <cell r="B395" t="str">
            <v>51722-10201200AALF Connector,PBRAH</v>
          </cell>
          <cell r="C395">
            <v>2E-3</v>
          </cell>
          <cell r="D395">
            <v>2975</v>
          </cell>
          <cell r="E395">
            <v>8925</v>
          </cell>
          <cell r="F395">
            <v>2.8000000000000001E-2</v>
          </cell>
        </row>
        <row r="396">
          <cell r="A396" t="str">
            <v>51722-10201600AALF</v>
          </cell>
          <cell r="B396" t="str">
            <v>51722-10201600AALF Connector,PBRAH</v>
          </cell>
          <cell r="C396">
            <v>3.0000000000000001E-3</v>
          </cell>
          <cell r="D396">
            <v>1983.3333333333333</v>
          </cell>
          <cell r="E396">
            <v>5950</v>
          </cell>
          <cell r="F396">
            <v>1.6E-2</v>
          </cell>
        </row>
        <row r="397">
          <cell r="A397" t="str">
            <v>51722-10202000AALF</v>
          </cell>
          <cell r="B397" t="str">
            <v>51722-10202000AALF Connector,PBRAH</v>
          </cell>
          <cell r="C397">
            <v>4.0000000000000001E-3</v>
          </cell>
          <cell r="D397">
            <v>1487.5</v>
          </cell>
          <cell r="E397">
            <v>4462.5</v>
          </cell>
          <cell r="F397">
            <v>2.8000000000000001E-2</v>
          </cell>
        </row>
        <row r="398">
          <cell r="A398" t="str">
            <v>51722-10202000ABLF</v>
          </cell>
          <cell r="B398" t="str">
            <v>51722-10202000ABLF Connector,PBRAH</v>
          </cell>
          <cell r="C398">
            <v>4.0000000000000001E-3</v>
          </cell>
          <cell r="D398">
            <v>1487.5</v>
          </cell>
          <cell r="E398">
            <v>4462.5</v>
          </cell>
          <cell r="F398">
            <v>2.1000000000000001E-2</v>
          </cell>
        </row>
        <row r="399">
          <cell r="A399" t="str">
            <v>51722-10202400AALF</v>
          </cell>
          <cell r="B399" t="str">
            <v>51722-10202400AALF Connector,PBRAH</v>
          </cell>
          <cell r="C399">
            <v>1.6000000000000001E-3</v>
          </cell>
          <cell r="D399">
            <v>3718.75</v>
          </cell>
          <cell r="E399">
            <v>11156.25</v>
          </cell>
          <cell r="F399">
            <v>2.6200000000000001E-2</v>
          </cell>
        </row>
        <row r="400">
          <cell r="A400" t="str">
            <v>51722-10203200AALF</v>
          </cell>
          <cell r="B400" t="str">
            <v>51722-10203200AALF Connector,PBRAH</v>
          </cell>
          <cell r="C400">
            <v>2E-3</v>
          </cell>
          <cell r="D400">
            <v>2975</v>
          </cell>
          <cell r="E400">
            <v>8925</v>
          </cell>
          <cell r="F400">
            <v>2.8000000000000001E-2</v>
          </cell>
        </row>
        <row r="401">
          <cell r="A401" t="str">
            <v>51722-10203600AALF</v>
          </cell>
          <cell r="B401" t="str">
            <v>51722-10203600AALF Connector,PBRAH</v>
          </cell>
          <cell r="C401">
            <v>2E-3</v>
          </cell>
          <cell r="D401">
            <v>2975</v>
          </cell>
          <cell r="E401">
            <v>8925</v>
          </cell>
          <cell r="F401">
            <v>4.3999999999999997E-2</v>
          </cell>
        </row>
        <row r="402">
          <cell r="A402" t="str">
            <v>51722-10204000AALF</v>
          </cell>
          <cell r="B402" t="str">
            <v>51722-10204000AALF PwrBlade RAH STB</v>
          </cell>
          <cell r="C402">
            <v>2E-3</v>
          </cell>
          <cell r="D402">
            <v>2975</v>
          </cell>
          <cell r="E402">
            <v>8925</v>
          </cell>
          <cell r="F402">
            <v>2.8000000000000001E-2</v>
          </cell>
        </row>
        <row r="403">
          <cell r="A403" t="str">
            <v>51722-10204800AALF</v>
          </cell>
          <cell r="B403" t="str">
            <v>51722-10204800AALF Connector,PBRAH</v>
          </cell>
          <cell r="C403">
            <v>2E-3</v>
          </cell>
          <cell r="D403">
            <v>2975</v>
          </cell>
          <cell r="E403">
            <v>8925</v>
          </cell>
          <cell r="F403">
            <v>3.1E-2</v>
          </cell>
        </row>
        <row r="404">
          <cell r="A404" t="str">
            <v>51722-10207600AALF</v>
          </cell>
          <cell r="B404" t="str">
            <v>51722-10207600AALF Connector,PBRAH</v>
          </cell>
          <cell r="C404">
            <v>1.9E-3</v>
          </cell>
          <cell r="D404">
            <v>3131.5789473684213</v>
          </cell>
          <cell r="E404">
            <v>9394.7368421052633</v>
          </cell>
          <cell r="F404">
            <v>2.81E-2</v>
          </cell>
        </row>
        <row r="405">
          <cell r="A405" t="str">
            <v>51722-10214400ABLF</v>
          </cell>
          <cell r="B405" t="str">
            <v>51722-10214400ABLF Connector,PBRAH</v>
          </cell>
          <cell r="C405">
            <v>2E-3</v>
          </cell>
          <cell r="D405">
            <v>2975</v>
          </cell>
          <cell r="E405">
            <v>8925</v>
          </cell>
          <cell r="F405">
            <v>0.04</v>
          </cell>
        </row>
        <row r="406">
          <cell r="A406" t="str">
            <v>51722-10301600AALF</v>
          </cell>
          <cell r="B406" t="str">
            <v>51722-10301600AALF Connector,PBRAH</v>
          </cell>
          <cell r="C406">
            <v>2E-3</v>
          </cell>
          <cell r="D406">
            <v>2975</v>
          </cell>
          <cell r="E406">
            <v>8925</v>
          </cell>
          <cell r="F406">
            <v>2.8000000000000001E-2</v>
          </cell>
        </row>
        <row r="407">
          <cell r="A407" t="str">
            <v>51722-10302000AALF</v>
          </cell>
          <cell r="B407" t="str">
            <v>51722-10302000AALF Connector,PBRAH</v>
          </cell>
          <cell r="C407">
            <v>2E-3</v>
          </cell>
          <cell r="D407">
            <v>2975</v>
          </cell>
          <cell r="E407">
            <v>8925</v>
          </cell>
          <cell r="F407">
            <v>2.8000000000000001E-2</v>
          </cell>
        </row>
        <row r="408">
          <cell r="A408" t="str">
            <v>51722-10302400AALF</v>
          </cell>
          <cell r="B408" t="str">
            <v>51722-10302400AALF Connector,PBRAH</v>
          </cell>
          <cell r="C408">
            <v>1.6000000000000001E-3</v>
          </cell>
          <cell r="D408">
            <v>3718.75</v>
          </cell>
          <cell r="E408">
            <v>11156.25</v>
          </cell>
          <cell r="F408">
            <v>2.6200000000000001E-2</v>
          </cell>
        </row>
        <row r="409">
          <cell r="A409" t="str">
            <v>51722-10303200AALF</v>
          </cell>
          <cell r="B409" t="str">
            <v>51722-10303200AALF Connector,PBRAH</v>
          </cell>
          <cell r="C409">
            <v>1.6000000000000001E-3</v>
          </cell>
          <cell r="D409">
            <v>3718.75</v>
          </cell>
          <cell r="E409">
            <v>11156.25</v>
          </cell>
          <cell r="F409">
            <v>2.6200000000000001E-2</v>
          </cell>
        </row>
        <row r="410">
          <cell r="A410" t="str">
            <v>51722-10400800AALF</v>
          </cell>
          <cell r="B410" t="str">
            <v>51722-10400800AALF Connector,PBRAH</v>
          </cell>
          <cell r="C410">
            <v>2E-3</v>
          </cell>
          <cell r="D410">
            <v>2975</v>
          </cell>
          <cell r="E410">
            <v>8925</v>
          </cell>
          <cell r="F410">
            <v>2.6100000000000002E-2</v>
          </cell>
        </row>
        <row r="411">
          <cell r="A411" t="str">
            <v>51722-10400800ABLF</v>
          </cell>
          <cell r="B411" t="str">
            <v>51722-10400800ABLF Connector,PBRAH</v>
          </cell>
          <cell r="C411">
            <v>2E-3</v>
          </cell>
          <cell r="D411">
            <v>2975</v>
          </cell>
          <cell r="E411">
            <v>8925</v>
          </cell>
          <cell r="F411">
            <v>2.7E-2</v>
          </cell>
        </row>
        <row r="412">
          <cell r="A412" t="str">
            <v>51722-10401200AALF</v>
          </cell>
          <cell r="B412" t="str">
            <v>51722-10401200AALF Connector,PBRAH</v>
          </cell>
          <cell r="C412">
            <v>2E-3</v>
          </cell>
          <cell r="D412">
            <v>2975</v>
          </cell>
          <cell r="E412">
            <v>8925</v>
          </cell>
          <cell r="F412">
            <v>2.8400000000000002E-2</v>
          </cell>
        </row>
        <row r="413">
          <cell r="A413" t="str">
            <v>51722-10401200ABLF</v>
          </cell>
          <cell r="B413" t="str">
            <v>51722-10401200ABLF Connector,PBRAH</v>
          </cell>
          <cell r="C413">
            <v>1.6000000000000001E-3</v>
          </cell>
          <cell r="D413">
            <v>3718.75</v>
          </cell>
          <cell r="E413">
            <v>11156.25</v>
          </cell>
          <cell r="F413">
            <v>2.52E-2</v>
          </cell>
        </row>
        <row r="414">
          <cell r="A414" t="str">
            <v>51722-10401600AALF</v>
          </cell>
          <cell r="B414" t="str">
            <v>51722-10401600AALF Connector,PBRAH</v>
          </cell>
          <cell r="C414">
            <v>1.6000000000000001E-3</v>
          </cell>
          <cell r="D414">
            <v>3718.75</v>
          </cell>
          <cell r="E414">
            <v>11156.25</v>
          </cell>
          <cell r="F414">
            <v>2.7099999999999999E-2</v>
          </cell>
        </row>
        <row r="415">
          <cell r="A415" t="str">
            <v>51722-10402000AALF</v>
          </cell>
          <cell r="B415" t="str">
            <v>51722-10402000AALF Connector,PBRAH</v>
          </cell>
          <cell r="C415">
            <v>2E-3</v>
          </cell>
          <cell r="D415">
            <v>2975</v>
          </cell>
          <cell r="E415">
            <v>8925</v>
          </cell>
          <cell r="F415">
            <v>2.9000000000000001E-2</v>
          </cell>
        </row>
        <row r="416">
          <cell r="A416" t="str">
            <v>51722-10402400AALF</v>
          </cell>
          <cell r="B416" t="str">
            <v>51722-10402400AALF PwrBlade RAH</v>
          </cell>
          <cell r="C416">
            <v>1.6000000000000001E-3</v>
          </cell>
          <cell r="D416">
            <v>3718.75</v>
          </cell>
          <cell r="E416">
            <v>11156.25</v>
          </cell>
          <cell r="F416">
            <v>2.0157999999999999E-2</v>
          </cell>
        </row>
        <row r="417">
          <cell r="A417" t="str">
            <v>51722-10402400ABLF</v>
          </cell>
          <cell r="B417" t="str">
            <v>51722-10402400ABLF PwrBlade RAH</v>
          </cell>
          <cell r="C417">
            <v>1.9E-3</v>
          </cell>
          <cell r="D417">
            <v>3131.5789473684213</v>
          </cell>
          <cell r="E417">
            <v>9394.7368421052633</v>
          </cell>
          <cell r="F417">
            <v>2.0925414E-2</v>
          </cell>
        </row>
        <row r="418">
          <cell r="A418" t="str">
            <v>51722-10403200AALF</v>
          </cell>
          <cell r="B418" t="str">
            <v>51722-10403200AALF Connector,PBRAH</v>
          </cell>
          <cell r="C418">
            <v>2E-3</v>
          </cell>
          <cell r="D418">
            <v>2975</v>
          </cell>
          <cell r="E418">
            <v>8925</v>
          </cell>
          <cell r="F418">
            <v>2.9000000000000001E-2</v>
          </cell>
        </row>
        <row r="419">
          <cell r="A419" t="str">
            <v>51722-10406000AALF</v>
          </cell>
          <cell r="B419" t="str">
            <v>51722-10406000AALF Connector,PBRAH</v>
          </cell>
          <cell r="C419">
            <v>1.6000000000000001E-3</v>
          </cell>
          <cell r="D419">
            <v>3718.75</v>
          </cell>
          <cell r="E419">
            <v>11156.25</v>
          </cell>
          <cell r="F419">
            <v>2.7099999999999999E-2</v>
          </cell>
        </row>
        <row r="420">
          <cell r="A420" t="str">
            <v>51722-10412000AALF</v>
          </cell>
          <cell r="B420" t="str">
            <v>51722-10412000AALF Connector,PBRAH</v>
          </cell>
          <cell r="C420">
            <v>2E-3</v>
          </cell>
          <cell r="D420">
            <v>2975</v>
          </cell>
          <cell r="E420">
            <v>8925</v>
          </cell>
          <cell r="F420">
            <v>3.5000000000000003E-2</v>
          </cell>
        </row>
        <row r="421">
          <cell r="A421" t="str">
            <v>51722-10500800AALF</v>
          </cell>
          <cell r="B421" t="str">
            <v>51722-10500800AALF Connector,PBRAH</v>
          </cell>
          <cell r="C421">
            <v>2E-3</v>
          </cell>
          <cell r="D421">
            <v>2975</v>
          </cell>
          <cell r="E421">
            <v>8925</v>
          </cell>
          <cell r="F421">
            <v>3.5999999999999997E-2</v>
          </cell>
        </row>
        <row r="422">
          <cell r="A422" t="str">
            <v>51722-10501600AALF</v>
          </cell>
          <cell r="B422" t="str">
            <v>51722-10501600AALF Connector,PBRAH</v>
          </cell>
          <cell r="C422">
            <v>2E-3</v>
          </cell>
          <cell r="D422">
            <v>2975</v>
          </cell>
          <cell r="E422">
            <v>8925</v>
          </cell>
          <cell r="F422">
            <v>3.5999999999999997E-2</v>
          </cell>
        </row>
        <row r="423">
          <cell r="A423" t="str">
            <v>51722-10502400AALF</v>
          </cell>
          <cell r="B423" t="str">
            <v>51722-10502400AALF Connector,PBRAH</v>
          </cell>
          <cell r="C423">
            <v>1.6000000000000001E-3</v>
          </cell>
          <cell r="D423">
            <v>3718.75</v>
          </cell>
          <cell r="E423">
            <v>11156.25</v>
          </cell>
          <cell r="F423">
            <v>3.3700000000000001E-2</v>
          </cell>
        </row>
        <row r="424">
          <cell r="A424" t="str">
            <v>51722-10600800AALF</v>
          </cell>
          <cell r="B424" t="str">
            <v>51722-10600800AALF Connector,PBRAH</v>
          </cell>
          <cell r="C424">
            <v>1.6000000000000001E-3</v>
          </cell>
          <cell r="D424">
            <v>3718.75</v>
          </cell>
          <cell r="E424">
            <v>11156.25</v>
          </cell>
          <cell r="F424">
            <v>2.9000000000000001E-2</v>
          </cell>
        </row>
        <row r="425">
          <cell r="A425" t="str">
            <v>51722-10601200AALF</v>
          </cell>
          <cell r="B425" t="str">
            <v>51722-10601200AALF Connector,PBRAH</v>
          </cell>
          <cell r="C425">
            <v>2E-3</v>
          </cell>
          <cell r="D425">
            <v>2975</v>
          </cell>
          <cell r="E425">
            <v>8925</v>
          </cell>
          <cell r="F425">
            <v>3.1E-2</v>
          </cell>
        </row>
        <row r="426">
          <cell r="A426" t="str">
            <v>51722-10601600AALF</v>
          </cell>
          <cell r="B426" t="str">
            <v>51722-10601600AALF Connector,PBRAH</v>
          </cell>
          <cell r="C426">
            <v>1.6000000000000001E-3</v>
          </cell>
          <cell r="D426">
            <v>3718.75</v>
          </cell>
          <cell r="E426">
            <v>11156.25</v>
          </cell>
          <cell r="F426">
            <v>1.3100000000000001E-2</v>
          </cell>
        </row>
        <row r="427">
          <cell r="A427" t="str">
            <v>51722-10601600ABLF</v>
          </cell>
          <cell r="B427" t="str">
            <v>51722-10601600ABLF Connector,PBRAH</v>
          </cell>
          <cell r="C427">
            <v>1.6000000000000001E-3</v>
          </cell>
          <cell r="D427">
            <v>3718.75</v>
          </cell>
          <cell r="E427">
            <v>11156.25</v>
          </cell>
          <cell r="F427">
            <v>2.7099999999999999E-2</v>
          </cell>
        </row>
        <row r="428">
          <cell r="A428" t="str">
            <v>51722-10602000AALF</v>
          </cell>
          <cell r="B428" t="str">
            <v>51722-10602000AALF PwrBlade RAH</v>
          </cell>
          <cell r="C428">
            <v>1.9E-3</v>
          </cell>
          <cell r="D428">
            <v>3131.5789473684213</v>
          </cell>
          <cell r="E428">
            <v>9394.7368421052633</v>
          </cell>
          <cell r="F428">
            <v>2.1876224E-2</v>
          </cell>
        </row>
        <row r="429">
          <cell r="A429" t="str">
            <v>51722-10602000ABLF</v>
          </cell>
          <cell r="B429" t="str">
            <v>51722-10602000ABLF Connector,PBRAH</v>
          </cell>
          <cell r="C429">
            <v>1.9E-3</v>
          </cell>
          <cell r="D429">
            <v>3131.5789473684213</v>
          </cell>
          <cell r="E429">
            <v>9394.7368421052633</v>
          </cell>
          <cell r="F429">
            <v>2.7099999999999999E-2</v>
          </cell>
        </row>
        <row r="430">
          <cell r="A430" t="str">
            <v>51722-10602400AALF</v>
          </cell>
          <cell r="B430" t="str">
            <v>51722-10602400AALF PwrBlade RAH</v>
          </cell>
          <cell r="C430">
            <v>1.6000000000000001E-3</v>
          </cell>
          <cell r="D430">
            <v>3718.75</v>
          </cell>
          <cell r="E430">
            <v>11156.25</v>
          </cell>
          <cell r="F430">
            <v>2.9000000000000001E-2</v>
          </cell>
        </row>
        <row r="431">
          <cell r="A431" t="str">
            <v>51722-10602400ABLF</v>
          </cell>
          <cell r="B431" t="str">
            <v>51722-10602400ABLF Connector,PBRAH</v>
          </cell>
          <cell r="C431">
            <v>2E-3</v>
          </cell>
          <cell r="D431">
            <v>2975</v>
          </cell>
          <cell r="E431">
            <v>8925</v>
          </cell>
          <cell r="F431">
            <v>2.9000000000000001E-2</v>
          </cell>
        </row>
        <row r="432">
          <cell r="A432" t="str">
            <v>51722-10603200AALF</v>
          </cell>
          <cell r="B432" t="str">
            <v>51722-10603200AALF PwrBlade RAH</v>
          </cell>
          <cell r="C432">
            <v>2E-3</v>
          </cell>
          <cell r="D432">
            <v>2975</v>
          </cell>
          <cell r="E432">
            <v>8925</v>
          </cell>
          <cell r="F432">
            <v>3.1E-2</v>
          </cell>
        </row>
        <row r="433">
          <cell r="A433" t="str">
            <v>51722-10603600AALF</v>
          </cell>
          <cell r="B433" t="str">
            <v>51722-10603600AALF Connector,PBRAH</v>
          </cell>
          <cell r="C433">
            <v>1.9E-3</v>
          </cell>
          <cell r="D433">
            <v>3131.5789473684213</v>
          </cell>
          <cell r="E433">
            <v>9394.7368421052633</v>
          </cell>
          <cell r="F433">
            <v>2.9000000000000001E-2</v>
          </cell>
        </row>
        <row r="434">
          <cell r="A434" t="str">
            <v>51722-10604000AALF</v>
          </cell>
          <cell r="B434" t="str">
            <v>51722-10604000AALF Connector,PBRAH</v>
          </cell>
          <cell r="C434">
            <v>2E-3</v>
          </cell>
          <cell r="D434">
            <v>2975</v>
          </cell>
          <cell r="E434">
            <v>8925</v>
          </cell>
          <cell r="F434">
            <v>3.1E-2</v>
          </cell>
        </row>
        <row r="435">
          <cell r="A435" t="str">
            <v>51722-10606000AALF</v>
          </cell>
          <cell r="B435" t="str">
            <v>51722-10606000AALF Connector,PBRAH</v>
          </cell>
          <cell r="C435">
            <v>2E-3</v>
          </cell>
          <cell r="D435">
            <v>2975</v>
          </cell>
          <cell r="E435">
            <v>8925</v>
          </cell>
          <cell r="F435">
            <v>3.6999999999999998E-2</v>
          </cell>
        </row>
        <row r="436">
          <cell r="A436" t="str">
            <v>51722-10610400AALF</v>
          </cell>
          <cell r="B436" t="str">
            <v>51722-10610400AALF Connector,PBRAH</v>
          </cell>
          <cell r="C436">
            <v>2E-3</v>
          </cell>
          <cell r="D436">
            <v>2975</v>
          </cell>
          <cell r="E436">
            <v>8925</v>
          </cell>
          <cell r="F436">
            <v>3.6999999999999998E-2</v>
          </cell>
        </row>
        <row r="437">
          <cell r="A437" t="str">
            <v>51722-10701600ABLF</v>
          </cell>
          <cell r="B437" t="str">
            <v>51722-10701600ABLF Connector,PBRAH</v>
          </cell>
          <cell r="C437">
            <v>1.9E-3</v>
          </cell>
          <cell r="D437">
            <v>3131.5789473684213</v>
          </cell>
          <cell r="E437">
            <v>9394.7368421052633</v>
          </cell>
          <cell r="F437">
            <v>3.1800000000000002E-2</v>
          </cell>
        </row>
        <row r="438">
          <cell r="A438" t="str">
            <v>51722-10702400AALF</v>
          </cell>
          <cell r="B438" t="str">
            <v>51722-10702400AALF Connector,PBRAH</v>
          </cell>
          <cell r="C438">
            <v>1.9E-3</v>
          </cell>
          <cell r="D438">
            <v>3131.5789473684213</v>
          </cell>
          <cell r="E438">
            <v>9394.7368421052633</v>
          </cell>
          <cell r="F438">
            <v>3.3700000000000001E-2</v>
          </cell>
        </row>
        <row r="439">
          <cell r="A439" t="str">
            <v>51722-10702400ABLF</v>
          </cell>
          <cell r="B439" t="str">
            <v>51722-10702400ABLF Connector,PBRAH</v>
          </cell>
          <cell r="C439">
            <v>2E-3</v>
          </cell>
          <cell r="D439">
            <v>2975</v>
          </cell>
          <cell r="E439">
            <v>8925</v>
          </cell>
          <cell r="F439">
            <v>3.4000000000000002E-2</v>
          </cell>
        </row>
        <row r="440">
          <cell r="A440" t="str">
            <v>51722-10704000AALF</v>
          </cell>
          <cell r="B440" t="str">
            <v>51722-10704000AALF Connector,PBRAH</v>
          </cell>
          <cell r="C440">
            <v>2E-3</v>
          </cell>
          <cell r="D440">
            <v>2975</v>
          </cell>
          <cell r="E440">
            <v>8925</v>
          </cell>
          <cell r="F440">
            <v>3.5999999999999997E-2</v>
          </cell>
        </row>
        <row r="441">
          <cell r="A441" t="str">
            <v>51722-10704000ABLF</v>
          </cell>
          <cell r="B441" t="str">
            <v>51722-10704000ABLF Connector,PBRAH</v>
          </cell>
          <cell r="C441">
            <v>2E-3</v>
          </cell>
          <cell r="D441">
            <v>2975</v>
          </cell>
          <cell r="E441">
            <v>8925</v>
          </cell>
          <cell r="F441">
            <v>3.4000000000000002E-2</v>
          </cell>
        </row>
        <row r="442">
          <cell r="A442" t="str">
            <v>51722-10800800AALF</v>
          </cell>
          <cell r="B442" t="str">
            <v>51722-10800800AALF Connector,PBRAH</v>
          </cell>
          <cell r="C442">
            <v>2E-3</v>
          </cell>
          <cell r="D442">
            <v>2975</v>
          </cell>
          <cell r="E442">
            <v>8925</v>
          </cell>
          <cell r="F442">
            <v>0.05</v>
          </cell>
        </row>
        <row r="443">
          <cell r="A443" t="str">
            <v>51722-10800800ABLF</v>
          </cell>
          <cell r="B443" t="str">
            <v>51722-10800800ABLF Connector,PBRAH</v>
          </cell>
          <cell r="C443">
            <v>2E-3</v>
          </cell>
          <cell r="D443">
            <v>2975</v>
          </cell>
          <cell r="E443">
            <v>8925</v>
          </cell>
          <cell r="F443">
            <v>3.1E-2</v>
          </cell>
        </row>
        <row r="444">
          <cell r="A444" t="str">
            <v>51722-10801200ABLF</v>
          </cell>
          <cell r="B444" t="str">
            <v>51722-10801200ABLF Connector,PBRAH</v>
          </cell>
          <cell r="C444">
            <v>1.6000000000000001E-3</v>
          </cell>
          <cell r="D444">
            <v>3718.75</v>
          </cell>
          <cell r="E444">
            <v>11156.25</v>
          </cell>
          <cell r="F444">
            <v>2.9000000000000001E-2</v>
          </cell>
        </row>
        <row r="445">
          <cell r="A445" t="str">
            <v>51722-10801600AALF</v>
          </cell>
          <cell r="B445" t="str">
            <v>51722-10801600AALF Connector,PBRAH</v>
          </cell>
          <cell r="C445">
            <v>1.9E-3</v>
          </cell>
          <cell r="D445">
            <v>3131.5789473684213</v>
          </cell>
          <cell r="E445">
            <v>9394.7368421052633</v>
          </cell>
          <cell r="F445">
            <v>6.7299999999999999E-2</v>
          </cell>
        </row>
        <row r="446">
          <cell r="A446" t="str">
            <v>51722-10801600ABLF</v>
          </cell>
          <cell r="B446" t="str">
            <v>51722-10801600ABLF Connector,PBRAH</v>
          </cell>
          <cell r="C446">
            <v>2E-3</v>
          </cell>
          <cell r="D446">
            <v>2975</v>
          </cell>
          <cell r="E446">
            <v>8925</v>
          </cell>
          <cell r="F446">
            <v>3.1E-2</v>
          </cell>
        </row>
        <row r="447">
          <cell r="A447" t="str">
            <v>51722-10802400AALF</v>
          </cell>
          <cell r="B447" t="str">
            <v>51722-10802400AALF PwrBlade RAH</v>
          </cell>
          <cell r="C447">
            <v>1.6000000000000001E-3</v>
          </cell>
          <cell r="D447">
            <v>3718.75</v>
          </cell>
          <cell r="E447">
            <v>11156.25</v>
          </cell>
          <cell r="F447">
            <v>3.2000000000000001E-2</v>
          </cell>
        </row>
        <row r="448">
          <cell r="A448" t="str">
            <v>51722-10802400ABLF</v>
          </cell>
          <cell r="B448" t="str">
            <v>51722-10802400ABLF PwrBlade RAH</v>
          </cell>
          <cell r="C448">
            <v>1.9E-3</v>
          </cell>
          <cell r="D448">
            <v>3131.5789473684213</v>
          </cell>
          <cell r="E448">
            <v>9394.7368421052633</v>
          </cell>
          <cell r="F448">
            <v>2.9000000000000001E-2</v>
          </cell>
        </row>
        <row r="449">
          <cell r="A449" t="str">
            <v>51722-10802800ABLF</v>
          </cell>
          <cell r="B449" t="str">
            <v>51722-10802800ABLF Connector,PBRAH</v>
          </cell>
          <cell r="C449">
            <v>2E-3</v>
          </cell>
          <cell r="D449">
            <v>2975</v>
          </cell>
          <cell r="E449">
            <v>8925</v>
          </cell>
          <cell r="F449">
            <v>3.1E-2</v>
          </cell>
        </row>
        <row r="450">
          <cell r="A450" t="str">
            <v>51722-10901200ABLF</v>
          </cell>
          <cell r="B450" t="str">
            <v>51722-10901200ABLF Connector,PBRAH</v>
          </cell>
          <cell r="C450">
            <v>6.0000000000000001E-3</v>
          </cell>
          <cell r="D450">
            <v>991.66666666666663</v>
          </cell>
          <cell r="E450">
            <v>2975</v>
          </cell>
          <cell r="F450">
            <v>2.9000000000000001E-2</v>
          </cell>
        </row>
        <row r="451">
          <cell r="A451" t="str">
            <v>51722-10901600AALF</v>
          </cell>
          <cell r="B451" t="str">
            <v>51722-10901600AALF PwrBlade RAH</v>
          </cell>
          <cell r="C451">
            <v>1.6000000000000001E-3</v>
          </cell>
          <cell r="D451">
            <v>3718.75</v>
          </cell>
          <cell r="E451">
            <v>11156.25</v>
          </cell>
          <cell r="F451">
            <v>2.64E-2</v>
          </cell>
        </row>
        <row r="452">
          <cell r="A452" t="str">
            <v>51722-10902000ABLF</v>
          </cell>
          <cell r="B452" t="str">
            <v>51722-10902000ABLF Connector,PBRAH</v>
          </cell>
          <cell r="C452">
            <v>2E-3</v>
          </cell>
          <cell r="D452">
            <v>2975</v>
          </cell>
          <cell r="E452">
            <v>8925</v>
          </cell>
          <cell r="F452">
            <v>3.5000000000000003E-2</v>
          </cell>
        </row>
        <row r="453">
          <cell r="A453" t="str">
            <v>51722-10902400AALF</v>
          </cell>
          <cell r="B453" t="str">
            <v>51722-10902400AALF Connector,PBRAH</v>
          </cell>
          <cell r="C453">
            <v>2E-3</v>
          </cell>
          <cell r="D453">
            <v>2975</v>
          </cell>
          <cell r="E453">
            <v>8925</v>
          </cell>
          <cell r="F453">
            <v>3.6999999999999998E-2</v>
          </cell>
        </row>
        <row r="454">
          <cell r="A454" t="str">
            <v>51722-11000800ABLF</v>
          </cell>
          <cell r="B454" t="str">
            <v>51722-11000800ABLF Connector,PBRAH</v>
          </cell>
          <cell r="C454">
            <v>2E-3</v>
          </cell>
          <cell r="D454">
            <v>2975</v>
          </cell>
          <cell r="E454">
            <v>8925</v>
          </cell>
          <cell r="F454">
            <v>3.56E-2</v>
          </cell>
        </row>
        <row r="455">
          <cell r="A455" t="str">
            <v>51722-11001600AALF</v>
          </cell>
          <cell r="B455" t="str">
            <v>51722-11001600AALF Connector,PBRAH</v>
          </cell>
          <cell r="C455">
            <v>1.9E-3</v>
          </cell>
          <cell r="D455">
            <v>3131.5789473684213</v>
          </cell>
          <cell r="E455">
            <v>9394.7368421052633</v>
          </cell>
          <cell r="F455">
            <v>5.8900000000000001E-2</v>
          </cell>
        </row>
        <row r="456">
          <cell r="A456" t="str">
            <v>51722-11001600ABLF</v>
          </cell>
          <cell r="B456" t="str">
            <v>51722-11001600ABLF Connector,PBRAH</v>
          </cell>
          <cell r="C456">
            <v>1.9E-3</v>
          </cell>
          <cell r="D456">
            <v>3131.5789473684213</v>
          </cell>
          <cell r="E456">
            <v>9394.7368421052633</v>
          </cell>
          <cell r="F456">
            <v>6.5500000000000003E-2</v>
          </cell>
        </row>
        <row r="457">
          <cell r="A457" t="str">
            <v>51722-11002000ABLF</v>
          </cell>
          <cell r="B457" t="str">
            <v>51722-11002000ABLF Connector,PBRAH</v>
          </cell>
          <cell r="C457">
            <v>1.9E-3</v>
          </cell>
          <cell r="D457">
            <v>3131.5789473684213</v>
          </cell>
          <cell r="E457">
            <v>9394.7368421052633</v>
          </cell>
          <cell r="F457">
            <v>3.9E-2</v>
          </cell>
        </row>
        <row r="458">
          <cell r="A458" t="str">
            <v>51722-11002400AALF</v>
          </cell>
          <cell r="B458" t="str">
            <v>51722-11002400AALF Connector,PBRAH</v>
          </cell>
          <cell r="C458">
            <v>1.9E-3</v>
          </cell>
          <cell r="D458">
            <v>3131.5789473684213</v>
          </cell>
          <cell r="E458">
            <v>9394.7368421052633</v>
          </cell>
          <cell r="F458">
            <v>3.9300000000000002E-2</v>
          </cell>
        </row>
        <row r="459">
          <cell r="A459" t="str">
            <v>51722-11002400ABLF</v>
          </cell>
          <cell r="B459" t="str">
            <v>51722-11002400ABLF Connector,PBRAH</v>
          </cell>
          <cell r="C459">
            <v>2.0999999999999999E-3</v>
          </cell>
          <cell r="D459">
            <v>2833.3333333333335</v>
          </cell>
          <cell r="E459">
            <v>8500</v>
          </cell>
          <cell r="F459">
            <v>3.6499999999999998E-2</v>
          </cell>
        </row>
        <row r="460">
          <cell r="A460" t="str">
            <v>51722-11002800AALF</v>
          </cell>
          <cell r="B460" t="str">
            <v>51722-11002800AALF Connector,PBRAH</v>
          </cell>
          <cell r="C460">
            <v>2E-3</v>
          </cell>
          <cell r="D460">
            <v>2975</v>
          </cell>
          <cell r="E460">
            <v>8925</v>
          </cell>
          <cell r="F460">
            <v>4.2000000000000003E-2</v>
          </cell>
        </row>
        <row r="461">
          <cell r="A461" t="str">
            <v>51722-11002800ABLF</v>
          </cell>
          <cell r="B461" t="str">
            <v>51722-11002800ABLF Connector,PBRAH</v>
          </cell>
          <cell r="C461">
            <v>2E-3</v>
          </cell>
          <cell r="D461">
            <v>2975</v>
          </cell>
          <cell r="E461">
            <v>8925</v>
          </cell>
          <cell r="F461">
            <v>3.9E-2</v>
          </cell>
        </row>
        <row r="462">
          <cell r="A462" t="str">
            <v>51722-11102400AALF</v>
          </cell>
          <cell r="B462" t="str">
            <v>51722-11102400AALF Connector,PBRAH</v>
          </cell>
          <cell r="C462">
            <v>1.9E-3</v>
          </cell>
          <cell r="D462">
            <v>3131.5789473684213</v>
          </cell>
          <cell r="E462">
            <v>9394.7368421052633</v>
          </cell>
          <cell r="F462">
            <v>3.6499999999999998E-2</v>
          </cell>
        </row>
        <row r="463">
          <cell r="A463" t="str">
            <v>51722-11103200AALF</v>
          </cell>
          <cell r="B463" t="str">
            <v>51722-11103200AALF Connector,PBRAH</v>
          </cell>
          <cell r="C463">
            <v>4.2000000000000003E-2</v>
          </cell>
          <cell r="D463">
            <v>141.66666666666666</v>
          </cell>
          <cell r="E463">
            <v>425</v>
          </cell>
          <cell r="F463">
            <v>2E-3</v>
          </cell>
        </row>
        <row r="464">
          <cell r="A464" t="str">
            <v>51722-11201200AALF</v>
          </cell>
          <cell r="B464" t="str">
            <v>51722-11201200AALF Connector,PBRAH</v>
          </cell>
          <cell r="C464">
            <v>2E-3</v>
          </cell>
          <cell r="D464">
            <v>2975</v>
          </cell>
          <cell r="E464">
            <v>8925</v>
          </cell>
          <cell r="F464">
            <v>4.2000000000000003E-2</v>
          </cell>
        </row>
        <row r="465">
          <cell r="A465" t="str">
            <v>51722-11202000AALF</v>
          </cell>
          <cell r="B465" t="str">
            <v>51722-11202000AALF Connector,PBRAH</v>
          </cell>
          <cell r="C465">
            <v>2E-3</v>
          </cell>
          <cell r="D465">
            <v>2975</v>
          </cell>
          <cell r="E465">
            <v>8925</v>
          </cell>
          <cell r="F465">
            <v>4.2000000000000003E-2</v>
          </cell>
        </row>
        <row r="466">
          <cell r="A466" t="str">
            <v>51722-11202000ABLF</v>
          </cell>
          <cell r="B466" t="str">
            <v>51722-11202000ABLF Connector,PBRAH</v>
          </cell>
          <cell r="C466">
            <v>2E-3</v>
          </cell>
          <cell r="D466">
            <v>2975</v>
          </cell>
          <cell r="E466">
            <v>8925</v>
          </cell>
          <cell r="F466">
            <v>3.9E-2</v>
          </cell>
        </row>
        <row r="467">
          <cell r="A467" t="str">
            <v>51722-11202400AALF</v>
          </cell>
          <cell r="B467" t="str">
            <v>51722-11202400AALF Connector,PBRAH</v>
          </cell>
          <cell r="C467">
            <v>2E-3</v>
          </cell>
          <cell r="D467">
            <v>2975</v>
          </cell>
          <cell r="E467">
            <v>8925</v>
          </cell>
          <cell r="F467">
            <v>4.2000000000000003E-2</v>
          </cell>
        </row>
        <row r="468">
          <cell r="A468" t="str">
            <v>51722-11202400ABLF</v>
          </cell>
          <cell r="B468" t="str">
            <v>51722-11202400ABLF Connector,PBRAH</v>
          </cell>
          <cell r="C468">
            <v>2E-3</v>
          </cell>
          <cell r="D468">
            <v>2975</v>
          </cell>
          <cell r="E468">
            <v>8925</v>
          </cell>
          <cell r="F468">
            <v>3.9E-2</v>
          </cell>
        </row>
        <row r="469">
          <cell r="A469" t="str">
            <v>51722-11301200AALF</v>
          </cell>
          <cell r="B469" t="str">
            <v>51722-11301200AALF Connector,PBRAH</v>
          </cell>
          <cell r="C469">
            <v>2E-3</v>
          </cell>
          <cell r="D469">
            <v>2975</v>
          </cell>
          <cell r="E469">
            <v>8925</v>
          </cell>
          <cell r="F469">
            <v>4.3999999999999997E-2</v>
          </cell>
        </row>
        <row r="470">
          <cell r="A470" t="str">
            <v>51722-11401200AALF</v>
          </cell>
          <cell r="B470" t="str">
            <v>51722-11401200AALF Connector,PBRAH</v>
          </cell>
          <cell r="C470">
            <v>2E-3</v>
          </cell>
          <cell r="D470">
            <v>2975</v>
          </cell>
          <cell r="E470">
            <v>8925</v>
          </cell>
          <cell r="F470">
            <v>4.8000000000000001E-2</v>
          </cell>
        </row>
        <row r="471">
          <cell r="A471" t="str">
            <v>51722-11402400AALF</v>
          </cell>
          <cell r="B471" t="str">
            <v>51722-11402400AALF Connector,PBRAH</v>
          </cell>
          <cell r="C471">
            <v>2E-3</v>
          </cell>
          <cell r="D471">
            <v>2975</v>
          </cell>
          <cell r="E471">
            <v>8925</v>
          </cell>
          <cell r="F471">
            <v>4.8000000000000001E-2</v>
          </cell>
        </row>
        <row r="472">
          <cell r="A472" t="str">
            <v>51722-12001200AALF</v>
          </cell>
          <cell r="B472" t="str">
            <v>51722-12001200AALF Connector,PBRAH</v>
          </cell>
          <cell r="C472">
            <v>6.0000000000000001E-3</v>
          </cell>
          <cell r="D472">
            <v>991.66666666666663</v>
          </cell>
          <cell r="E472">
            <v>2975</v>
          </cell>
          <cell r="F472">
            <v>6.8000000000000005E-2</v>
          </cell>
        </row>
        <row r="473">
          <cell r="A473" t="str">
            <v>51722-12002000ABLF</v>
          </cell>
          <cell r="B473" t="str">
            <v>51722-12002000ABLF Connector,PBRAH</v>
          </cell>
          <cell r="C473">
            <v>3.3E-3</v>
          </cell>
          <cell r="D473">
            <v>1803.030303030303</v>
          </cell>
          <cell r="E473">
            <v>5409.090909090909</v>
          </cell>
          <cell r="F473">
            <v>5.4199999999999998E-2</v>
          </cell>
        </row>
        <row r="474">
          <cell r="A474" t="str">
            <v>51722-B0602400AALF</v>
          </cell>
          <cell r="B474" t="str">
            <v>51722-B0602400AALF Connector,PBRAH</v>
          </cell>
          <cell r="C474">
            <v>1.6000000000000001E-3</v>
          </cell>
          <cell r="D474">
            <v>3718.75</v>
          </cell>
          <cell r="E474">
            <v>11156.25</v>
          </cell>
          <cell r="F474">
            <v>2.9000000000000001E-2</v>
          </cell>
        </row>
        <row r="475">
          <cell r="A475" t="str">
            <v>51723-10200000AALF</v>
          </cell>
          <cell r="B475" t="str">
            <v>51723-10200000AALF Connector,PBRAH</v>
          </cell>
          <cell r="C475">
            <v>6.1000000000000004E-3</v>
          </cell>
          <cell r="D475">
            <v>975.4098360655737</v>
          </cell>
          <cell r="E475">
            <v>2926.2295081967213</v>
          </cell>
          <cell r="F475">
            <v>1.5900000000000001E-2</v>
          </cell>
        </row>
        <row r="476">
          <cell r="A476" t="str">
            <v>51723-10300000AALF</v>
          </cell>
          <cell r="B476" t="str">
            <v>51723-10300000AALF Connector,PBRAH</v>
          </cell>
          <cell r="C476">
            <v>6.1000000000000004E-3</v>
          </cell>
          <cell r="D476">
            <v>975.4098360655737</v>
          </cell>
          <cell r="E476">
            <v>2926.2295081967213</v>
          </cell>
          <cell r="F476">
            <v>1.5900000000000001E-2</v>
          </cell>
        </row>
        <row r="477">
          <cell r="A477" t="str">
            <v>51723-10400000AALF</v>
          </cell>
          <cell r="B477" t="str">
            <v>51723-10400000AALF PwrBlade RAH</v>
          </cell>
          <cell r="C477" t="e">
            <v>#N/A</v>
          </cell>
          <cell r="D477" t="e">
            <v>#N/A</v>
          </cell>
          <cell r="E477" t="e">
            <v>#N/A</v>
          </cell>
          <cell r="F477">
            <v>1.6754393999999999E-2</v>
          </cell>
        </row>
        <row r="478">
          <cell r="A478" t="str">
            <v>51723-10500000AALF</v>
          </cell>
          <cell r="B478" t="str">
            <v>51723-10500000AALF Connector,PBRAH</v>
          </cell>
          <cell r="C478">
            <v>6.1000000000000004E-3</v>
          </cell>
          <cell r="D478">
            <v>975.4098360655737</v>
          </cell>
          <cell r="E478">
            <v>2926.2295081967213</v>
          </cell>
          <cell r="F478">
            <v>2.5000000000000001E-2</v>
          </cell>
        </row>
        <row r="479">
          <cell r="A479" t="str">
            <v>51723-10500000ABLF</v>
          </cell>
          <cell r="B479" t="str">
            <v>51723-10500000ABLF Connector,PBRAH</v>
          </cell>
          <cell r="C479">
            <v>6.1000000000000004E-3</v>
          </cell>
          <cell r="D479">
            <v>975.4098360655737</v>
          </cell>
          <cell r="E479">
            <v>2926.2295081967213</v>
          </cell>
          <cell r="F479">
            <v>2.06E-2</v>
          </cell>
        </row>
        <row r="480">
          <cell r="A480" t="str">
            <v>51723-10600000AALF</v>
          </cell>
          <cell r="B480" t="str">
            <v>51723-10600000AALF Connector,PBRAH</v>
          </cell>
          <cell r="C480">
            <v>6.1000000000000004E-3</v>
          </cell>
          <cell r="D480">
            <v>975.4098360655737</v>
          </cell>
          <cell r="E480">
            <v>2926.2295081967213</v>
          </cell>
          <cell r="F480">
            <v>1.9599999999999999E-2</v>
          </cell>
        </row>
        <row r="481">
          <cell r="A481" t="str">
            <v>51723-10600000ABLF</v>
          </cell>
          <cell r="B481" t="str">
            <v>51723-10600000ABLF PwrBlade RAH</v>
          </cell>
          <cell r="C481">
            <v>6.1000000000000004E-3</v>
          </cell>
          <cell r="D481">
            <v>975.4098360655737</v>
          </cell>
          <cell r="E481">
            <v>2926.2295081967213</v>
          </cell>
          <cell r="F481">
            <v>1.8700000000000001E-2</v>
          </cell>
        </row>
        <row r="482">
          <cell r="A482" t="str">
            <v>51723-10700000AALF</v>
          </cell>
          <cell r="B482" t="str">
            <v>51723-10700000AALF Connector,PBRAH</v>
          </cell>
          <cell r="C482">
            <v>6.1000000000000004E-3</v>
          </cell>
          <cell r="D482">
            <v>975.4098360655737</v>
          </cell>
          <cell r="E482">
            <v>2926.2295081967213</v>
          </cell>
          <cell r="F482">
            <v>2.3400000000000001E-2</v>
          </cell>
        </row>
        <row r="483">
          <cell r="A483" t="str">
            <v>51723-10700000ABLF</v>
          </cell>
          <cell r="B483" t="str">
            <v>51723-10700000ABLF Connector,PBRAH</v>
          </cell>
          <cell r="C483">
            <v>6.1000000000000004E-3</v>
          </cell>
          <cell r="D483">
            <v>975.4098360655737</v>
          </cell>
          <cell r="E483">
            <v>2926.2295081967213</v>
          </cell>
          <cell r="F483">
            <v>2.1499999999999998E-2</v>
          </cell>
        </row>
        <row r="484">
          <cell r="A484" t="str">
            <v>51723-10700000CBLF</v>
          </cell>
          <cell r="B484" t="str">
            <v>51723-10700000CBLF Connector,PBRAH</v>
          </cell>
          <cell r="C484">
            <v>6.1000000000000004E-3</v>
          </cell>
          <cell r="D484">
            <v>975.4098360655737</v>
          </cell>
          <cell r="E484">
            <v>2926.2295081967213</v>
          </cell>
          <cell r="F484">
            <v>2.23E-2</v>
          </cell>
        </row>
        <row r="485">
          <cell r="A485" t="str">
            <v>51723-10800000AALF</v>
          </cell>
          <cell r="B485" t="str">
            <v>51723-10800000AALF Connector,PBRAH</v>
          </cell>
          <cell r="C485">
            <v>6.1000000000000004E-3</v>
          </cell>
          <cell r="D485">
            <v>975.4098360655737</v>
          </cell>
          <cell r="E485">
            <v>2926.2295081967213</v>
          </cell>
          <cell r="F485">
            <v>2.1499999999999998E-2</v>
          </cell>
        </row>
        <row r="486">
          <cell r="A486" t="str">
            <v>51723-10800000ABLF</v>
          </cell>
          <cell r="B486" t="str">
            <v>51723-10800000ABLF Connector,PBRAH</v>
          </cell>
          <cell r="C486">
            <v>6.1000000000000004E-3</v>
          </cell>
          <cell r="D486">
            <v>975.4098360655737</v>
          </cell>
          <cell r="E486">
            <v>2926.2295081967213</v>
          </cell>
          <cell r="F486">
            <v>1.9599999999999999E-2</v>
          </cell>
        </row>
        <row r="487">
          <cell r="A487" t="str">
            <v>51723-10800000CBLF</v>
          </cell>
          <cell r="B487" t="str">
            <v>51723-10800000CBLF Connector,PBRAH</v>
          </cell>
          <cell r="C487">
            <v>6.1000000000000004E-3</v>
          </cell>
          <cell r="D487">
            <v>975.4098360655737</v>
          </cell>
          <cell r="E487">
            <v>2926.2295081967213</v>
          </cell>
          <cell r="F487">
            <v>1.9599999999999999E-2</v>
          </cell>
        </row>
        <row r="488">
          <cell r="A488" t="str">
            <v>51723-10900000AALF</v>
          </cell>
          <cell r="B488" t="str">
            <v>51723-10900000AALF Connector,PBRAH</v>
          </cell>
          <cell r="C488">
            <v>6.1000000000000004E-3</v>
          </cell>
          <cell r="D488">
            <v>975.4098360655737</v>
          </cell>
          <cell r="E488">
            <v>2926.2295081967213</v>
          </cell>
          <cell r="F488">
            <v>2.4299999999999999E-2</v>
          </cell>
        </row>
        <row r="489">
          <cell r="A489" t="str">
            <v>51723-10900000ABLF</v>
          </cell>
          <cell r="B489" t="str">
            <v>51723-10900000ABLF Connector,PBRAH</v>
          </cell>
          <cell r="C489">
            <v>6.1000000000000004E-3</v>
          </cell>
          <cell r="D489">
            <v>975.4098360655737</v>
          </cell>
          <cell r="E489">
            <v>2926.2295081967213</v>
          </cell>
          <cell r="F489">
            <v>2.4299999999999999E-2</v>
          </cell>
        </row>
        <row r="490">
          <cell r="A490" t="str">
            <v>51723-11000000AALF</v>
          </cell>
          <cell r="B490" t="str">
            <v>51723-11000000AALF Connector,PBRAH</v>
          </cell>
          <cell r="C490">
            <v>6.1000000000000004E-3</v>
          </cell>
          <cell r="D490">
            <v>975.4098360655737</v>
          </cell>
          <cell r="E490">
            <v>2926.2295081967213</v>
          </cell>
          <cell r="F490">
            <v>2.3400000000000001E-2</v>
          </cell>
        </row>
        <row r="491">
          <cell r="A491" t="str">
            <v>51723-11000000ABLF</v>
          </cell>
          <cell r="B491" t="str">
            <v>51723-11000000ABLF Connector,PBRAH</v>
          </cell>
          <cell r="C491">
            <v>6.1000000000000004E-3</v>
          </cell>
          <cell r="D491">
            <v>975.4098360655737</v>
          </cell>
          <cell r="E491">
            <v>2926.2295081967213</v>
          </cell>
          <cell r="F491">
            <v>2.3E-2</v>
          </cell>
        </row>
        <row r="492">
          <cell r="A492" t="str">
            <v>51723-11100000AALF</v>
          </cell>
          <cell r="B492" t="str">
            <v>51723-11100000AALF Connector,PBRAH</v>
          </cell>
          <cell r="C492">
            <v>6.1000000000000004E-3</v>
          </cell>
          <cell r="D492">
            <v>975.4098360655737</v>
          </cell>
          <cell r="E492">
            <v>2926.2295081967213</v>
          </cell>
          <cell r="F492">
            <v>2.7E-2</v>
          </cell>
        </row>
        <row r="493">
          <cell r="A493" t="str">
            <v>51723-11200000ABLF</v>
          </cell>
          <cell r="B493" t="str">
            <v>51723-11200000ABLF PwrBlade RAH STB</v>
          </cell>
          <cell r="C493">
            <v>6.1000000000000004E-3</v>
          </cell>
          <cell r="D493">
            <v>975.4098360655737</v>
          </cell>
          <cell r="E493">
            <v>2926.2295081967213</v>
          </cell>
          <cell r="F493">
            <v>2.8000000000000001E-2</v>
          </cell>
        </row>
        <row r="494">
          <cell r="A494" t="str">
            <v>51723-11600000AALF</v>
          </cell>
          <cell r="B494" t="str">
            <v>51723-11600000AALF Connector,PBRAH</v>
          </cell>
          <cell r="C494">
            <v>6.1000000000000004E-3</v>
          </cell>
          <cell r="D494">
            <v>975.4098360655737</v>
          </cell>
          <cell r="E494">
            <v>2926.2295081967213</v>
          </cell>
          <cell r="F494">
            <v>0.04</v>
          </cell>
        </row>
        <row r="495">
          <cell r="A495" t="str">
            <v>51724-10100801A0LF</v>
          </cell>
          <cell r="B495" t="str">
            <v>51724-10100801A0LF Connector,PBRAR</v>
          </cell>
          <cell r="C495">
            <v>2E-3</v>
          </cell>
          <cell r="D495">
            <v>2975</v>
          </cell>
          <cell r="E495">
            <v>8925</v>
          </cell>
          <cell r="F495">
            <v>2.5999999999999999E-2</v>
          </cell>
        </row>
        <row r="496">
          <cell r="A496" t="str">
            <v>51724-10102401A0LF</v>
          </cell>
          <cell r="B496" t="str">
            <v>51724-10102401A0LF Connector,PBRAR</v>
          </cell>
          <cell r="C496">
            <v>1.9E-3</v>
          </cell>
          <cell r="D496">
            <v>3131.5789473684213</v>
          </cell>
          <cell r="E496">
            <v>9394.7368421052633</v>
          </cell>
          <cell r="F496">
            <v>2.4299999999999999E-2</v>
          </cell>
        </row>
        <row r="497">
          <cell r="A497" t="str">
            <v>51724-10104001A0LF</v>
          </cell>
          <cell r="B497" t="str">
            <v>51724-10104001A0LF Connector,PBRAR</v>
          </cell>
          <cell r="C497">
            <v>2E-3</v>
          </cell>
          <cell r="D497">
            <v>2975</v>
          </cell>
          <cell r="E497">
            <v>8925</v>
          </cell>
          <cell r="F497">
            <v>2.5999999999999999E-2</v>
          </cell>
        </row>
        <row r="498">
          <cell r="A498" t="str">
            <v>51724-10301203A0LF</v>
          </cell>
          <cell r="B498" t="str">
            <v>51724-10301203A0LF Connector,PBRAR</v>
          </cell>
          <cell r="C498">
            <v>1.6000000000000001E-3</v>
          </cell>
          <cell r="D498">
            <v>3718.75</v>
          </cell>
          <cell r="E498">
            <v>11156.25</v>
          </cell>
          <cell r="F498">
            <v>2.7099999999999999E-2</v>
          </cell>
        </row>
        <row r="499">
          <cell r="A499" t="str">
            <v>51724-10301608A0LF</v>
          </cell>
          <cell r="B499" t="str">
            <v>51724-10301608A0LF Connector,PBRAR</v>
          </cell>
          <cell r="C499">
            <v>2E-3</v>
          </cell>
          <cell r="D499">
            <v>2975</v>
          </cell>
          <cell r="E499">
            <v>8925</v>
          </cell>
          <cell r="F499">
            <v>3.5999999999999997E-2</v>
          </cell>
        </row>
        <row r="500">
          <cell r="A500" t="str">
            <v>51724-10301611A0LF</v>
          </cell>
          <cell r="B500" t="str">
            <v>51724-10301611A0LF Connector,PBRAR</v>
          </cell>
          <cell r="C500">
            <v>2E-3</v>
          </cell>
          <cell r="D500">
            <v>2975</v>
          </cell>
          <cell r="E500">
            <v>8925</v>
          </cell>
          <cell r="F500">
            <v>4.4999999999999998E-2</v>
          </cell>
        </row>
        <row r="501">
          <cell r="A501" t="str">
            <v>51724-10501204A0LF</v>
          </cell>
          <cell r="B501" t="str">
            <v>51724-10501204A0LF Connector,PBRAR</v>
          </cell>
          <cell r="C501">
            <v>1.6000000000000001E-3</v>
          </cell>
          <cell r="D501">
            <v>3718.75</v>
          </cell>
          <cell r="E501">
            <v>11156.25</v>
          </cell>
          <cell r="F501">
            <v>3.27E-2</v>
          </cell>
        </row>
        <row r="502">
          <cell r="A502" t="str">
            <v>51724-10601204A0LF</v>
          </cell>
          <cell r="B502" t="str">
            <v>51724-10601204A0LF Connector,PBRAR</v>
          </cell>
          <cell r="C502">
            <v>1.6000000000000001E-3</v>
          </cell>
          <cell r="D502">
            <v>3718.75</v>
          </cell>
          <cell r="E502">
            <v>11156.25</v>
          </cell>
          <cell r="F502">
            <v>2.9899999999999999E-2</v>
          </cell>
        </row>
        <row r="503">
          <cell r="A503" t="str">
            <v>51724-10601603A0LF</v>
          </cell>
          <cell r="B503" t="str">
            <v>51724-10601603A0LF Connector,PBRAR</v>
          </cell>
          <cell r="C503">
            <v>1.6000000000000001E-3</v>
          </cell>
          <cell r="D503">
            <v>3718.75</v>
          </cell>
          <cell r="E503">
            <v>11156.25</v>
          </cell>
          <cell r="F503">
            <v>3.27E-2</v>
          </cell>
        </row>
        <row r="504">
          <cell r="A504" t="str">
            <v>51725-10000808A0LF</v>
          </cell>
          <cell r="B504" t="str">
            <v>51725-10000808A0LF Connector,PBRAH</v>
          </cell>
          <cell r="C504">
            <v>1.6000000000000001E-3</v>
          </cell>
          <cell r="D504">
            <v>3718.75</v>
          </cell>
          <cell r="E504">
            <v>11156.25</v>
          </cell>
          <cell r="F504">
            <v>2.9000000000000001E-2</v>
          </cell>
        </row>
        <row r="505">
          <cell r="A505" t="str">
            <v>51726-10200800A0LF</v>
          </cell>
          <cell r="B505" t="str">
            <v>51726-10200800A0LF Connector,PBRAR</v>
          </cell>
          <cell r="C505">
            <v>1.6000000000000001E-3</v>
          </cell>
          <cell r="D505">
            <v>3718.75</v>
          </cell>
          <cell r="E505">
            <v>11156.25</v>
          </cell>
          <cell r="F505">
            <v>2.4299999999999999E-2</v>
          </cell>
        </row>
        <row r="506">
          <cell r="A506" t="str">
            <v>51726-10201600A0LF</v>
          </cell>
          <cell r="B506" t="str">
            <v>51726-10201600A0LF PwrBlade RAH</v>
          </cell>
          <cell r="C506">
            <v>1.6000000000000001E-3</v>
          </cell>
          <cell r="D506">
            <v>3718.75</v>
          </cell>
          <cell r="E506">
            <v>11156.25</v>
          </cell>
          <cell r="F506">
            <v>2.01E-2</v>
          </cell>
        </row>
        <row r="507">
          <cell r="A507" t="str">
            <v>51726-10300800A0LF</v>
          </cell>
          <cell r="B507" t="str">
            <v>51726-10300800A0LF Connector,PBRAR</v>
          </cell>
          <cell r="C507">
            <v>1.9E-3</v>
          </cell>
          <cell r="D507">
            <v>3131.5789473684213</v>
          </cell>
          <cell r="E507">
            <v>9394.7368421052633</v>
          </cell>
          <cell r="F507">
            <v>5.2999999999999999E-2</v>
          </cell>
        </row>
        <row r="508">
          <cell r="A508" t="str">
            <v>51726-10402400A0LF</v>
          </cell>
          <cell r="B508" t="str">
            <v>51726-10402400A0LF Connector,PBRAR</v>
          </cell>
          <cell r="C508">
            <v>1.6000000000000001E-3</v>
          </cell>
          <cell r="D508">
            <v>3718.75</v>
          </cell>
          <cell r="E508">
            <v>11156.25</v>
          </cell>
          <cell r="F508">
            <v>2.52E-2</v>
          </cell>
        </row>
        <row r="509">
          <cell r="A509" t="str">
            <v>51726-10505200A0LF</v>
          </cell>
          <cell r="B509" t="str">
            <v>51726-10505200A0LF Connector,PBRAR</v>
          </cell>
          <cell r="C509">
            <v>1.6000000000000001E-3</v>
          </cell>
          <cell r="D509">
            <v>3718.75</v>
          </cell>
          <cell r="E509">
            <v>11156.25</v>
          </cell>
          <cell r="F509">
            <v>3.1800000000000002E-2</v>
          </cell>
        </row>
        <row r="510">
          <cell r="A510" t="str">
            <v>51726-11001200A0LF</v>
          </cell>
          <cell r="B510" t="str">
            <v>51726-11001200A0LF Connector,PBRAR</v>
          </cell>
          <cell r="C510">
            <v>1.6000000000000001E-3</v>
          </cell>
          <cell r="D510">
            <v>3718.75</v>
          </cell>
          <cell r="E510">
            <v>11156.25</v>
          </cell>
          <cell r="F510">
            <v>2.9899999999999999E-2</v>
          </cell>
        </row>
        <row r="511">
          <cell r="A511" t="str">
            <v>51726-11301200A0LF</v>
          </cell>
          <cell r="B511" t="str">
            <v>51726-11301200A0LF Connector,PBRAR</v>
          </cell>
          <cell r="C511">
            <v>2E-3</v>
          </cell>
          <cell r="D511">
            <v>2975</v>
          </cell>
          <cell r="E511">
            <v>8925</v>
          </cell>
          <cell r="F511">
            <v>4.2000000000000003E-2</v>
          </cell>
        </row>
        <row r="512">
          <cell r="A512" t="str">
            <v>51727-10200000A0LF</v>
          </cell>
          <cell r="B512" t="str">
            <v>51727-10200000A0LF Connector,PBRAH</v>
          </cell>
          <cell r="C512">
            <v>6.1000000000000004E-3</v>
          </cell>
          <cell r="D512">
            <v>975.4098360655737</v>
          </cell>
          <cell r="E512">
            <v>2926.2295081967213</v>
          </cell>
          <cell r="F512">
            <v>1.4E-2</v>
          </cell>
        </row>
        <row r="513">
          <cell r="A513" t="str">
            <v>51727-10400000A0LF</v>
          </cell>
          <cell r="B513" t="str">
            <v>51727-10400000A0LF PwrBlade RAH</v>
          </cell>
          <cell r="C513" t="e">
            <v>#N/A</v>
          </cell>
          <cell r="D513" t="e">
            <v>#N/A</v>
          </cell>
          <cell r="E513" t="e">
            <v>#N/A</v>
          </cell>
          <cell r="F513">
            <v>1.6799999999999999E-2</v>
          </cell>
        </row>
        <row r="514">
          <cell r="A514" t="str">
            <v>51727-10900000A0LF</v>
          </cell>
          <cell r="B514" t="str">
            <v>51727-10900000A0LF Connector,PBRAH</v>
          </cell>
          <cell r="C514">
            <v>6.1000000000000004E-3</v>
          </cell>
          <cell r="D514">
            <v>975.4098360655737</v>
          </cell>
          <cell r="E514">
            <v>2926.2295081967213</v>
          </cell>
          <cell r="F514">
            <v>2.24E-2</v>
          </cell>
        </row>
        <row r="515">
          <cell r="A515" t="str">
            <v>51727-10900000C0LF</v>
          </cell>
          <cell r="B515" t="str">
            <v>51727-10900000C0LF PwrBlade RAH PF</v>
          </cell>
          <cell r="C515" t="e">
            <v>#N/A</v>
          </cell>
          <cell r="D515" t="e">
            <v>#N/A</v>
          </cell>
          <cell r="E515" t="e">
            <v>#N/A</v>
          </cell>
          <cell r="F515">
            <v>1.3708140000000001E-2</v>
          </cell>
        </row>
        <row r="516">
          <cell r="A516" t="str">
            <v>51727-11100000A0LF</v>
          </cell>
          <cell r="B516" t="str">
            <v>51727-11100000A0LF Connector,PBRAH</v>
          </cell>
          <cell r="C516">
            <v>6.1000000000000004E-3</v>
          </cell>
          <cell r="D516">
            <v>975.4098360655737</v>
          </cell>
          <cell r="E516">
            <v>2926.2295081967213</v>
          </cell>
          <cell r="F516">
            <v>2.3400000000000001E-2</v>
          </cell>
        </row>
        <row r="517">
          <cell r="A517" t="str">
            <v>51730-001LF</v>
          </cell>
          <cell r="B517" t="str">
            <v>51730-001LF Connector,PBRAH</v>
          </cell>
          <cell r="C517">
            <v>1.6000000000000001E-3</v>
          </cell>
          <cell r="D517">
            <v>3718.75</v>
          </cell>
          <cell r="E517">
            <v>11156.25</v>
          </cell>
          <cell r="F517">
            <v>2.9899999999999999E-2</v>
          </cell>
        </row>
        <row r="518">
          <cell r="A518" t="str">
            <v>51730-006LF</v>
          </cell>
          <cell r="B518" t="str">
            <v>51730-006LF Connector,PBRAH</v>
          </cell>
          <cell r="C518">
            <v>2.0999999999999999E-3</v>
          </cell>
          <cell r="D518">
            <v>2833.3333333333335</v>
          </cell>
          <cell r="E518">
            <v>8500</v>
          </cell>
          <cell r="F518">
            <v>4.1200000000000001E-2</v>
          </cell>
        </row>
        <row r="519">
          <cell r="A519" t="str">
            <v>51730-007LF</v>
          </cell>
          <cell r="B519" t="str">
            <v>51730-007LF Connector,PBRAH</v>
          </cell>
          <cell r="C519">
            <v>2.0999999999999999E-3</v>
          </cell>
          <cell r="D519">
            <v>2833.3333333333335</v>
          </cell>
          <cell r="E519">
            <v>8500</v>
          </cell>
          <cell r="F519">
            <v>4.2999999999999997E-2</v>
          </cell>
        </row>
        <row r="520">
          <cell r="A520" t="str">
            <v>51730-010LF</v>
          </cell>
          <cell r="B520" t="str">
            <v>51730-010LF Connector,PBRAH</v>
          </cell>
          <cell r="C520">
            <v>1.9E-3</v>
          </cell>
          <cell r="D520">
            <v>3131.5789473684213</v>
          </cell>
          <cell r="E520">
            <v>9394.7368421052633</v>
          </cell>
          <cell r="F520">
            <v>3.4599999999999999E-2</v>
          </cell>
        </row>
        <row r="521">
          <cell r="A521" t="str">
            <v>51730-012LF</v>
          </cell>
          <cell r="B521" t="str">
            <v>51730-012LF Connector,PBRAH</v>
          </cell>
          <cell r="C521">
            <v>3.3E-3</v>
          </cell>
          <cell r="D521">
            <v>1803.030303030303</v>
          </cell>
          <cell r="E521">
            <v>5409.090909090909</v>
          </cell>
          <cell r="F521">
            <v>3.7999999999999999E-2</v>
          </cell>
        </row>
        <row r="522">
          <cell r="A522" t="str">
            <v>51730-014LF</v>
          </cell>
          <cell r="B522" t="str">
            <v>51730-014LF Connector,PBRAH</v>
          </cell>
          <cell r="C522">
            <v>1.6000000000000001E-3</v>
          </cell>
          <cell r="D522">
            <v>3718.75</v>
          </cell>
          <cell r="E522">
            <v>11156.25</v>
          </cell>
          <cell r="F522">
            <v>2.1999999999999999E-2</v>
          </cell>
        </row>
        <row r="523">
          <cell r="A523" t="str">
            <v>51730-016THDLF</v>
          </cell>
          <cell r="B523" t="str">
            <v>51730-016THDLF Connector,PBRAH</v>
          </cell>
          <cell r="C523">
            <v>1.9E-3</v>
          </cell>
          <cell r="D523">
            <v>3131.5789473684213</v>
          </cell>
          <cell r="E523">
            <v>9394.7368421052633</v>
          </cell>
          <cell r="F523">
            <v>1.38E-2</v>
          </cell>
        </row>
        <row r="524">
          <cell r="A524" t="str">
            <v>51730-019LF</v>
          </cell>
          <cell r="B524" t="str">
            <v>51730-019LF PwrBlade RAH</v>
          </cell>
          <cell r="C524">
            <v>1.9E-3</v>
          </cell>
          <cell r="D524">
            <v>3131.5789473684213</v>
          </cell>
          <cell r="E524">
            <v>9394.7368421052633</v>
          </cell>
          <cell r="F524">
            <v>1.0834007E-2</v>
          </cell>
        </row>
        <row r="525">
          <cell r="A525" t="str">
            <v>51730-023LF</v>
          </cell>
          <cell r="B525" t="str">
            <v>51730-023LF Connector,PBRAH</v>
          </cell>
          <cell r="C525">
            <v>1.9E-3</v>
          </cell>
          <cell r="D525">
            <v>3131.5789473684213</v>
          </cell>
          <cell r="E525">
            <v>9394.7368421052633</v>
          </cell>
          <cell r="F525">
            <v>2.9000000000000001E-2</v>
          </cell>
        </row>
        <row r="526">
          <cell r="A526" t="str">
            <v>51730-024LF</v>
          </cell>
          <cell r="B526" t="str">
            <v>51730-024LF Connector,PBRAH</v>
          </cell>
          <cell r="C526">
            <v>1.9E-3</v>
          </cell>
          <cell r="D526">
            <v>3131.5789473684213</v>
          </cell>
          <cell r="E526">
            <v>9394.7368421052633</v>
          </cell>
          <cell r="F526">
            <v>1.6799999999999999E-2</v>
          </cell>
        </row>
        <row r="527">
          <cell r="A527" t="str">
            <v>51730-031LF</v>
          </cell>
          <cell r="B527" t="str">
            <v>51730-031LF Connector,PBRAH</v>
          </cell>
          <cell r="C527">
            <v>1.6000000000000001E-3</v>
          </cell>
          <cell r="D527">
            <v>3718.75</v>
          </cell>
          <cell r="E527">
            <v>11156.25</v>
          </cell>
          <cell r="F527">
            <v>2.6200000000000001E-2</v>
          </cell>
        </row>
        <row r="528">
          <cell r="A528" t="str">
            <v>51730-032LF</v>
          </cell>
          <cell r="B528" t="str">
            <v>51730-032LF Connector,PBRAH</v>
          </cell>
          <cell r="C528">
            <v>1.6000000000000001E-3</v>
          </cell>
          <cell r="D528">
            <v>3718.75</v>
          </cell>
          <cell r="E528">
            <v>11156.25</v>
          </cell>
          <cell r="F528">
            <v>2.9000000000000001E-2</v>
          </cell>
        </row>
        <row r="529">
          <cell r="A529" t="str">
            <v>51730-033LF</v>
          </cell>
          <cell r="B529" t="str">
            <v>51730-033LF Connector,PBRAH</v>
          </cell>
          <cell r="C529">
            <v>1.6000000000000001E-3</v>
          </cell>
          <cell r="D529">
            <v>3718.75</v>
          </cell>
          <cell r="E529">
            <v>11156.25</v>
          </cell>
          <cell r="F529">
            <v>2.9000000000000001E-2</v>
          </cell>
        </row>
        <row r="530">
          <cell r="A530" t="str">
            <v>51730-034LF</v>
          </cell>
          <cell r="B530" t="str">
            <v>51730-034LF PwrBlade RAH</v>
          </cell>
          <cell r="C530">
            <v>1.6000000000000001E-3</v>
          </cell>
          <cell r="D530">
            <v>3718.75</v>
          </cell>
          <cell r="E530">
            <v>11156.25</v>
          </cell>
          <cell r="F530">
            <v>2.9000000000000001E-2</v>
          </cell>
        </row>
        <row r="531">
          <cell r="A531" t="str">
            <v>51730-038LF</v>
          </cell>
          <cell r="B531" t="str">
            <v>51730-038LF Connector,PBRAH</v>
          </cell>
          <cell r="C531">
            <v>2E-3</v>
          </cell>
          <cell r="D531">
            <v>2975</v>
          </cell>
          <cell r="E531">
            <v>8925</v>
          </cell>
          <cell r="F531">
            <v>4.3999999999999997E-2</v>
          </cell>
        </row>
        <row r="532">
          <cell r="A532" t="str">
            <v>51730-042LF</v>
          </cell>
          <cell r="B532" t="str">
            <v>51730-042LF Connector,PBRAH</v>
          </cell>
          <cell r="C532">
            <v>1.6000000000000001E-3</v>
          </cell>
          <cell r="D532">
            <v>3718.75</v>
          </cell>
          <cell r="E532">
            <v>11156.25</v>
          </cell>
          <cell r="F532">
            <v>2.3800000000000002E-2</v>
          </cell>
        </row>
        <row r="533">
          <cell r="A533" t="str">
            <v>51730-043LF</v>
          </cell>
          <cell r="B533" t="str">
            <v>51730-043LF Connector,PBRAH</v>
          </cell>
          <cell r="C533">
            <v>1.6000000000000001E-3</v>
          </cell>
          <cell r="D533">
            <v>3718.75</v>
          </cell>
          <cell r="E533">
            <v>11156.25</v>
          </cell>
          <cell r="F533">
            <v>2.52E-2</v>
          </cell>
        </row>
        <row r="534">
          <cell r="A534" t="str">
            <v>51730-048LF</v>
          </cell>
          <cell r="B534" t="str">
            <v>51730-048LF PwrBlade RAH</v>
          </cell>
          <cell r="C534">
            <v>2.0999999999999999E-3</v>
          </cell>
          <cell r="D534">
            <v>2833.3333333333335</v>
          </cell>
          <cell r="E534">
            <v>8500</v>
          </cell>
          <cell r="F534">
            <v>4.41E-2</v>
          </cell>
        </row>
        <row r="535">
          <cell r="A535" t="str">
            <v>51730-049LF</v>
          </cell>
          <cell r="B535" t="str">
            <v>51730-049LF Connector,PBRAH</v>
          </cell>
          <cell r="C535">
            <v>2E-3</v>
          </cell>
          <cell r="D535">
            <v>2975</v>
          </cell>
          <cell r="E535">
            <v>8925</v>
          </cell>
          <cell r="F535">
            <v>3.1E-2</v>
          </cell>
        </row>
        <row r="536">
          <cell r="A536" t="str">
            <v>51730-054LF</v>
          </cell>
          <cell r="B536" t="str">
            <v>51730-054LF Connector,PBRAH</v>
          </cell>
          <cell r="C536">
            <v>1.6000000000000001E-3</v>
          </cell>
          <cell r="D536">
            <v>3718.75</v>
          </cell>
          <cell r="E536">
            <v>11156.25</v>
          </cell>
          <cell r="F536">
            <v>3.1800000000000002E-2</v>
          </cell>
        </row>
        <row r="537">
          <cell r="A537" t="str">
            <v>51730-062LF</v>
          </cell>
          <cell r="B537" t="str">
            <v>51730-062LF Connector,PBRAH</v>
          </cell>
          <cell r="C537">
            <v>1.9E-3</v>
          </cell>
          <cell r="D537">
            <v>3131.5789473684213</v>
          </cell>
          <cell r="E537">
            <v>9394.7368421052633</v>
          </cell>
          <cell r="F537">
            <v>1.4800000000000001E-2</v>
          </cell>
        </row>
        <row r="538">
          <cell r="A538" t="str">
            <v>51730-067LF</v>
          </cell>
          <cell r="B538" t="str">
            <v>51730-067LF Connector,PBRAH</v>
          </cell>
          <cell r="C538">
            <v>1.6000000000000001E-3</v>
          </cell>
          <cell r="D538">
            <v>3718.75</v>
          </cell>
          <cell r="E538">
            <v>11156.25</v>
          </cell>
          <cell r="F538">
            <v>2.7099999999999999E-2</v>
          </cell>
        </row>
        <row r="539">
          <cell r="A539" t="str">
            <v>51730-070LF</v>
          </cell>
          <cell r="B539" t="str">
            <v>51730-070LF Connector,PBRAH</v>
          </cell>
          <cell r="C539">
            <v>1.6000000000000001E-3</v>
          </cell>
          <cell r="D539">
            <v>3718.75</v>
          </cell>
          <cell r="E539">
            <v>11156.25</v>
          </cell>
          <cell r="F539">
            <v>2.7099999999999999E-2</v>
          </cell>
        </row>
        <row r="540">
          <cell r="A540" t="str">
            <v>51730-071LF</v>
          </cell>
          <cell r="B540" t="str">
            <v>51730-071LF Connector,PBRAH</v>
          </cell>
          <cell r="C540">
            <v>2.0999999999999999E-3</v>
          </cell>
          <cell r="D540">
            <v>2833.3333333333335</v>
          </cell>
          <cell r="E540">
            <v>8500</v>
          </cell>
          <cell r="F540">
            <v>3.6499999999999998E-2</v>
          </cell>
        </row>
        <row r="541">
          <cell r="A541" t="str">
            <v>51730-072LF</v>
          </cell>
          <cell r="B541" t="str">
            <v>51730-072LF Connector,PBRAH</v>
          </cell>
          <cell r="C541">
            <v>1.6000000000000001E-3</v>
          </cell>
          <cell r="D541">
            <v>3718.75</v>
          </cell>
          <cell r="E541">
            <v>11156.25</v>
          </cell>
          <cell r="F541">
            <v>2.7099999999999999E-2</v>
          </cell>
        </row>
        <row r="542">
          <cell r="A542" t="str">
            <v>51730-073LF</v>
          </cell>
          <cell r="B542" t="str">
            <v>51730-073LF Connector,PBRAH</v>
          </cell>
          <cell r="C542">
            <v>1.9E-3</v>
          </cell>
          <cell r="D542">
            <v>3131.5789473684213</v>
          </cell>
          <cell r="E542">
            <v>9394.7368421052633</v>
          </cell>
          <cell r="F542">
            <v>1.7899999999999999E-2</v>
          </cell>
        </row>
        <row r="543">
          <cell r="A543" t="str">
            <v>51730-075LF</v>
          </cell>
          <cell r="B543" t="str">
            <v>51730-075LF Connector,PBRAH</v>
          </cell>
          <cell r="C543">
            <v>1.6000000000000001E-3</v>
          </cell>
          <cell r="D543">
            <v>3718.75</v>
          </cell>
          <cell r="E543">
            <v>11156.25</v>
          </cell>
          <cell r="F543">
            <v>2.7099999999999999E-2</v>
          </cell>
        </row>
        <row r="544">
          <cell r="A544" t="str">
            <v>51730-076LF</v>
          </cell>
          <cell r="B544" t="str">
            <v>51730-076LF Connector,PBRAH</v>
          </cell>
          <cell r="C544">
            <v>2.0999999999999999E-3</v>
          </cell>
          <cell r="D544">
            <v>2833.3333333333335</v>
          </cell>
          <cell r="E544">
            <v>8500</v>
          </cell>
          <cell r="F544">
            <v>3.8600000000000002E-2</v>
          </cell>
        </row>
        <row r="545">
          <cell r="A545" t="str">
            <v>51730-079LF</v>
          </cell>
          <cell r="B545" t="str">
            <v>51730-079LF Connector,PBRAH</v>
          </cell>
          <cell r="C545">
            <v>1.6000000000000001E-3</v>
          </cell>
          <cell r="D545">
            <v>3718.75</v>
          </cell>
          <cell r="E545">
            <v>11156.25</v>
          </cell>
          <cell r="F545">
            <v>2.9000000000000001E-2</v>
          </cell>
        </row>
        <row r="546">
          <cell r="A546" t="str">
            <v>51730-080LF</v>
          </cell>
          <cell r="B546" t="str">
            <v>51730-080LF Connector,PBRAH</v>
          </cell>
          <cell r="C546">
            <v>2.0999999999999999E-3</v>
          </cell>
          <cell r="D546">
            <v>2833.3333333333335</v>
          </cell>
          <cell r="E546">
            <v>8500</v>
          </cell>
          <cell r="F546">
            <v>4.4900000000000002E-2</v>
          </cell>
        </row>
        <row r="547">
          <cell r="A547" t="str">
            <v>51730-083LF</v>
          </cell>
          <cell r="B547" t="str">
            <v>51730-083LF Connector,PBRAH</v>
          </cell>
          <cell r="C547">
            <v>1.6000000000000001E-3</v>
          </cell>
          <cell r="D547">
            <v>3718.75</v>
          </cell>
          <cell r="E547">
            <v>11156.25</v>
          </cell>
          <cell r="F547">
            <v>2.6200000000000001E-2</v>
          </cell>
        </row>
        <row r="548">
          <cell r="A548" t="str">
            <v>51730-085LF</v>
          </cell>
          <cell r="B548" t="str">
            <v>51730-085LF Connector,PBRAH</v>
          </cell>
          <cell r="C548">
            <v>2.0999999999999999E-3</v>
          </cell>
          <cell r="D548">
            <v>2833.3333333333335</v>
          </cell>
          <cell r="E548">
            <v>8500</v>
          </cell>
          <cell r="F548">
            <v>3.9300000000000002E-2</v>
          </cell>
        </row>
        <row r="549">
          <cell r="A549" t="str">
            <v>51730-087LF</v>
          </cell>
          <cell r="B549" t="str">
            <v>51730-087LF Connector,PBRAH</v>
          </cell>
          <cell r="C549">
            <v>1.6000000000000001E-3</v>
          </cell>
          <cell r="D549">
            <v>3718.75</v>
          </cell>
          <cell r="E549">
            <v>11156.25</v>
          </cell>
          <cell r="F549">
            <v>2.7099999999999999E-2</v>
          </cell>
        </row>
        <row r="550">
          <cell r="A550" t="str">
            <v>51730-090LF</v>
          </cell>
          <cell r="B550" t="str">
            <v>51730-090LF Connector,PBRAH</v>
          </cell>
          <cell r="C550">
            <v>1.6000000000000001E-3</v>
          </cell>
          <cell r="D550">
            <v>3718.75</v>
          </cell>
          <cell r="E550">
            <v>11156.25</v>
          </cell>
          <cell r="F550">
            <v>3.1800000000000002E-2</v>
          </cell>
        </row>
        <row r="551">
          <cell r="A551" t="str">
            <v>51730-094LF</v>
          </cell>
          <cell r="B551" t="str">
            <v>51730-094LF Connector,PBRAH</v>
          </cell>
          <cell r="C551">
            <v>1.9E-3</v>
          </cell>
          <cell r="D551">
            <v>3131.5789473684213</v>
          </cell>
          <cell r="E551">
            <v>9394.7368421052633</v>
          </cell>
          <cell r="F551">
            <v>2.29E-2</v>
          </cell>
        </row>
        <row r="552">
          <cell r="A552" t="str">
            <v>51730-095LF</v>
          </cell>
          <cell r="B552" t="str">
            <v>51730-095LF Connector,PBRAH</v>
          </cell>
          <cell r="C552">
            <v>1.6000000000000001E-3</v>
          </cell>
          <cell r="D552">
            <v>3718.75</v>
          </cell>
          <cell r="E552">
            <v>11156.25</v>
          </cell>
          <cell r="F552">
            <v>2.9000000000000001E-2</v>
          </cell>
        </row>
        <row r="553">
          <cell r="A553" t="str">
            <v>51730-096LF</v>
          </cell>
          <cell r="B553" t="str">
            <v>51730-096LF Connector,PBRAH</v>
          </cell>
          <cell r="C553">
            <v>1.6000000000000001E-3</v>
          </cell>
          <cell r="D553">
            <v>3718.75</v>
          </cell>
          <cell r="E553">
            <v>11156.25</v>
          </cell>
          <cell r="F553">
            <v>2.9899999999999999E-2</v>
          </cell>
        </row>
        <row r="554">
          <cell r="A554" t="str">
            <v>51730-097LF</v>
          </cell>
          <cell r="B554" t="str">
            <v>51730-097LF Connector,PBRAH</v>
          </cell>
          <cell r="C554">
            <v>6.4999999999999997E-3</v>
          </cell>
          <cell r="D554">
            <v>915.38461538461547</v>
          </cell>
          <cell r="E554">
            <v>2746.1538461538466</v>
          </cell>
          <cell r="F554">
            <v>2.1499999999999998E-2</v>
          </cell>
        </row>
        <row r="555">
          <cell r="A555" t="str">
            <v>51730-100LF</v>
          </cell>
          <cell r="B555" t="str">
            <v>51730-100LF Connector,PBRAH</v>
          </cell>
          <cell r="C555">
            <v>1.6000000000000001E-3</v>
          </cell>
          <cell r="D555">
            <v>3718.75</v>
          </cell>
          <cell r="E555">
            <v>11156.25</v>
          </cell>
          <cell r="F555">
            <v>2.9899999999999999E-2</v>
          </cell>
        </row>
        <row r="556">
          <cell r="A556" t="str">
            <v>51730-102LF</v>
          </cell>
          <cell r="B556" t="str">
            <v>51730-102LF Connector,PBRAH</v>
          </cell>
          <cell r="C556">
            <v>1.9E-3</v>
          </cell>
          <cell r="D556">
            <v>3131.5789473684213</v>
          </cell>
          <cell r="E556">
            <v>9394.7368421052633</v>
          </cell>
          <cell r="F556">
            <v>2.1399999999999999E-2</v>
          </cell>
        </row>
        <row r="557">
          <cell r="A557" t="str">
            <v>51730-107LF</v>
          </cell>
          <cell r="B557" t="str">
            <v>51730-107LF Connector,PBRAH</v>
          </cell>
          <cell r="C557">
            <v>1.9E-3</v>
          </cell>
          <cell r="D557">
            <v>3131.5789473684213</v>
          </cell>
          <cell r="E557">
            <v>9394.7368421052633</v>
          </cell>
          <cell r="F557">
            <v>4.8599999999999997E-2</v>
          </cell>
        </row>
        <row r="558">
          <cell r="A558" t="str">
            <v>51730-108LF</v>
          </cell>
          <cell r="B558" t="str">
            <v>51730-108LF Connector,PBRAH</v>
          </cell>
          <cell r="C558">
            <v>1.6000000000000001E-3</v>
          </cell>
          <cell r="D558">
            <v>3718.75</v>
          </cell>
          <cell r="E558">
            <v>11156.25</v>
          </cell>
          <cell r="F558">
            <v>2.9000000000000001E-2</v>
          </cell>
        </row>
        <row r="559">
          <cell r="A559" t="str">
            <v>51730-109LF</v>
          </cell>
          <cell r="B559" t="str">
            <v>51730-109LF Connector,PBRAH</v>
          </cell>
          <cell r="C559">
            <v>2.0999999999999999E-3</v>
          </cell>
          <cell r="D559">
            <v>2833.3333333333335</v>
          </cell>
          <cell r="E559">
            <v>8500</v>
          </cell>
          <cell r="F559">
            <v>3.9300000000000002E-2</v>
          </cell>
        </row>
        <row r="560">
          <cell r="A560" t="str">
            <v>51730-110LF</v>
          </cell>
          <cell r="B560" t="str">
            <v>51730-110LF Connector,PBRAH</v>
          </cell>
          <cell r="C560">
            <v>1.6000000000000001E-3</v>
          </cell>
          <cell r="D560">
            <v>3718.75</v>
          </cell>
          <cell r="E560">
            <v>11156.25</v>
          </cell>
          <cell r="F560">
            <v>2.6200000000000001E-2</v>
          </cell>
        </row>
        <row r="561">
          <cell r="A561" t="str">
            <v>51730-111LF</v>
          </cell>
          <cell r="B561" t="str">
            <v>51730-111LF Connector,PBRAH</v>
          </cell>
          <cell r="C561">
            <v>1.9E-3</v>
          </cell>
          <cell r="D561">
            <v>3131.5789473684213</v>
          </cell>
          <cell r="E561">
            <v>9394.7368421052633</v>
          </cell>
          <cell r="F561">
            <v>2.9899999999999999E-2</v>
          </cell>
        </row>
        <row r="562">
          <cell r="A562" t="str">
            <v>51730-112LF</v>
          </cell>
          <cell r="B562" t="str">
            <v>51730-112LF Connector,PBRAH</v>
          </cell>
          <cell r="C562">
            <v>1.6000000000000001E-3</v>
          </cell>
          <cell r="D562">
            <v>3718.75</v>
          </cell>
          <cell r="E562">
            <v>11156.25</v>
          </cell>
          <cell r="F562">
            <v>2.9000000000000001E-2</v>
          </cell>
        </row>
        <row r="563">
          <cell r="A563" t="str">
            <v>51730-114LF</v>
          </cell>
          <cell r="B563" t="str">
            <v>51730-114LF PwrBlade RAH</v>
          </cell>
          <cell r="C563">
            <v>1.9E-3</v>
          </cell>
          <cell r="D563">
            <v>3131.5789473684213</v>
          </cell>
          <cell r="E563">
            <v>9394.7368421052633</v>
          </cell>
          <cell r="F563">
            <v>1.4317391E-2</v>
          </cell>
        </row>
        <row r="564">
          <cell r="A564" t="str">
            <v>51730-116LF</v>
          </cell>
          <cell r="B564" t="str">
            <v>51730-116LF Connector,PBRAH</v>
          </cell>
          <cell r="C564">
            <v>1.9E-3</v>
          </cell>
          <cell r="D564">
            <v>3131.5789473684213</v>
          </cell>
          <cell r="E564">
            <v>9394.7368421052633</v>
          </cell>
          <cell r="F564">
            <v>2.7099999999999999E-2</v>
          </cell>
        </row>
        <row r="565">
          <cell r="A565" t="str">
            <v>51730-117LF</v>
          </cell>
          <cell r="B565" t="str">
            <v>51730-117LF Connector,PBRAH</v>
          </cell>
          <cell r="C565">
            <v>1.9E-3</v>
          </cell>
          <cell r="D565">
            <v>3131.5789473684213</v>
          </cell>
          <cell r="E565">
            <v>9394.7368421052633</v>
          </cell>
          <cell r="F565">
            <v>1.0999999999999999E-2</v>
          </cell>
        </row>
        <row r="566">
          <cell r="A566" t="str">
            <v>51730-119LF</v>
          </cell>
          <cell r="B566" t="str">
            <v>51730-119LF PwrBlade RAH</v>
          </cell>
          <cell r="C566">
            <v>1.9E-3</v>
          </cell>
          <cell r="D566">
            <v>3131.5789473684213</v>
          </cell>
          <cell r="E566">
            <v>9394.7368421052633</v>
          </cell>
          <cell r="F566">
            <v>2.7099999999999999E-2</v>
          </cell>
        </row>
        <row r="567">
          <cell r="A567" t="str">
            <v>51730-120LF</v>
          </cell>
          <cell r="B567" t="str">
            <v>51730-120LF Connector,PBRAH</v>
          </cell>
          <cell r="C567">
            <v>1.9E-3</v>
          </cell>
          <cell r="D567">
            <v>3131.5789473684213</v>
          </cell>
          <cell r="E567">
            <v>9394.7368421052633</v>
          </cell>
          <cell r="F567">
            <v>8.8999999999999999E-3</v>
          </cell>
        </row>
        <row r="568">
          <cell r="A568" t="str">
            <v>51730-121LF</v>
          </cell>
          <cell r="B568" t="str">
            <v>51730-121LF Connector,PBRAH</v>
          </cell>
          <cell r="C568">
            <v>1.6000000000000001E-3</v>
          </cell>
          <cell r="D568">
            <v>3718.75</v>
          </cell>
          <cell r="E568">
            <v>11156.25</v>
          </cell>
          <cell r="F568">
            <v>3.1800000000000002E-2</v>
          </cell>
        </row>
        <row r="569">
          <cell r="A569" t="str">
            <v>51730-122LF</v>
          </cell>
          <cell r="B569" t="str">
            <v>51730-122LF Connector,PBRAH</v>
          </cell>
          <cell r="C569">
            <v>1.6000000000000001E-3</v>
          </cell>
          <cell r="D569">
            <v>3718.75</v>
          </cell>
          <cell r="E569">
            <v>11156.25</v>
          </cell>
          <cell r="F569">
            <v>2.6200000000000001E-2</v>
          </cell>
        </row>
        <row r="570">
          <cell r="A570" t="str">
            <v>51730-123LF</v>
          </cell>
          <cell r="B570" t="str">
            <v>51730-123LF Connector,PBRAH</v>
          </cell>
          <cell r="C570">
            <v>1.6000000000000001E-3</v>
          </cell>
          <cell r="D570">
            <v>3718.75</v>
          </cell>
          <cell r="E570">
            <v>11156.25</v>
          </cell>
          <cell r="F570">
            <v>1.8499999999999999E-2</v>
          </cell>
        </row>
        <row r="571">
          <cell r="A571" t="str">
            <v>51730-123LF-SA</v>
          </cell>
          <cell r="B571" t="str">
            <v>51730-123LF-SA Connector,PBRAH</v>
          </cell>
          <cell r="C571">
            <v>1.6000000000000001E-3</v>
          </cell>
          <cell r="D571">
            <v>3718.75</v>
          </cell>
          <cell r="E571">
            <v>11156.25</v>
          </cell>
          <cell r="F571">
            <v>1.8499999999999999E-2</v>
          </cell>
        </row>
        <row r="572">
          <cell r="A572" t="str">
            <v>51730-123PGSALF</v>
          </cell>
          <cell r="B572" t="str">
            <v>51730-123PGSALF Connector,PBRAH</v>
          </cell>
          <cell r="C572">
            <v>1.6000000000000001E-3</v>
          </cell>
          <cell r="D572">
            <v>3718.75</v>
          </cell>
          <cell r="E572">
            <v>11156.25</v>
          </cell>
          <cell r="F572">
            <v>1.8499999999999999E-2</v>
          </cell>
        </row>
        <row r="573">
          <cell r="A573" t="str">
            <v>51730-124LF</v>
          </cell>
          <cell r="B573" t="str">
            <v>51730-124LF Connector,PBRAH</v>
          </cell>
          <cell r="C573">
            <v>2.0999999999999999E-3</v>
          </cell>
          <cell r="D573">
            <v>2833.3333333333335</v>
          </cell>
          <cell r="E573">
            <v>8500</v>
          </cell>
          <cell r="F573">
            <v>3.6499999999999998E-2</v>
          </cell>
        </row>
        <row r="574">
          <cell r="A574" t="str">
            <v>51730-126LF</v>
          </cell>
          <cell r="B574" t="str">
            <v>51730-126LF Connector,PBRAH</v>
          </cell>
          <cell r="C574">
            <v>2.0999999999999999E-3</v>
          </cell>
          <cell r="D574">
            <v>2833.3333333333335</v>
          </cell>
          <cell r="E574">
            <v>8500</v>
          </cell>
          <cell r="F574">
            <v>3.6499999999999998E-2</v>
          </cell>
        </row>
        <row r="575">
          <cell r="A575" t="str">
            <v>51730-129LF</v>
          </cell>
          <cell r="B575" t="str">
            <v>51730-129LF Connector,PBRAH</v>
          </cell>
          <cell r="C575">
            <v>1.6000000000000001E-3</v>
          </cell>
          <cell r="D575">
            <v>3718.75</v>
          </cell>
          <cell r="E575">
            <v>11156.25</v>
          </cell>
          <cell r="F575">
            <v>2.9000000000000001E-2</v>
          </cell>
        </row>
        <row r="576">
          <cell r="A576" t="str">
            <v>51730-130LF</v>
          </cell>
          <cell r="B576" t="str">
            <v>51730-130LF PwrBlade RAH</v>
          </cell>
          <cell r="C576">
            <v>1.6000000000000001E-3</v>
          </cell>
          <cell r="D576">
            <v>3718.75</v>
          </cell>
          <cell r="E576">
            <v>11156.25</v>
          </cell>
          <cell r="F576">
            <v>1.3940274000000001E-2</v>
          </cell>
        </row>
        <row r="577">
          <cell r="A577" t="str">
            <v>51730-132LF</v>
          </cell>
          <cell r="B577" t="str">
            <v>51730-132LF Connector,PBRAH</v>
          </cell>
          <cell r="C577">
            <v>1.6000000000000001E-3</v>
          </cell>
          <cell r="D577">
            <v>3718.75</v>
          </cell>
          <cell r="E577">
            <v>11156.25</v>
          </cell>
          <cell r="F577">
            <v>2.9899999999999999E-2</v>
          </cell>
        </row>
        <row r="578">
          <cell r="A578" t="str">
            <v>51730-133LF</v>
          </cell>
          <cell r="B578" t="str">
            <v>51730-133LF Connector,PBRAH</v>
          </cell>
          <cell r="C578">
            <v>1.6000000000000001E-3</v>
          </cell>
          <cell r="D578">
            <v>3718.75</v>
          </cell>
          <cell r="E578">
            <v>11156.25</v>
          </cell>
          <cell r="F578">
            <v>1.9599999999999999E-2</v>
          </cell>
        </row>
        <row r="579">
          <cell r="A579" t="str">
            <v>51730-134LF</v>
          </cell>
          <cell r="B579" t="str">
            <v>51730-134LF Connector,PBRAH</v>
          </cell>
          <cell r="C579">
            <v>1.6000000000000001E-3</v>
          </cell>
          <cell r="D579">
            <v>3718.75</v>
          </cell>
          <cell r="E579">
            <v>11156.25</v>
          </cell>
          <cell r="F579">
            <v>2.9000000000000001E-2</v>
          </cell>
        </row>
        <row r="580">
          <cell r="A580" t="str">
            <v>51730-135LF</v>
          </cell>
          <cell r="B580" t="str">
            <v>51730-135LF Connector,PBRAH</v>
          </cell>
          <cell r="C580">
            <v>1.9E-3</v>
          </cell>
          <cell r="D580">
            <v>3131.5789473684213</v>
          </cell>
          <cell r="E580">
            <v>9394.7368421052633</v>
          </cell>
          <cell r="F580">
            <v>3.9300000000000002E-2</v>
          </cell>
        </row>
        <row r="581">
          <cell r="A581" t="str">
            <v>51730-137LF</v>
          </cell>
          <cell r="B581" t="str">
            <v>51730-137LF Connector,PBRAH</v>
          </cell>
          <cell r="C581">
            <v>1.9E-3</v>
          </cell>
          <cell r="D581">
            <v>3131.5789473684213</v>
          </cell>
          <cell r="E581">
            <v>9394.7368421052633</v>
          </cell>
          <cell r="F581">
            <v>2.9000000000000001E-2</v>
          </cell>
        </row>
        <row r="582">
          <cell r="A582" t="str">
            <v>51730-138LF</v>
          </cell>
          <cell r="B582" t="str">
            <v>51730-138LF Connector,PBRAH</v>
          </cell>
          <cell r="C582">
            <v>1.9E-3</v>
          </cell>
          <cell r="D582">
            <v>3131.5789473684213</v>
          </cell>
          <cell r="E582">
            <v>9394.7368421052633</v>
          </cell>
          <cell r="F582">
            <v>2.9000000000000001E-2</v>
          </cell>
        </row>
        <row r="583">
          <cell r="A583" t="str">
            <v>51730-139LF</v>
          </cell>
          <cell r="B583" t="str">
            <v>51730-139LF PwrBlade RAH STB</v>
          </cell>
          <cell r="C583">
            <v>1.9E-3</v>
          </cell>
          <cell r="D583">
            <v>3131.5789473684213</v>
          </cell>
          <cell r="E583">
            <v>9394.7368421052633</v>
          </cell>
          <cell r="F583">
            <v>4.1099999999999998E-2</v>
          </cell>
        </row>
        <row r="584">
          <cell r="A584" t="str">
            <v>51730-141LF</v>
          </cell>
          <cell r="B584" t="str">
            <v>51730-141LF Connector,PBRAH</v>
          </cell>
          <cell r="C584">
            <v>1.9E-3</v>
          </cell>
          <cell r="D584">
            <v>3131.5789473684213</v>
          </cell>
          <cell r="E584">
            <v>9394.7368421052633</v>
          </cell>
          <cell r="F584">
            <v>1.5100000000000001E-2</v>
          </cell>
        </row>
        <row r="585">
          <cell r="A585" t="str">
            <v>51730-142LF</v>
          </cell>
          <cell r="B585" t="str">
            <v>51730-142LF Connector,PBRAH</v>
          </cell>
          <cell r="C585">
            <v>1.9E-3</v>
          </cell>
          <cell r="D585">
            <v>3131.5789473684213</v>
          </cell>
          <cell r="E585">
            <v>9394.7368421052633</v>
          </cell>
          <cell r="F585">
            <v>4.4900000000000002E-2</v>
          </cell>
        </row>
        <row r="586">
          <cell r="A586" t="str">
            <v>51730-143LF</v>
          </cell>
          <cell r="B586" t="str">
            <v>51730-143LF Connector,PBRAH</v>
          </cell>
          <cell r="C586">
            <v>1.9E-3</v>
          </cell>
          <cell r="D586">
            <v>3131.5789473684213</v>
          </cell>
          <cell r="E586">
            <v>9394.7368421052633</v>
          </cell>
          <cell r="F586">
            <v>4.9000000000000002E-2</v>
          </cell>
        </row>
        <row r="587">
          <cell r="A587" t="str">
            <v>51730-146LF</v>
          </cell>
          <cell r="B587" t="str">
            <v>51730-146LF Connector,PBRAH</v>
          </cell>
          <cell r="C587">
            <v>1.9E-3</v>
          </cell>
          <cell r="D587">
            <v>3131.5789473684213</v>
          </cell>
          <cell r="E587">
            <v>9394.7368421052633</v>
          </cell>
          <cell r="F587">
            <v>1.37E-2</v>
          </cell>
        </row>
        <row r="588">
          <cell r="A588" t="str">
            <v>51730-147LF</v>
          </cell>
          <cell r="B588" t="str">
            <v>51730-147LF Connector,PBRAH</v>
          </cell>
          <cell r="C588">
            <v>1.9E-3</v>
          </cell>
          <cell r="D588">
            <v>3131.5789473684213</v>
          </cell>
          <cell r="E588">
            <v>9394.7368421052633</v>
          </cell>
          <cell r="F588">
            <v>1.83E-2</v>
          </cell>
        </row>
        <row r="589">
          <cell r="A589" t="str">
            <v>51730-149LF</v>
          </cell>
          <cell r="B589" t="str">
            <v>51730-149LF Connector,PBRAH</v>
          </cell>
          <cell r="C589">
            <v>1.9E-3</v>
          </cell>
          <cell r="D589">
            <v>3131.5789473684213</v>
          </cell>
          <cell r="E589">
            <v>9394.7368421052633</v>
          </cell>
          <cell r="F589">
            <v>1.1900000000000001E-2</v>
          </cell>
        </row>
        <row r="590">
          <cell r="A590" t="str">
            <v>51730-150LF</v>
          </cell>
          <cell r="B590" t="str">
            <v>51730-150LF Connector,PBRAH</v>
          </cell>
          <cell r="C590">
            <v>1.9E-3</v>
          </cell>
          <cell r="D590">
            <v>3131.5789473684213</v>
          </cell>
          <cell r="E590">
            <v>9394.7368421052633</v>
          </cell>
          <cell r="F590">
            <v>3.4599999999999999E-2</v>
          </cell>
        </row>
        <row r="591">
          <cell r="A591" t="str">
            <v>51730-151LF</v>
          </cell>
          <cell r="B591" t="str">
            <v>51730-151LF Connector,PBRAH</v>
          </cell>
          <cell r="C591">
            <v>1.9E-3</v>
          </cell>
          <cell r="D591">
            <v>3131.5789473684213</v>
          </cell>
          <cell r="E591">
            <v>9394.7368421052633</v>
          </cell>
          <cell r="F591">
            <v>2.4400000000000002E-2</v>
          </cell>
        </row>
        <row r="592">
          <cell r="A592" t="str">
            <v>51730-153LF</v>
          </cell>
          <cell r="B592" t="str">
            <v>51730-153LF PwrBlade RAH STB</v>
          </cell>
          <cell r="C592">
            <v>1.9E-3</v>
          </cell>
          <cell r="D592">
            <v>3131.5789473684213</v>
          </cell>
          <cell r="E592">
            <v>9394.7368421052633</v>
          </cell>
          <cell r="F592">
            <v>2.3195907000000002E-2</v>
          </cell>
        </row>
        <row r="593">
          <cell r="A593" t="str">
            <v>51730-154LF</v>
          </cell>
          <cell r="B593" t="str">
            <v>51730-154LF Connector,PBRAH</v>
          </cell>
          <cell r="C593">
            <v>1.9E-3</v>
          </cell>
          <cell r="D593">
            <v>3131.5789473684213</v>
          </cell>
          <cell r="E593">
            <v>9394.7368421052633</v>
          </cell>
          <cell r="F593">
            <v>4.2000000000000003E-2</v>
          </cell>
        </row>
        <row r="594">
          <cell r="A594" t="str">
            <v>51730-156LF</v>
          </cell>
          <cell r="B594" t="str">
            <v>51730-156LF Connector,PBRAH</v>
          </cell>
          <cell r="C594">
            <v>1.9E-3</v>
          </cell>
          <cell r="D594">
            <v>3131.5789473684213</v>
          </cell>
          <cell r="E594">
            <v>9394.7368421052633</v>
          </cell>
          <cell r="F594">
            <v>2.9000000000000001E-2</v>
          </cell>
        </row>
        <row r="595">
          <cell r="A595" t="str">
            <v>51730-157LF</v>
          </cell>
          <cell r="B595" t="str">
            <v>51730-157LF Connector,PBRAH</v>
          </cell>
          <cell r="C595">
            <v>1.9E-3</v>
          </cell>
          <cell r="D595">
            <v>3131.5789473684213</v>
          </cell>
          <cell r="E595">
            <v>9394.7368421052633</v>
          </cell>
          <cell r="F595">
            <v>2.4299999999999999E-2</v>
          </cell>
        </row>
        <row r="596">
          <cell r="A596" t="str">
            <v>51730-158LF</v>
          </cell>
          <cell r="B596" t="str">
            <v>51730-158LF Connector,PBRAH</v>
          </cell>
          <cell r="C596">
            <v>1.9E-3</v>
          </cell>
          <cell r="D596">
            <v>3131.5789473684213</v>
          </cell>
          <cell r="E596">
            <v>9394.7368421052633</v>
          </cell>
          <cell r="F596">
            <v>2.9899999999999999E-2</v>
          </cell>
        </row>
        <row r="597">
          <cell r="A597" t="str">
            <v>51730-159LF</v>
          </cell>
          <cell r="B597" t="str">
            <v>51730-159LF Connector,PBRAH</v>
          </cell>
          <cell r="C597">
            <v>2E-3</v>
          </cell>
          <cell r="D597">
            <v>2975</v>
          </cell>
          <cell r="E597">
            <v>8925</v>
          </cell>
          <cell r="F597">
            <v>2.9000000000000001E-2</v>
          </cell>
        </row>
        <row r="598">
          <cell r="A598" t="str">
            <v>51730-161LF</v>
          </cell>
          <cell r="B598" t="str">
            <v>51730-161LF PwrBlade RAH</v>
          </cell>
          <cell r="C598">
            <v>2E-3</v>
          </cell>
          <cell r="D598">
            <v>2975</v>
          </cell>
          <cell r="E598">
            <v>8925</v>
          </cell>
          <cell r="F598">
            <v>1.4238567000000001E-2</v>
          </cell>
        </row>
        <row r="599">
          <cell r="A599" t="str">
            <v>51730-165LF</v>
          </cell>
          <cell r="B599" t="str">
            <v>51730-165LF Connector,PBRAH</v>
          </cell>
          <cell r="C599">
            <v>2E-3</v>
          </cell>
          <cell r="D599">
            <v>2975</v>
          </cell>
          <cell r="E599">
            <v>8925</v>
          </cell>
          <cell r="F599">
            <v>2.3199999999999998E-2</v>
          </cell>
        </row>
        <row r="600">
          <cell r="A600" t="str">
            <v>51730-166LF</v>
          </cell>
          <cell r="B600" t="str">
            <v>51730-166LF PwrBlade RAH</v>
          </cell>
          <cell r="C600">
            <v>2E-3</v>
          </cell>
          <cell r="D600">
            <v>2975</v>
          </cell>
          <cell r="E600">
            <v>8925</v>
          </cell>
          <cell r="F600">
            <v>2.9000000000000001E-2</v>
          </cell>
        </row>
        <row r="601">
          <cell r="A601" t="str">
            <v>51730-167LF</v>
          </cell>
          <cell r="B601" t="str">
            <v>51730-167LF Connector,PBRAH</v>
          </cell>
          <cell r="C601">
            <v>2E-3</v>
          </cell>
          <cell r="D601">
            <v>2975</v>
          </cell>
          <cell r="E601">
            <v>8925</v>
          </cell>
          <cell r="F601">
            <v>3.1E-2</v>
          </cell>
        </row>
        <row r="602">
          <cell r="A602" t="str">
            <v>51730-168LF</v>
          </cell>
          <cell r="B602" t="str">
            <v>51730-168LF PwrBlade RAH</v>
          </cell>
          <cell r="C602">
            <v>2E-3</v>
          </cell>
          <cell r="D602">
            <v>2975</v>
          </cell>
          <cell r="E602">
            <v>8925</v>
          </cell>
          <cell r="F602">
            <v>2.8000000000000001E-2</v>
          </cell>
        </row>
        <row r="603">
          <cell r="A603" t="str">
            <v>51730-169LF</v>
          </cell>
          <cell r="B603" t="str">
            <v>51730-169LF Connector,PBRAH</v>
          </cell>
          <cell r="C603">
            <v>2E-3</v>
          </cell>
          <cell r="D603">
            <v>2975</v>
          </cell>
          <cell r="E603">
            <v>8925</v>
          </cell>
          <cell r="F603">
            <v>2.3E-2</v>
          </cell>
        </row>
        <row r="604">
          <cell r="A604" t="str">
            <v>51730-172LF</v>
          </cell>
          <cell r="B604" t="str">
            <v>51730-172LF Connector,PBRAH</v>
          </cell>
          <cell r="C604">
            <v>2E-3</v>
          </cell>
          <cell r="D604">
            <v>2975</v>
          </cell>
          <cell r="E604">
            <v>8925</v>
          </cell>
          <cell r="F604">
            <v>2.8000000000000001E-2</v>
          </cell>
        </row>
        <row r="605">
          <cell r="A605" t="str">
            <v>51730-174LF</v>
          </cell>
          <cell r="B605" t="str">
            <v>51730-174LF Connector,PBRAH</v>
          </cell>
          <cell r="C605">
            <v>2E-3</v>
          </cell>
          <cell r="D605">
            <v>2975</v>
          </cell>
          <cell r="E605">
            <v>8925</v>
          </cell>
          <cell r="F605">
            <v>2.5999999999999999E-2</v>
          </cell>
        </row>
        <row r="606">
          <cell r="A606" t="str">
            <v>51730-175LF</v>
          </cell>
          <cell r="B606" t="str">
            <v>51730-175LF Connector,PBRAH</v>
          </cell>
          <cell r="C606">
            <v>2E-3</v>
          </cell>
          <cell r="D606">
            <v>2975</v>
          </cell>
          <cell r="E606">
            <v>8925</v>
          </cell>
          <cell r="F606">
            <v>3.4000000000000002E-2</v>
          </cell>
        </row>
        <row r="607">
          <cell r="A607" t="str">
            <v>51730-176LF</v>
          </cell>
          <cell r="B607" t="str">
            <v>51730-176LF Connector,PBRAH</v>
          </cell>
          <cell r="C607">
            <v>2E-3</v>
          </cell>
          <cell r="D607">
            <v>2975</v>
          </cell>
          <cell r="E607">
            <v>8925</v>
          </cell>
          <cell r="F607">
            <v>1.9900000000000001E-2</v>
          </cell>
        </row>
        <row r="608">
          <cell r="A608" t="str">
            <v>51730-178LF</v>
          </cell>
          <cell r="B608" t="str">
            <v>51730-178LF Connector,PBRAH</v>
          </cell>
          <cell r="C608">
            <v>2E-3</v>
          </cell>
          <cell r="D608">
            <v>2975</v>
          </cell>
          <cell r="E608">
            <v>8925</v>
          </cell>
          <cell r="F608">
            <v>2.9000000000000001E-2</v>
          </cell>
        </row>
        <row r="609">
          <cell r="A609" t="str">
            <v>51730-179LF</v>
          </cell>
          <cell r="B609" t="str">
            <v>51730-179LF Connector,PBRAH</v>
          </cell>
          <cell r="C609">
            <v>2E-3</v>
          </cell>
          <cell r="D609">
            <v>2975</v>
          </cell>
          <cell r="E609">
            <v>8925</v>
          </cell>
          <cell r="F609">
            <v>3.2399999999999998E-2</v>
          </cell>
        </row>
        <row r="610">
          <cell r="A610" t="str">
            <v>51730-180LF</v>
          </cell>
          <cell r="B610" t="str">
            <v>51730-180LF Connector,PBRAH</v>
          </cell>
          <cell r="C610">
            <v>2E-3</v>
          </cell>
          <cell r="D610">
            <v>2975</v>
          </cell>
          <cell r="E610">
            <v>8925</v>
          </cell>
          <cell r="F610">
            <v>3.2000000000000001E-2</v>
          </cell>
        </row>
        <row r="611">
          <cell r="A611" t="str">
            <v>51730-181LF</v>
          </cell>
          <cell r="B611" t="str">
            <v>51730-181LF Connector,PBRAH</v>
          </cell>
          <cell r="C611">
            <v>2E-3</v>
          </cell>
          <cell r="D611">
            <v>2975</v>
          </cell>
          <cell r="E611">
            <v>8925</v>
          </cell>
          <cell r="F611">
            <v>2.47E-2</v>
          </cell>
        </row>
        <row r="612">
          <cell r="A612" t="str">
            <v>51730-183LF</v>
          </cell>
          <cell r="B612" t="str">
            <v>51730-183LF Connector,PBRAH</v>
          </cell>
          <cell r="C612">
            <v>2E-3</v>
          </cell>
          <cell r="D612">
            <v>2975</v>
          </cell>
          <cell r="E612">
            <v>8925</v>
          </cell>
          <cell r="F612">
            <v>3.1E-2</v>
          </cell>
        </row>
        <row r="613">
          <cell r="A613" t="str">
            <v>51730-184LF</v>
          </cell>
          <cell r="B613" t="str">
            <v>51730-184LF Connector,PBRAH</v>
          </cell>
          <cell r="C613">
            <v>2E-3</v>
          </cell>
          <cell r="D613">
            <v>2975</v>
          </cell>
          <cell r="E613">
            <v>8925</v>
          </cell>
          <cell r="F613">
            <v>3.1E-2</v>
          </cell>
        </row>
        <row r="614">
          <cell r="A614" t="str">
            <v>51730-185LF</v>
          </cell>
          <cell r="B614" t="str">
            <v>51730-185LF Connector,PBRAH</v>
          </cell>
          <cell r="C614">
            <v>2E-3</v>
          </cell>
          <cell r="D614">
            <v>2975</v>
          </cell>
          <cell r="E614">
            <v>8925</v>
          </cell>
          <cell r="F614">
            <v>2.8000000000000001E-2</v>
          </cell>
        </row>
        <row r="615">
          <cell r="A615" t="str">
            <v>51730-186LF</v>
          </cell>
          <cell r="B615" t="str">
            <v>51730-186LF Connector,PBRAH</v>
          </cell>
          <cell r="C615">
            <v>2E-3</v>
          </cell>
          <cell r="D615">
            <v>2975</v>
          </cell>
          <cell r="E615">
            <v>8925</v>
          </cell>
          <cell r="F615">
            <v>2.7E-2</v>
          </cell>
        </row>
        <row r="616">
          <cell r="A616" t="str">
            <v>51730-187LF</v>
          </cell>
          <cell r="B616" t="str">
            <v>51730-187LF Connector,PBRAH</v>
          </cell>
          <cell r="C616">
            <v>2E-3</v>
          </cell>
          <cell r="D616">
            <v>2975</v>
          </cell>
          <cell r="E616">
            <v>8925</v>
          </cell>
          <cell r="F616">
            <v>2.7E-2</v>
          </cell>
        </row>
        <row r="617">
          <cell r="A617" t="str">
            <v>51730-188LF</v>
          </cell>
          <cell r="B617" t="str">
            <v>51730-188LF Connector,PBRAH</v>
          </cell>
          <cell r="C617">
            <v>2E-3</v>
          </cell>
          <cell r="D617">
            <v>2975</v>
          </cell>
          <cell r="E617">
            <v>8925</v>
          </cell>
          <cell r="F617">
            <v>0.04</v>
          </cell>
        </row>
        <row r="618">
          <cell r="A618" t="str">
            <v>51730-189LF</v>
          </cell>
          <cell r="B618" t="str">
            <v>51730-189LF Connector,PBRAH</v>
          </cell>
          <cell r="C618">
            <v>2E-3</v>
          </cell>
          <cell r="D618">
            <v>2975</v>
          </cell>
          <cell r="E618">
            <v>8925</v>
          </cell>
          <cell r="F618">
            <v>3.5099999999999999E-2</v>
          </cell>
        </row>
        <row r="619">
          <cell r="A619" t="str">
            <v>51730-194LF</v>
          </cell>
          <cell r="B619" t="str">
            <v>51730-194LF Connector,PBRAH</v>
          </cell>
          <cell r="C619">
            <v>2E-3</v>
          </cell>
          <cell r="D619">
            <v>2975</v>
          </cell>
          <cell r="E619">
            <v>8925</v>
          </cell>
          <cell r="F619">
            <v>2.7E-2</v>
          </cell>
        </row>
        <row r="620">
          <cell r="A620" t="str">
            <v>51730-195LF</v>
          </cell>
          <cell r="B620" t="str">
            <v>51730-195LF Connector,PBRAH</v>
          </cell>
          <cell r="C620">
            <v>2E-3</v>
          </cell>
          <cell r="D620">
            <v>2975</v>
          </cell>
          <cell r="E620">
            <v>8925</v>
          </cell>
          <cell r="F620">
            <v>1.5800000000000002E-2</v>
          </cell>
        </row>
        <row r="621">
          <cell r="A621" t="str">
            <v>51730-196LF</v>
          </cell>
          <cell r="B621" t="str">
            <v>51730-196LF Connector,PBRAH</v>
          </cell>
          <cell r="C621">
            <v>2E-3</v>
          </cell>
          <cell r="D621">
            <v>2975</v>
          </cell>
          <cell r="E621">
            <v>8925</v>
          </cell>
          <cell r="F621">
            <v>3.2000000000000001E-2</v>
          </cell>
        </row>
        <row r="622">
          <cell r="A622" t="str">
            <v>51730-197LF</v>
          </cell>
          <cell r="B622" t="str">
            <v>51730-197LF Connector,PBRAH</v>
          </cell>
          <cell r="C622">
            <v>2E-3</v>
          </cell>
          <cell r="D622">
            <v>2975</v>
          </cell>
          <cell r="E622">
            <v>8925</v>
          </cell>
          <cell r="F622">
            <v>3.1E-2</v>
          </cell>
        </row>
        <row r="623">
          <cell r="A623" t="str">
            <v>51730-198LF</v>
          </cell>
          <cell r="B623" t="str">
            <v>51730-198LF PwrBlade RAH STB</v>
          </cell>
          <cell r="C623">
            <v>2E-3</v>
          </cell>
          <cell r="D623">
            <v>2975</v>
          </cell>
          <cell r="E623">
            <v>8925</v>
          </cell>
          <cell r="F623">
            <v>1.54E-2</v>
          </cell>
        </row>
        <row r="624">
          <cell r="A624" t="str">
            <v>51730-199LF</v>
          </cell>
          <cell r="B624" t="str">
            <v>51730-199LF Connector,PBRAH</v>
          </cell>
          <cell r="C624">
            <v>2E-3</v>
          </cell>
          <cell r="D624">
            <v>2975</v>
          </cell>
          <cell r="E624">
            <v>8925</v>
          </cell>
          <cell r="F624">
            <v>2.5000000000000001E-2</v>
          </cell>
        </row>
        <row r="625">
          <cell r="A625" t="str">
            <v>51730-202LF</v>
          </cell>
          <cell r="B625" t="str">
            <v>51730-202LF PwrBlade RAH STB</v>
          </cell>
          <cell r="C625">
            <v>2E-3</v>
          </cell>
          <cell r="D625">
            <v>2975</v>
          </cell>
          <cell r="E625">
            <v>8925</v>
          </cell>
          <cell r="F625">
            <v>2.5999999999999999E-2</v>
          </cell>
        </row>
        <row r="626">
          <cell r="A626" t="str">
            <v>51730-203LF</v>
          </cell>
          <cell r="B626" t="str">
            <v>51730-203LF Connector,PBRAH</v>
          </cell>
          <cell r="C626">
            <v>2E-3</v>
          </cell>
          <cell r="D626">
            <v>2975</v>
          </cell>
          <cell r="E626">
            <v>8925</v>
          </cell>
          <cell r="F626">
            <v>2.0799999999999999E-2</v>
          </cell>
        </row>
        <row r="627">
          <cell r="A627" t="str">
            <v>51730-205LF</v>
          </cell>
          <cell r="B627" t="str">
            <v>51730-205LF Connector,PBRAH</v>
          </cell>
          <cell r="C627">
            <v>2E-3</v>
          </cell>
          <cell r="D627">
            <v>2975</v>
          </cell>
          <cell r="E627">
            <v>8925</v>
          </cell>
          <cell r="F627">
            <v>3.1E-2</v>
          </cell>
        </row>
        <row r="628">
          <cell r="A628" t="str">
            <v>51730-206LF</v>
          </cell>
          <cell r="B628" t="str">
            <v>51730-206LF Connector,PBRAH</v>
          </cell>
          <cell r="C628">
            <v>2E-3</v>
          </cell>
          <cell r="D628">
            <v>2975</v>
          </cell>
          <cell r="E628">
            <v>8925</v>
          </cell>
          <cell r="F628">
            <v>2.8000000000000001E-2</v>
          </cell>
        </row>
        <row r="629">
          <cell r="A629" t="str">
            <v>51730-207LF</v>
          </cell>
          <cell r="B629" t="str">
            <v>51730-207LF Connector,PBRAH</v>
          </cell>
          <cell r="C629">
            <v>2E-3</v>
          </cell>
          <cell r="D629">
            <v>2975</v>
          </cell>
          <cell r="E629">
            <v>8925</v>
          </cell>
          <cell r="F629">
            <v>2.8000000000000001E-2</v>
          </cell>
        </row>
        <row r="630">
          <cell r="A630" t="str">
            <v>51730-208LF</v>
          </cell>
          <cell r="B630" t="str">
            <v>51730-208LF Connector,PBRAH</v>
          </cell>
          <cell r="C630">
            <v>2E-3</v>
          </cell>
          <cell r="D630">
            <v>2975</v>
          </cell>
          <cell r="E630">
            <v>8925</v>
          </cell>
          <cell r="F630">
            <v>2.7E-2</v>
          </cell>
        </row>
        <row r="631">
          <cell r="A631" t="str">
            <v>51730-212LF</v>
          </cell>
          <cell r="B631" t="str">
            <v>51730-212LF Connector,PBRAH</v>
          </cell>
          <cell r="C631">
            <v>3.3E-3</v>
          </cell>
          <cell r="D631">
            <v>1803.030303030303</v>
          </cell>
          <cell r="E631">
            <v>5409.090909090909</v>
          </cell>
          <cell r="F631">
            <v>2.8000000000000001E-2</v>
          </cell>
        </row>
        <row r="632">
          <cell r="A632" t="str">
            <v>51730-213LF</v>
          </cell>
          <cell r="B632" t="str">
            <v>51730-213LF Connector,PBRAH</v>
          </cell>
          <cell r="C632">
            <v>2E-3</v>
          </cell>
          <cell r="D632">
            <v>2975</v>
          </cell>
          <cell r="E632">
            <v>8925</v>
          </cell>
          <cell r="F632">
            <v>2.9000000000000001E-2</v>
          </cell>
        </row>
        <row r="633">
          <cell r="A633" t="str">
            <v>51730-215LF</v>
          </cell>
          <cell r="B633" t="str">
            <v>51730-215LF PwrBlade RAH STB</v>
          </cell>
          <cell r="C633">
            <v>2E-3</v>
          </cell>
          <cell r="D633">
            <v>2975</v>
          </cell>
          <cell r="E633">
            <v>8925</v>
          </cell>
          <cell r="F633">
            <v>3.1E-2</v>
          </cell>
        </row>
        <row r="634">
          <cell r="A634" t="str">
            <v>51730-215STLF</v>
          </cell>
          <cell r="B634" t="str">
            <v>51730-215STLF Connector,PBRAH</v>
          </cell>
          <cell r="C634">
            <v>2E-3</v>
          </cell>
          <cell r="D634">
            <v>2975</v>
          </cell>
          <cell r="E634">
            <v>8925</v>
          </cell>
          <cell r="F634">
            <v>2.9000000000000001E-2</v>
          </cell>
        </row>
        <row r="635">
          <cell r="A635" t="str">
            <v>51730-216LF</v>
          </cell>
          <cell r="B635" t="str">
            <v>51730-216LF Connector,PBRAH</v>
          </cell>
          <cell r="C635">
            <v>2E-3</v>
          </cell>
          <cell r="D635">
            <v>2975</v>
          </cell>
          <cell r="E635">
            <v>8925</v>
          </cell>
          <cell r="F635">
            <v>3.1E-2</v>
          </cell>
        </row>
        <row r="636">
          <cell r="A636" t="str">
            <v>51730-217LF</v>
          </cell>
          <cell r="B636" t="str">
            <v>51730-217LF Connector,PBRAH</v>
          </cell>
          <cell r="C636">
            <v>2E-3</v>
          </cell>
          <cell r="D636">
            <v>2975</v>
          </cell>
          <cell r="E636">
            <v>8925</v>
          </cell>
          <cell r="F636">
            <v>2.47E-2</v>
          </cell>
        </row>
        <row r="637">
          <cell r="A637" t="str">
            <v>51730-218LF</v>
          </cell>
          <cell r="B637" t="str">
            <v>51730-218LF Connector,PBRAH</v>
          </cell>
          <cell r="C637">
            <v>2E-3</v>
          </cell>
          <cell r="D637">
            <v>2975</v>
          </cell>
          <cell r="E637">
            <v>8925</v>
          </cell>
          <cell r="F637">
            <v>3.1E-2</v>
          </cell>
        </row>
        <row r="638">
          <cell r="A638" t="str">
            <v>51730-219LF</v>
          </cell>
          <cell r="B638" t="str">
            <v>51730-219LF PwrBlade RAH STB</v>
          </cell>
          <cell r="C638">
            <v>2E-3</v>
          </cell>
          <cell r="D638">
            <v>2975</v>
          </cell>
          <cell r="E638">
            <v>8925</v>
          </cell>
          <cell r="F638">
            <v>1.8181817999999999E-2</v>
          </cell>
        </row>
        <row r="639">
          <cell r="A639" t="str">
            <v>51730-220LF</v>
          </cell>
          <cell r="B639" t="str">
            <v>51730-220LF Connector,PBRAH</v>
          </cell>
          <cell r="C639">
            <v>2E-3</v>
          </cell>
          <cell r="D639">
            <v>2975</v>
          </cell>
          <cell r="E639">
            <v>8925</v>
          </cell>
          <cell r="F639">
            <v>3.1E-2</v>
          </cell>
        </row>
        <row r="640">
          <cell r="A640" t="str">
            <v>51730-221LF</v>
          </cell>
          <cell r="B640" t="str">
            <v>51730-221LF Connector,PBRAH</v>
          </cell>
          <cell r="C640">
            <v>2E-3</v>
          </cell>
          <cell r="D640">
            <v>2975</v>
          </cell>
          <cell r="E640">
            <v>8925</v>
          </cell>
          <cell r="F640">
            <v>2.7E-2</v>
          </cell>
        </row>
        <row r="641">
          <cell r="A641" t="str">
            <v>51730-229LF</v>
          </cell>
          <cell r="B641" t="str">
            <v>51730-229LF Connector,PBRAH</v>
          </cell>
          <cell r="C641">
            <v>2E-3</v>
          </cell>
          <cell r="D641">
            <v>2975</v>
          </cell>
          <cell r="E641">
            <v>8925</v>
          </cell>
          <cell r="F641">
            <v>3.2000000000000001E-2</v>
          </cell>
        </row>
        <row r="642">
          <cell r="A642" t="str">
            <v>51730-230LF</v>
          </cell>
          <cell r="B642" t="str">
            <v>51730-230LF Connector,PBRAH</v>
          </cell>
          <cell r="C642">
            <v>2E-3</v>
          </cell>
          <cell r="D642">
            <v>2975</v>
          </cell>
          <cell r="E642">
            <v>8925</v>
          </cell>
          <cell r="F642">
            <v>3.2000000000000001E-2</v>
          </cell>
        </row>
        <row r="643">
          <cell r="A643" t="str">
            <v>51730-231LF</v>
          </cell>
          <cell r="B643" t="str">
            <v>51730-231LF Connector,PBRAH</v>
          </cell>
          <cell r="C643">
            <v>2E-3</v>
          </cell>
          <cell r="D643">
            <v>2975</v>
          </cell>
          <cell r="E643">
            <v>8925</v>
          </cell>
          <cell r="F643">
            <v>3.1E-2</v>
          </cell>
        </row>
        <row r="644">
          <cell r="A644" t="str">
            <v>51730-232LF</v>
          </cell>
          <cell r="B644" t="str">
            <v>51730-232LF PwrBlade RAH STB</v>
          </cell>
          <cell r="C644">
            <v>2E-3</v>
          </cell>
          <cell r="D644">
            <v>2975</v>
          </cell>
          <cell r="E644">
            <v>8925</v>
          </cell>
          <cell r="F644">
            <v>3.1E-2</v>
          </cell>
        </row>
        <row r="645">
          <cell r="A645" t="str">
            <v>51730-234STLF</v>
          </cell>
          <cell r="B645" t="str">
            <v>51730-234STLF PwrBlade RAH STB</v>
          </cell>
          <cell r="C645">
            <v>2E-3</v>
          </cell>
          <cell r="D645">
            <v>2975</v>
          </cell>
          <cell r="E645">
            <v>8925</v>
          </cell>
          <cell r="F645">
            <v>3.2000000000000001E-2</v>
          </cell>
        </row>
        <row r="646">
          <cell r="A646" t="str">
            <v>51730-236LF</v>
          </cell>
          <cell r="B646" t="str">
            <v>51730-236LF Connector,PBRAH</v>
          </cell>
          <cell r="C646">
            <v>4.0000000000000001E-3</v>
          </cell>
          <cell r="D646">
            <v>1487.5</v>
          </cell>
          <cell r="E646">
            <v>4462.5</v>
          </cell>
          <cell r="F646">
            <v>6.8000000000000005E-2</v>
          </cell>
        </row>
        <row r="647">
          <cell r="A647" t="str">
            <v>51730-237LF</v>
          </cell>
          <cell r="B647" t="str">
            <v>51730-237LF PwrBlade RAH STB</v>
          </cell>
          <cell r="C647">
            <v>2E-3</v>
          </cell>
          <cell r="D647">
            <v>2975</v>
          </cell>
          <cell r="E647">
            <v>8925</v>
          </cell>
          <cell r="F647">
            <v>2.9000000000000001E-2</v>
          </cell>
        </row>
        <row r="648">
          <cell r="A648" t="str">
            <v>51730-238LF</v>
          </cell>
          <cell r="B648" t="str">
            <v>51730-238LF Connector,PBRAH</v>
          </cell>
          <cell r="C648">
            <v>4.0000000000000001E-3</v>
          </cell>
          <cell r="D648">
            <v>1487.5</v>
          </cell>
          <cell r="E648">
            <v>4462.5</v>
          </cell>
          <cell r="F648">
            <v>6.5000000000000002E-2</v>
          </cell>
        </row>
        <row r="649">
          <cell r="A649" t="str">
            <v>51730-239LF</v>
          </cell>
          <cell r="B649" t="str">
            <v>51730-239LF Connector,PBRAH</v>
          </cell>
          <cell r="C649">
            <v>2E-3</v>
          </cell>
          <cell r="D649">
            <v>2975</v>
          </cell>
          <cell r="E649">
            <v>8925</v>
          </cell>
          <cell r="F649">
            <v>2.8000000000000001E-2</v>
          </cell>
        </row>
        <row r="650">
          <cell r="A650" t="str">
            <v>51730-240LF</v>
          </cell>
          <cell r="B650" t="str">
            <v>51730-240LF Connector,PBRAH</v>
          </cell>
          <cell r="C650">
            <v>2E-3</v>
          </cell>
          <cell r="D650">
            <v>2975</v>
          </cell>
          <cell r="E650">
            <v>8925</v>
          </cell>
          <cell r="F650">
            <v>2.8000000000000001E-2</v>
          </cell>
        </row>
        <row r="651">
          <cell r="A651" t="str">
            <v>51730-242LF</v>
          </cell>
          <cell r="B651" t="str">
            <v>51730-242LF PwrBlade RAH STB</v>
          </cell>
          <cell r="C651">
            <v>2E-3</v>
          </cell>
          <cell r="D651">
            <v>2975</v>
          </cell>
          <cell r="E651">
            <v>8925</v>
          </cell>
          <cell r="F651">
            <v>3.2000000000000001E-2</v>
          </cell>
        </row>
        <row r="652">
          <cell r="A652" t="str">
            <v>51730-243LF</v>
          </cell>
          <cell r="B652" t="str">
            <v>51730-243LF Connector,PBRAH</v>
          </cell>
          <cell r="C652">
            <v>2E-3</v>
          </cell>
          <cell r="D652">
            <v>2975</v>
          </cell>
          <cell r="E652">
            <v>8925</v>
          </cell>
          <cell r="F652">
            <v>3.5000000000000003E-2</v>
          </cell>
        </row>
        <row r="653">
          <cell r="A653" t="str">
            <v>51730-248LF</v>
          </cell>
          <cell r="B653" t="str">
            <v>51730-248LF Connector,PBRAH</v>
          </cell>
          <cell r="C653">
            <v>3.3E-3</v>
          </cell>
          <cell r="D653">
            <v>1803.030303030303</v>
          </cell>
          <cell r="E653">
            <v>5409.090909090909</v>
          </cell>
          <cell r="F653">
            <v>3.5999999999999997E-2</v>
          </cell>
        </row>
        <row r="654">
          <cell r="A654" t="str">
            <v>51730-255LF</v>
          </cell>
          <cell r="B654" t="str">
            <v>51730-255LF Connector,PBRAH</v>
          </cell>
          <cell r="C654">
            <v>3.3E-3</v>
          </cell>
          <cell r="D654">
            <v>1803.030303030303</v>
          </cell>
          <cell r="E654">
            <v>5409.090909090909</v>
          </cell>
          <cell r="F654">
            <v>3.2000000000000001E-2</v>
          </cell>
        </row>
        <row r="655">
          <cell r="A655" t="str">
            <v>51731-001LF</v>
          </cell>
          <cell r="B655" t="str">
            <v>51731-001LF Connector,PBRAH</v>
          </cell>
          <cell r="C655">
            <v>2.0999999999999999E-3</v>
          </cell>
          <cell r="D655">
            <v>2833.3333333333335</v>
          </cell>
          <cell r="E655">
            <v>8500</v>
          </cell>
          <cell r="F655">
            <v>3.9300000000000002E-2</v>
          </cell>
        </row>
        <row r="656">
          <cell r="A656" t="str">
            <v>51731-002LF</v>
          </cell>
          <cell r="B656" t="str">
            <v>51731-002LF Connector,PBRAH</v>
          </cell>
          <cell r="C656">
            <v>2.0999999999999999E-3</v>
          </cell>
          <cell r="D656">
            <v>2833.3333333333335</v>
          </cell>
          <cell r="E656">
            <v>8500</v>
          </cell>
          <cell r="F656">
            <v>4.6800000000000001E-2</v>
          </cell>
        </row>
        <row r="657">
          <cell r="A657" t="str">
            <v>51731-006LF</v>
          </cell>
          <cell r="B657" t="str">
            <v>51731-006LF Connector,PBRAH</v>
          </cell>
          <cell r="C657">
            <v>1.6000000000000001E-3</v>
          </cell>
          <cell r="D657">
            <v>3718.75</v>
          </cell>
          <cell r="E657">
            <v>11156.25</v>
          </cell>
          <cell r="F657">
            <v>2.9899999999999999E-2</v>
          </cell>
        </row>
        <row r="658">
          <cell r="A658" t="str">
            <v>51731-010LF</v>
          </cell>
          <cell r="B658" t="str">
            <v>51731-010LF Connector,PBRAH</v>
          </cell>
          <cell r="C658">
            <v>2.0999999999999999E-3</v>
          </cell>
          <cell r="D658">
            <v>2833.3333333333335</v>
          </cell>
          <cell r="E658">
            <v>8500</v>
          </cell>
          <cell r="F658">
            <v>4.4900000000000002E-2</v>
          </cell>
        </row>
        <row r="659">
          <cell r="A659" t="str">
            <v>51731-011LF</v>
          </cell>
          <cell r="B659" t="str">
            <v>51731-011LF Connector,PBRAH</v>
          </cell>
          <cell r="C659">
            <v>2E-3</v>
          </cell>
          <cell r="D659">
            <v>2975</v>
          </cell>
          <cell r="E659">
            <v>8925</v>
          </cell>
          <cell r="F659">
            <v>3.4000000000000002E-2</v>
          </cell>
        </row>
        <row r="660">
          <cell r="A660" t="str">
            <v>51731-013LF</v>
          </cell>
          <cell r="B660" t="str">
            <v>51731-013LF Connector,PBRAH</v>
          </cell>
          <cell r="C660">
            <v>1.9E-3</v>
          </cell>
          <cell r="D660">
            <v>3131.5789473684213</v>
          </cell>
          <cell r="E660">
            <v>9394.7368421052633</v>
          </cell>
          <cell r="F660">
            <v>2.07E-2</v>
          </cell>
        </row>
        <row r="661">
          <cell r="A661" t="str">
            <v>51731-015LF</v>
          </cell>
          <cell r="B661" t="str">
            <v>51731-015LF Connector,PBRAH</v>
          </cell>
          <cell r="C661">
            <v>2.0999999999999999E-3</v>
          </cell>
          <cell r="D661">
            <v>2833.3333333333335</v>
          </cell>
          <cell r="E661">
            <v>8500</v>
          </cell>
          <cell r="F661">
            <v>4.1099999999999998E-2</v>
          </cell>
        </row>
        <row r="662">
          <cell r="A662" t="str">
            <v>51731-018LF</v>
          </cell>
          <cell r="B662" t="str">
            <v>51731-018LF Connector,PBRAH</v>
          </cell>
          <cell r="C662">
            <v>1.6000000000000001E-3</v>
          </cell>
          <cell r="D662">
            <v>3718.75</v>
          </cell>
          <cell r="E662">
            <v>11156.25</v>
          </cell>
          <cell r="F662">
            <v>2.9000000000000001E-2</v>
          </cell>
        </row>
        <row r="663">
          <cell r="A663" t="str">
            <v>51731-022LF</v>
          </cell>
          <cell r="B663" t="str">
            <v>51731-022LF PwrBlade RAH</v>
          </cell>
          <cell r="C663">
            <v>3.3E-3</v>
          </cell>
          <cell r="D663">
            <v>1803.030303030303</v>
          </cell>
          <cell r="E663">
            <v>5409.090909090909</v>
          </cell>
          <cell r="F663">
            <v>0.03</v>
          </cell>
        </row>
        <row r="664">
          <cell r="A664" t="str">
            <v>51731-025LF</v>
          </cell>
          <cell r="B664" t="str">
            <v>51731-025LF PwrBlade RAH</v>
          </cell>
          <cell r="C664">
            <v>1.6000000000000001E-3</v>
          </cell>
          <cell r="D664">
            <v>3718.75</v>
          </cell>
          <cell r="E664">
            <v>11156.25</v>
          </cell>
          <cell r="F664">
            <v>2.7099999999999999E-2</v>
          </cell>
        </row>
        <row r="665">
          <cell r="A665" t="str">
            <v>51731-030LF</v>
          </cell>
          <cell r="B665" t="str">
            <v>51731-030LF Connector,PBRAH</v>
          </cell>
          <cell r="C665">
            <v>1.9E-3</v>
          </cell>
          <cell r="D665">
            <v>3131.5789473684213</v>
          </cell>
          <cell r="E665">
            <v>9394.7368421052633</v>
          </cell>
          <cell r="F665">
            <v>2.7099999999999999E-2</v>
          </cell>
        </row>
        <row r="666">
          <cell r="A666" t="str">
            <v>51731-032LF</v>
          </cell>
          <cell r="B666" t="str">
            <v>51731-032LF Connector,PBRAH</v>
          </cell>
          <cell r="C666">
            <v>2.0999999999999999E-3</v>
          </cell>
          <cell r="D666">
            <v>2833.3333333333335</v>
          </cell>
          <cell r="E666">
            <v>8500</v>
          </cell>
          <cell r="F666">
            <v>4.1099999999999998E-2</v>
          </cell>
        </row>
        <row r="667">
          <cell r="A667" t="str">
            <v>51731-035LF</v>
          </cell>
          <cell r="B667" t="str">
            <v>51731-035LF Connector,PBRAH</v>
          </cell>
          <cell r="C667">
            <v>1.6000000000000001E-3</v>
          </cell>
          <cell r="D667">
            <v>3718.75</v>
          </cell>
          <cell r="E667">
            <v>11156.25</v>
          </cell>
          <cell r="F667">
            <v>2.7199999999999998E-2</v>
          </cell>
        </row>
        <row r="668">
          <cell r="A668" t="str">
            <v>51731-036LF</v>
          </cell>
          <cell r="B668" t="str">
            <v>51731-036LF PwrBlade RAH STB</v>
          </cell>
          <cell r="C668">
            <v>2.0999999999999999E-3</v>
          </cell>
          <cell r="D668">
            <v>2833.3333333333335</v>
          </cell>
          <cell r="E668">
            <v>8500</v>
          </cell>
          <cell r="F668">
            <v>3.6499999999999998E-2</v>
          </cell>
        </row>
        <row r="669">
          <cell r="A669" t="str">
            <v>51731-039LF</v>
          </cell>
          <cell r="B669" t="str">
            <v>51731-039LF Connector,PBRAH</v>
          </cell>
          <cell r="C669">
            <v>1.6000000000000001E-3</v>
          </cell>
          <cell r="D669">
            <v>3718.75</v>
          </cell>
          <cell r="E669">
            <v>11156.25</v>
          </cell>
          <cell r="F669">
            <v>3.1800000000000002E-2</v>
          </cell>
        </row>
        <row r="670">
          <cell r="A670" t="str">
            <v>51731-041LF</v>
          </cell>
          <cell r="B670" t="str">
            <v>51731-041LF Connector,PBRAH</v>
          </cell>
          <cell r="C670">
            <v>2.0999999999999999E-3</v>
          </cell>
          <cell r="D670">
            <v>2833.3333333333335</v>
          </cell>
          <cell r="E670">
            <v>8500</v>
          </cell>
          <cell r="F670">
            <v>2.7799999999999998E-2</v>
          </cell>
        </row>
        <row r="671">
          <cell r="A671" t="str">
            <v>51731-042LF</v>
          </cell>
          <cell r="B671" t="str">
            <v>51731-042LF PwrBlade RAH STB</v>
          </cell>
          <cell r="C671">
            <v>1.9E-3</v>
          </cell>
          <cell r="D671">
            <v>3131.5789473684213</v>
          </cell>
          <cell r="E671">
            <v>9394.7368421052633</v>
          </cell>
          <cell r="F671">
            <v>5.2089190000000002E-3</v>
          </cell>
        </row>
        <row r="672">
          <cell r="A672" t="str">
            <v>51731-045LF</v>
          </cell>
          <cell r="B672" t="str">
            <v>51731-045LF Connector,PBRAH</v>
          </cell>
          <cell r="C672">
            <v>1.9E-3</v>
          </cell>
          <cell r="D672">
            <v>3131.5789473684213</v>
          </cell>
          <cell r="E672">
            <v>9394.7368421052633</v>
          </cell>
          <cell r="F672">
            <v>2.9899999999999999E-2</v>
          </cell>
        </row>
        <row r="673">
          <cell r="A673" t="str">
            <v>51731-046LF</v>
          </cell>
          <cell r="B673" t="str">
            <v>51731-046LF PwrBlade RAH</v>
          </cell>
          <cell r="C673">
            <v>1.9E-3</v>
          </cell>
          <cell r="D673">
            <v>3131.5789473684213</v>
          </cell>
          <cell r="E673">
            <v>9394.7368421052633</v>
          </cell>
          <cell r="F673">
            <v>2.1250000000000002E-2</v>
          </cell>
        </row>
        <row r="674">
          <cell r="A674" t="str">
            <v>51731-047LF</v>
          </cell>
          <cell r="B674" t="str">
            <v>51731-047LF Connector,PBRAH</v>
          </cell>
          <cell r="C674">
            <v>1.9E-3</v>
          </cell>
          <cell r="D674">
            <v>3131.5789473684213</v>
          </cell>
          <cell r="E674">
            <v>9394.7368421052633</v>
          </cell>
          <cell r="F674">
            <v>2.7099999999999999E-2</v>
          </cell>
        </row>
        <row r="675">
          <cell r="A675" t="str">
            <v>51731-048LF</v>
          </cell>
          <cell r="B675" t="str">
            <v>51731-048LF Connector,PBRAH</v>
          </cell>
          <cell r="C675">
            <v>1.9E-3</v>
          </cell>
          <cell r="D675">
            <v>3131.5789473684213</v>
          </cell>
          <cell r="E675">
            <v>9394.7368421052633</v>
          </cell>
          <cell r="F675">
            <v>1.6400000000000001E-2</v>
          </cell>
        </row>
        <row r="676">
          <cell r="A676" t="str">
            <v>51731-049LF</v>
          </cell>
          <cell r="B676" t="str">
            <v>51731-049LF PwrBlade RAH</v>
          </cell>
          <cell r="C676">
            <v>1.9E-3</v>
          </cell>
          <cell r="D676">
            <v>3131.5789473684213</v>
          </cell>
          <cell r="E676">
            <v>9394.7368421052633</v>
          </cell>
          <cell r="F676">
            <v>1.1377511999999999E-2</v>
          </cell>
        </row>
        <row r="677">
          <cell r="A677" t="str">
            <v>51731-050LF</v>
          </cell>
          <cell r="B677" t="str">
            <v>51731-050LF Connector,PBRAH</v>
          </cell>
          <cell r="C677">
            <v>1.9E-3</v>
          </cell>
          <cell r="D677">
            <v>3131.5789473684213</v>
          </cell>
          <cell r="E677">
            <v>9394.7368421052633</v>
          </cell>
          <cell r="F677">
            <v>3.1800000000000002E-2</v>
          </cell>
        </row>
        <row r="678">
          <cell r="A678" t="str">
            <v>51731-052LF</v>
          </cell>
          <cell r="B678" t="str">
            <v>51731-052LF Connector,PBRAH</v>
          </cell>
          <cell r="C678">
            <v>1.9E-3</v>
          </cell>
          <cell r="D678">
            <v>3131.5789473684213</v>
          </cell>
          <cell r="E678">
            <v>9394.7368421052633</v>
          </cell>
          <cell r="F678">
            <v>2.9000000000000001E-2</v>
          </cell>
        </row>
        <row r="679">
          <cell r="A679" t="str">
            <v>51731-055LF</v>
          </cell>
          <cell r="B679" t="str">
            <v>51731-055LF Connector,PBRAH</v>
          </cell>
          <cell r="C679">
            <v>2E-3</v>
          </cell>
          <cell r="D679">
            <v>2975</v>
          </cell>
          <cell r="E679">
            <v>8925</v>
          </cell>
          <cell r="F679">
            <v>2.9000000000000001E-2</v>
          </cell>
        </row>
        <row r="680">
          <cell r="A680" t="str">
            <v>51731-057LF</v>
          </cell>
          <cell r="B680" t="str">
            <v>51731-057LF PwrBlade RAH</v>
          </cell>
          <cell r="C680">
            <v>2E-3</v>
          </cell>
          <cell r="D680">
            <v>2975</v>
          </cell>
          <cell r="E680">
            <v>8925</v>
          </cell>
          <cell r="F680">
            <v>1.7999999999999999E-2</v>
          </cell>
        </row>
        <row r="681">
          <cell r="A681" t="str">
            <v>51731-059LF</v>
          </cell>
          <cell r="B681" t="str">
            <v>51731-059LF Connector,PBRAH</v>
          </cell>
          <cell r="C681">
            <v>2E-3</v>
          </cell>
          <cell r="D681">
            <v>2975</v>
          </cell>
          <cell r="E681">
            <v>8925</v>
          </cell>
          <cell r="F681">
            <v>5.5E-2</v>
          </cell>
        </row>
        <row r="682">
          <cell r="A682" t="str">
            <v>51731-060LF</v>
          </cell>
          <cell r="B682" t="str">
            <v>51731-060LF Connector,PBRAH</v>
          </cell>
          <cell r="C682">
            <v>2E-3</v>
          </cell>
          <cell r="D682">
            <v>2975</v>
          </cell>
          <cell r="E682">
            <v>8925</v>
          </cell>
          <cell r="F682">
            <v>2.29E-2</v>
          </cell>
        </row>
        <row r="683">
          <cell r="A683" t="str">
            <v>51731-061LF</v>
          </cell>
          <cell r="B683" t="str">
            <v>51731-061LF Connector,PBRAH</v>
          </cell>
          <cell r="C683">
            <v>2E-3</v>
          </cell>
          <cell r="D683">
            <v>2975</v>
          </cell>
          <cell r="E683">
            <v>8925</v>
          </cell>
          <cell r="F683">
            <v>4.1000000000000002E-2</v>
          </cell>
        </row>
        <row r="684">
          <cell r="A684" t="str">
            <v>51731-062LF</v>
          </cell>
          <cell r="B684" t="str">
            <v>51731-062LF Connector,PBRAH</v>
          </cell>
          <cell r="C684">
            <v>2E-3</v>
          </cell>
          <cell r="D684">
            <v>2975</v>
          </cell>
          <cell r="E684">
            <v>8925</v>
          </cell>
          <cell r="F684">
            <v>2.7E-2</v>
          </cell>
        </row>
        <row r="685">
          <cell r="A685" t="str">
            <v>51731-063LF</v>
          </cell>
          <cell r="B685" t="str">
            <v>51731-063LF Connector,PBRAH</v>
          </cell>
          <cell r="C685">
            <v>2E-3</v>
          </cell>
          <cell r="D685">
            <v>2975</v>
          </cell>
          <cell r="E685">
            <v>8925</v>
          </cell>
          <cell r="F685">
            <v>4.1000000000000002E-2</v>
          </cell>
        </row>
        <row r="686">
          <cell r="A686" t="str">
            <v>51731-064LF</v>
          </cell>
          <cell r="B686" t="str">
            <v>51731-064LF Connector,PBRAH</v>
          </cell>
          <cell r="C686">
            <v>2E-3</v>
          </cell>
          <cell r="D686">
            <v>2975</v>
          </cell>
          <cell r="E686">
            <v>8925</v>
          </cell>
          <cell r="F686">
            <v>3.1E-2</v>
          </cell>
        </row>
        <row r="687">
          <cell r="A687" t="str">
            <v>51731-066LF</v>
          </cell>
          <cell r="B687" t="str">
            <v>51731-066LF Connector,PBRAH</v>
          </cell>
          <cell r="C687">
            <v>2E-3</v>
          </cell>
          <cell r="D687">
            <v>2975</v>
          </cell>
          <cell r="E687">
            <v>8925</v>
          </cell>
          <cell r="F687">
            <v>3.6999999999999998E-2</v>
          </cell>
        </row>
        <row r="688">
          <cell r="A688" t="str">
            <v>51731-068LF</v>
          </cell>
          <cell r="B688" t="str">
            <v>51731-068LF Connector,PBRAH</v>
          </cell>
          <cell r="C688">
            <v>2E-3</v>
          </cell>
          <cell r="D688">
            <v>2975</v>
          </cell>
          <cell r="E688">
            <v>8925</v>
          </cell>
          <cell r="F688">
            <v>3.6999999999999998E-2</v>
          </cell>
        </row>
        <row r="689">
          <cell r="A689" t="str">
            <v>51731-069LF</v>
          </cell>
          <cell r="B689" t="str">
            <v>51731-069LF Connector,PBRAH</v>
          </cell>
          <cell r="C689">
            <v>1.9E-3</v>
          </cell>
          <cell r="D689">
            <v>3131.5789473684213</v>
          </cell>
          <cell r="E689">
            <v>9394.7368421052633</v>
          </cell>
          <cell r="F689">
            <v>2.9000000000000001E-2</v>
          </cell>
        </row>
        <row r="690">
          <cell r="A690" t="str">
            <v>51731-071LF</v>
          </cell>
          <cell r="B690" t="str">
            <v>51731-071LF Connector,PBRAH</v>
          </cell>
          <cell r="C690">
            <v>2E-3</v>
          </cell>
          <cell r="D690">
            <v>2975</v>
          </cell>
          <cell r="E690">
            <v>8925</v>
          </cell>
          <cell r="F690">
            <v>3.5000000000000003E-2</v>
          </cell>
        </row>
        <row r="691">
          <cell r="A691" t="str">
            <v>51731-072LF</v>
          </cell>
          <cell r="B691" t="str">
            <v>51731-072LF Connector,PBRAH</v>
          </cell>
          <cell r="C691">
            <v>2E-3</v>
          </cell>
          <cell r="D691">
            <v>2975</v>
          </cell>
          <cell r="E691">
            <v>8925</v>
          </cell>
          <cell r="F691">
            <v>3.4000000000000002E-2</v>
          </cell>
        </row>
        <row r="692">
          <cell r="A692" t="str">
            <v>51731-073LF</v>
          </cell>
          <cell r="B692" t="str">
            <v>51731-073LF Connector,PBRAH</v>
          </cell>
          <cell r="C692">
            <v>2E-3</v>
          </cell>
          <cell r="D692">
            <v>2975</v>
          </cell>
          <cell r="E692">
            <v>8925</v>
          </cell>
          <cell r="F692">
            <v>2.5600000000000001E-2</v>
          </cell>
        </row>
        <row r="693">
          <cell r="A693" t="str">
            <v>51731-074LF</v>
          </cell>
          <cell r="B693" t="str">
            <v>51731-074LF Connector,PBRAH</v>
          </cell>
          <cell r="C693">
            <v>2E-3</v>
          </cell>
          <cell r="D693">
            <v>2975</v>
          </cell>
          <cell r="E693">
            <v>8925</v>
          </cell>
          <cell r="F693">
            <v>3.9E-2</v>
          </cell>
        </row>
        <row r="694">
          <cell r="A694" t="str">
            <v>51731-076LF</v>
          </cell>
          <cell r="B694" t="str">
            <v>51731-076LF Connector,PBRAH</v>
          </cell>
          <cell r="C694">
            <v>2E-3</v>
          </cell>
          <cell r="D694">
            <v>2975</v>
          </cell>
          <cell r="E694">
            <v>8925</v>
          </cell>
          <cell r="F694">
            <v>2.3400000000000001E-2</v>
          </cell>
        </row>
        <row r="695">
          <cell r="A695" t="str">
            <v>51731-077LF</v>
          </cell>
          <cell r="B695" t="str">
            <v>51731-077LF Connector,PBRAH</v>
          </cell>
          <cell r="C695">
            <v>2E-3</v>
          </cell>
          <cell r="D695">
            <v>2975</v>
          </cell>
          <cell r="E695">
            <v>8925</v>
          </cell>
          <cell r="F695">
            <v>3.1E-2</v>
          </cell>
        </row>
        <row r="696">
          <cell r="A696" t="str">
            <v>51731-078LF</v>
          </cell>
          <cell r="B696" t="str">
            <v>51731-078LF Connector,PBRAH</v>
          </cell>
          <cell r="C696">
            <v>2E-3</v>
          </cell>
          <cell r="D696">
            <v>2975</v>
          </cell>
          <cell r="E696">
            <v>8925</v>
          </cell>
          <cell r="F696">
            <v>2.9000000000000001E-2</v>
          </cell>
        </row>
        <row r="697">
          <cell r="A697" t="str">
            <v>51731-079LF</v>
          </cell>
          <cell r="B697" t="str">
            <v>51731-079LF PwrBlade RAH STB</v>
          </cell>
          <cell r="C697">
            <v>2E-3</v>
          </cell>
          <cell r="D697">
            <v>2975</v>
          </cell>
          <cell r="E697">
            <v>8925</v>
          </cell>
          <cell r="F697">
            <v>3.4000000000000002E-2</v>
          </cell>
        </row>
        <row r="698">
          <cell r="A698" t="str">
            <v>51731-080LF</v>
          </cell>
          <cell r="B698" t="str">
            <v>51731-080LF PwrBlade RAH STB</v>
          </cell>
          <cell r="C698">
            <v>2E-3</v>
          </cell>
          <cell r="D698">
            <v>2975</v>
          </cell>
          <cell r="E698">
            <v>8925</v>
          </cell>
          <cell r="F698">
            <v>3.4000000000000002E-2</v>
          </cell>
        </row>
        <row r="699">
          <cell r="A699" t="str">
            <v>51731-081LF</v>
          </cell>
          <cell r="B699" t="str">
            <v>51731-081LF Connector,PBRAH</v>
          </cell>
          <cell r="C699">
            <v>2E-3</v>
          </cell>
          <cell r="D699">
            <v>2975</v>
          </cell>
          <cell r="E699">
            <v>8925</v>
          </cell>
          <cell r="F699">
            <v>2.7E-2</v>
          </cell>
        </row>
        <row r="700">
          <cell r="A700" t="str">
            <v>51731-082LF</v>
          </cell>
          <cell r="B700" t="str">
            <v>51731-082LF Connector,PBRAH</v>
          </cell>
          <cell r="C700">
            <v>2E-3</v>
          </cell>
          <cell r="D700">
            <v>2975</v>
          </cell>
          <cell r="E700">
            <v>8925</v>
          </cell>
          <cell r="F700">
            <v>3.9E-2</v>
          </cell>
        </row>
        <row r="701">
          <cell r="A701" t="str">
            <v>51731-083LF</v>
          </cell>
          <cell r="B701" t="str">
            <v>51731-083LF Connector,PBRAH</v>
          </cell>
          <cell r="C701">
            <v>2E-3</v>
          </cell>
          <cell r="D701">
            <v>2975</v>
          </cell>
          <cell r="E701">
            <v>8925</v>
          </cell>
          <cell r="F701">
            <v>2.9000000000000001E-2</v>
          </cell>
        </row>
        <row r="702">
          <cell r="A702" t="str">
            <v>51731-086LF</v>
          </cell>
          <cell r="B702" t="str">
            <v>51731-086LF Connector,PBRAH</v>
          </cell>
          <cell r="C702">
            <v>2E-3</v>
          </cell>
          <cell r="D702">
            <v>2975</v>
          </cell>
          <cell r="E702">
            <v>8925</v>
          </cell>
          <cell r="F702">
            <v>3.2000000000000001E-2</v>
          </cell>
        </row>
        <row r="703">
          <cell r="A703" t="str">
            <v>51731-087LF</v>
          </cell>
          <cell r="B703" t="str">
            <v>51731-087LF Connector,PBRAH</v>
          </cell>
          <cell r="C703">
            <v>4.0000000000000001E-3</v>
          </cell>
          <cell r="D703">
            <v>1487.5</v>
          </cell>
          <cell r="E703">
            <v>4462.5</v>
          </cell>
          <cell r="F703">
            <v>6.8000000000000005E-2</v>
          </cell>
        </row>
        <row r="704">
          <cell r="A704" t="str">
            <v>51731-088LF</v>
          </cell>
          <cell r="B704" t="str">
            <v>51731-088LF Connector,PBRAH</v>
          </cell>
          <cell r="C704">
            <v>2E-3</v>
          </cell>
          <cell r="D704">
            <v>2975</v>
          </cell>
          <cell r="E704">
            <v>8925</v>
          </cell>
          <cell r="F704">
            <v>2.9000000000000001E-2</v>
          </cell>
        </row>
        <row r="705">
          <cell r="A705" t="str">
            <v>51731-089STLF</v>
          </cell>
          <cell r="B705" t="str">
            <v>51731-089STLF Connector,PBRAH</v>
          </cell>
          <cell r="C705">
            <v>2E-3</v>
          </cell>
          <cell r="D705">
            <v>2975</v>
          </cell>
          <cell r="E705">
            <v>8925</v>
          </cell>
          <cell r="F705">
            <v>2.9000000000000001E-2</v>
          </cell>
        </row>
        <row r="706">
          <cell r="A706" t="str">
            <v>51731-090STLF</v>
          </cell>
          <cell r="B706" t="str">
            <v>51731-090STLF Connector,PBRAH</v>
          </cell>
          <cell r="C706">
            <v>2E-3</v>
          </cell>
          <cell r="D706">
            <v>2975</v>
          </cell>
          <cell r="E706">
            <v>8925</v>
          </cell>
          <cell r="F706">
            <v>2.9000000000000001E-2</v>
          </cell>
        </row>
        <row r="707">
          <cell r="A707" t="str">
            <v>51731-091LF</v>
          </cell>
          <cell r="B707" t="str">
            <v>51731-091LF Connector,PBRAH</v>
          </cell>
          <cell r="C707">
            <v>2E-3</v>
          </cell>
          <cell r="D707">
            <v>2975</v>
          </cell>
          <cell r="E707">
            <v>8925</v>
          </cell>
          <cell r="F707">
            <v>3.4000000000000002E-2</v>
          </cell>
        </row>
        <row r="708">
          <cell r="A708" t="str">
            <v>51731-092LF</v>
          </cell>
          <cell r="B708" t="str">
            <v>51731-092LF Connector,PBRAH</v>
          </cell>
          <cell r="C708">
            <v>2E-3</v>
          </cell>
          <cell r="D708">
            <v>2975</v>
          </cell>
          <cell r="E708">
            <v>8925</v>
          </cell>
          <cell r="F708">
            <v>2.9000000000000001E-2</v>
          </cell>
        </row>
        <row r="709">
          <cell r="A709" t="str">
            <v>51731-094LF</v>
          </cell>
          <cell r="B709" t="str">
            <v>51731-094LF Connector,PBRAH</v>
          </cell>
          <cell r="C709">
            <v>3.3E-3</v>
          </cell>
          <cell r="D709">
            <v>1803.030303030303</v>
          </cell>
          <cell r="E709">
            <v>5409.090909090909</v>
          </cell>
          <cell r="F709">
            <v>3.2000000000000001E-2</v>
          </cell>
        </row>
        <row r="710">
          <cell r="A710" t="str">
            <v>51731-095LF</v>
          </cell>
          <cell r="B710" t="str">
            <v>51731-095LF PwrBlade RAH STB</v>
          </cell>
          <cell r="C710">
            <v>3.3E-3</v>
          </cell>
          <cell r="D710">
            <v>1803.030303030303</v>
          </cell>
          <cell r="E710">
            <v>5409.090909090909</v>
          </cell>
          <cell r="F710">
            <v>3.3000000000000002E-2</v>
          </cell>
        </row>
        <row r="711">
          <cell r="A711" t="str">
            <v>51731-096LF</v>
          </cell>
          <cell r="B711" t="str">
            <v>51731-096LF Connector,PBRAH</v>
          </cell>
          <cell r="C711">
            <v>3.3E-3</v>
          </cell>
          <cell r="D711">
            <v>1803.030303030303</v>
          </cell>
          <cell r="E711">
            <v>5409.090909090909</v>
          </cell>
          <cell r="F711">
            <v>3.2000000000000001E-2</v>
          </cell>
        </row>
        <row r="712">
          <cell r="A712" t="str">
            <v>51731-098LF</v>
          </cell>
          <cell r="B712" t="str">
            <v>51731-098LF Connector,PBRAH</v>
          </cell>
          <cell r="C712">
            <v>3.3E-3</v>
          </cell>
          <cell r="D712">
            <v>1803.030303030303</v>
          </cell>
          <cell r="E712">
            <v>5409.090909090909</v>
          </cell>
          <cell r="F712">
            <v>3.1E-2</v>
          </cell>
        </row>
        <row r="713">
          <cell r="A713" t="str">
            <v>51731-099LF</v>
          </cell>
          <cell r="B713" t="str">
            <v>51731-099LF Connector,PBRAH</v>
          </cell>
          <cell r="C713">
            <v>3.3E-3</v>
          </cell>
          <cell r="D713">
            <v>1803.030303030303</v>
          </cell>
          <cell r="E713">
            <v>5409.090909090909</v>
          </cell>
          <cell r="F713">
            <v>3.1E-2</v>
          </cell>
        </row>
        <row r="714">
          <cell r="A714" t="str">
            <v>51731-102LF</v>
          </cell>
          <cell r="B714" t="str">
            <v>51731-102LF PwrBlade RAH STB</v>
          </cell>
          <cell r="C714">
            <v>3.0000000000000001E-3</v>
          </cell>
          <cell r="D714">
            <v>1983.3333333333333</v>
          </cell>
          <cell r="E714">
            <v>5950</v>
          </cell>
          <cell r="F714">
            <v>2.7E-2</v>
          </cell>
        </row>
        <row r="715">
          <cell r="A715" t="str">
            <v>51731-105LF</v>
          </cell>
          <cell r="B715" t="str">
            <v>51731-105LF Connector,PBRAH</v>
          </cell>
          <cell r="C715">
            <v>1.4E-3</v>
          </cell>
          <cell r="D715">
            <v>4250</v>
          </cell>
          <cell r="E715">
            <v>12750</v>
          </cell>
          <cell r="F715">
            <v>6.7000000000000002E-3</v>
          </cell>
        </row>
        <row r="716">
          <cell r="A716" t="str">
            <v>51732-003LF</v>
          </cell>
          <cell r="B716" t="str">
            <v>51732-003LF Connector,PBRAH</v>
          </cell>
          <cell r="C716">
            <v>1.9E-3</v>
          </cell>
          <cell r="D716">
            <v>3131.5789473684213</v>
          </cell>
          <cell r="E716">
            <v>9394.7368421052633</v>
          </cell>
          <cell r="F716">
            <v>2.9899999999999999E-2</v>
          </cell>
        </row>
        <row r="717">
          <cell r="A717" t="str">
            <v>51732-007LF</v>
          </cell>
          <cell r="B717" t="str">
            <v>51732-007LF PwrBlade RAH</v>
          </cell>
          <cell r="C717">
            <v>1.9E-3</v>
          </cell>
          <cell r="D717">
            <v>3131.5789473684213</v>
          </cell>
          <cell r="E717">
            <v>9394.7368421052633</v>
          </cell>
          <cell r="F717">
            <v>1.0041558000000001E-2</v>
          </cell>
        </row>
        <row r="718">
          <cell r="A718" t="str">
            <v>51732-008LF</v>
          </cell>
          <cell r="B718" t="str">
            <v>51732-008LF Connector,PBRAH</v>
          </cell>
          <cell r="C718">
            <v>1.9E-3</v>
          </cell>
          <cell r="D718">
            <v>3131.5789473684213</v>
          </cell>
          <cell r="E718">
            <v>9394.7368421052633</v>
          </cell>
          <cell r="F718">
            <v>4.2099999999999999E-2</v>
          </cell>
        </row>
        <row r="719">
          <cell r="A719" t="str">
            <v>51732-011LF</v>
          </cell>
          <cell r="B719" t="str">
            <v>51732-011LF Connector,PBRAH</v>
          </cell>
          <cell r="C719">
            <v>1.9E-3</v>
          </cell>
          <cell r="D719">
            <v>3131.5789473684213</v>
          </cell>
          <cell r="E719">
            <v>9394.7368421052633</v>
          </cell>
          <cell r="F719">
            <v>2.18E-2</v>
          </cell>
        </row>
        <row r="720">
          <cell r="A720" t="str">
            <v>51732-013LF</v>
          </cell>
          <cell r="B720" t="str">
            <v>51732-013LF Connector,PBRAH</v>
          </cell>
          <cell r="C720">
            <v>2.0999999999999999E-3</v>
          </cell>
          <cell r="D720">
            <v>2833.3333333333335</v>
          </cell>
          <cell r="E720">
            <v>8500</v>
          </cell>
          <cell r="F720">
            <v>4.2099999999999999E-2</v>
          </cell>
        </row>
        <row r="721">
          <cell r="A721" t="str">
            <v>51732-015LF</v>
          </cell>
          <cell r="B721" t="str">
            <v>51732-015LF Connector,PBRAH</v>
          </cell>
          <cell r="C721">
            <v>6.1000000000000004E-3</v>
          </cell>
          <cell r="D721">
            <v>975.4098360655737</v>
          </cell>
          <cell r="E721">
            <v>2926.2295081967213</v>
          </cell>
          <cell r="F721">
            <v>1.6500000000000001E-2</v>
          </cell>
        </row>
        <row r="722">
          <cell r="A722" t="str">
            <v>51732-016LF</v>
          </cell>
          <cell r="B722" t="str">
            <v>51732-016LF Connector,PBRAH</v>
          </cell>
          <cell r="C722">
            <v>1.6000000000000001E-3</v>
          </cell>
          <cell r="D722">
            <v>3718.75</v>
          </cell>
          <cell r="E722">
            <v>11156.25</v>
          </cell>
          <cell r="F722">
            <v>2.7099999999999999E-2</v>
          </cell>
        </row>
        <row r="723">
          <cell r="A723" t="str">
            <v>51732-020LF</v>
          </cell>
          <cell r="B723" t="str">
            <v>51732-020LF PwrBlade RAH</v>
          </cell>
          <cell r="C723">
            <v>1.9E-3</v>
          </cell>
          <cell r="D723">
            <v>3131.5789473684213</v>
          </cell>
          <cell r="E723">
            <v>9394.7368421052633</v>
          </cell>
          <cell r="F723">
            <v>2.18E-2</v>
          </cell>
        </row>
        <row r="724">
          <cell r="A724" t="str">
            <v>51732-021LF</v>
          </cell>
          <cell r="B724" t="str">
            <v>51732-021LF PwrBlade RAH</v>
          </cell>
          <cell r="C724">
            <v>1.9E-3</v>
          </cell>
          <cell r="D724">
            <v>3131.5789473684213</v>
          </cell>
          <cell r="E724">
            <v>9394.7368421052633</v>
          </cell>
          <cell r="F724">
            <v>1.1736364000000001E-2</v>
          </cell>
        </row>
        <row r="725">
          <cell r="A725" t="str">
            <v>51732-022LF</v>
          </cell>
          <cell r="B725" t="str">
            <v>51732-022LF Connector,PBRAH</v>
          </cell>
          <cell r="C725">
            <v>1.9E-3</v>
          </cell>
          <cell r="D725">
            <v>3131.5789473684213</v>
          </cell>
          <cell r="E725">
            <v>9394.7368421052633</v>
          </cell>
          <cell r="F725">
            <v>2.64E-2</v>
          </cell>
        </row>
        <row r="726">
          <cell r="A726" t="str">
            <v>51732-023LF</v>
          </cell>
          <cell r="B726" t="str">
            <v>51732-023LF Connector,PBRAH</v>
          </cell>
          <cell r="C726">
            <v>1.9E-3</v>
          </cell>
          <cell r="D726">
            <v>3131.5789473684213</v>
          </cell>
          <cell r="E726">
            <v>9394.7368421052633</v>
          </cell>
          <cell r="F726">
            <v>8.2400000000000001E-2</v>
          </cell>
        </row>
        <row r="727">
          <cell r="A727" t="str">
            <v>51732-025LF</v>
          </cell>
          <cell r="B727" t="str">
            <v>51732-025LF Connector,PBRAH</v>
          </cell>
          <cell r="C727">
            <v>1.6000000000000001E-3</v>
          </cell>
          <cell r="D727">
            <v>3718.75</v>
          </cell>
          <cell r="E727">
            <v>11156.25</v>
          </cell>
          <cell r="F727">
            <v>2.9000000000000001E-2</v>
          </cell>
        </row>
        <row r="728">
          <cell r="A728" t="str">
            <v>51732-026LF</v>
          </cell>
          <cell r="B728" t="str">
            <v>51732-026LF PwrBlade RAH</v>
          </cell>
          <cell r="C728">
            <v>2.0999999999999999E-3</v>
          </cell>
          <cell r="D728">
            <v>2833.3333333333335</v>
          </cell>
          <cell r="E728">
            <v>8500</v>
          </cell>
          <cell r="F728">
            <v>1.4536364E-2</v>
          </cell>
        </row>
        <row r="729">
          <cell r="A729" t="str">
            <v>51732-027LF</v>
          </cell>
          <cell r="B729" t="str">
            <v>51732-027LF Connector,PBRAH</v>
          </cell>
          <cell r="C729">
            <v>2.0999999999999999E-3</v>
          </cell>
          <cell r="D729">
            <v>2833.3333333333335</v>
          </cell>
          <cell r="E729">
            <v>8500</v>
          </cell>
          <cell r="F729">
            <v>3.9399999999999998E-2</v>
          </cell>
        </row>
        <row r="730">
          <cell r="A730" t="str">
            <v>51732-028LF</v>
          </cell>
          <cell r="B730" t="str">
            <v>51732-028LF Connector,PBRAH</v>
          </cell>
          <cell r="C730">
            <v>1.6000000000000001E-3</v>
          </cell>
          <cell r="D730">
            <v>3718.75</v>
          </cell>
          <cell r="E730">
            <v>11156.25</v>
          </cell>
          <cell r="F730">
            <v>2.7099999999999999E-2</v>
          </cell>
        </row>
        <row r="731">
          <cell r="A731" t="str">
            <v>51732-029AULF</v>
          </cell>
          <cell r="B731" t="str">
            <v>51732-029AULF Connector,PBRAH</v>
          </cell>
          <cell r="C731">
            <v>1.9E-3</v>
          </cell>
          <cell r="D731">
            <v>3131.5789473684213</v>
          </cell>
          <cell r="E731">
            <v>9394.7368421052633</v>
          </cell>
          <cell r="F731">
            <v>3.4000000000000002E-2</v>
          </cell>
        </row>
        <row r="732">
          <cell r="A732" t="str">
            <v>51732-029LF</v>
          </cell>
          <cell r="B732" t="str">
            <v>51732-029LF Connector,PBRAH</v>
          </cell>
          <cell r="C732">
            <v>1.9E-3</v>
          </cell>
          <cell r="D732">
            <v>3131.5789473684213</v>
          </cell>
          <cell r="E732">
            <v>9394.7368421052633</v>
          </cell>
          <cell r="F732">
            <v>4.1099999999999998E-2</v>
          </cell>
        </row>
        <row r="733">
          <cell r="A733" t="str">
            <v>51732-029PGSALF</v>
          </cell>
          <cell r="B733" t="str">
            <v>51732-029PGSALF Connector,PBRAH</v>
          </cell>
          <cell r="C733">
            <v>1.9E-3</v>
          </cell>
          <cell r="D733">
            <v>3131.5789473684213</v>
          </cell>
          <cell r="E733">
            <v>9394.7368421052633</v>
          </cell>
          <cell r="F733">
            <v>4.1099999999999998E-2</v>
          </cell>
        </row>
        <row r="734">
          <cell r="A734" t="str">
            <v>51732-030LF</v>
          </cell>
          <cell r="B734" t="str">
            <v>51732-030LF Connector,PBRAH</v>
          </cell>
          <cell r="C734">
            <v>1.6000000000000001E-3</v>
          </cell>
          <cell r="D734">
            <v>3718.75</v>
          </cell>
          <cell r="E734">
            <v>11156.25</v>
          </cell>
          <cell r="F734">
            <v>2.9000000000000001E-2</v>
          </cell>
        </row>
        <row r="735">
          <cell r="A735" t="str">
            <v>51732-032LF</v>
          </cell>
          <cell r="B735" t="str">
            <v>51732-032LF Connector,PBRAH</v>
          </cell>
          <cell r="C735">
            <v>1.6000000000000001E-3</v>
          </cell>
          <cell r="D735">
            <v>3718.75</v>
          </cell>
          <cell r="E735">
            <v>11156.25</v>
          </cell>
          <cell r="F735">
            <v>1.55E-2</v>
          </cell>
        </row>
        <row r="736">
          <cell r="A736" t="str">
            <v>51732-033LF</v>
          </cell>
          <cell r="B736" t="str">
            <v>51732-033LF Connector,PBRAH</v>
          </cell>
          <cell r="C736">
            <v>1.6000000000000001E-3</v>
          </cell>
          <cell r="D736">
            <v>3718.75</v>
          </cell>
          <cell r="E736">
            <v>11156.25</v>
          </cell>
          <cell r="F736">
            <v>2.7099999999999999E-2</v>
          </cell>
        </row>
        <row r="737">
          <cell r="A737" t="str">
            <v>51732-035LF</v>
          </cell>
          <cell r="B737" t="str">
            <v>51732-035LF PwrBlade RAH</v>
          </cell>
          <cell r="C737">
            <v>1.6000000000000001E-3</v>
          </cell>
          <cell r="D737">
            <v>3718.75</v>
          </cell>
          <cell r="E737">
            <v>11156.25</v>
          </cell>
          <cell r="F737">
            <v>2.9899999999999999E-2</v>
          </cell>
        </row>
        <row r="738">
          <cell r="A738" t="str">
            <v>51732-036LF</v>
          </cell>
          <cell r="B738" t="str">
            <v>51732-036LF Connector,PBRAH</v>
          </cell>
          <cell r="C738">
            <v>2.0999999999999999E-3</v>
          </cell>
          <cell r="D738">
            <v>2833.3333333333335</v>
          </cell>
          <cell r="E738">
            <v>8500</v>
          </cell>
          <cell r="F738">
            <v>4.1099999999999998E-2</v>
          </cell>
        </row>
        <row r="739">
          <cell r="A739" t="str">
            <v>51732-038LF</v>
          </cell>
          <cell r="B739" t="str">
            <v>51732-038LF Connector,PBRAH</v>
          </cell>
          <cell r="C739">
            <v>1.6000000000000001E-3</v>
          </cell>
          <cell r="D739">
            <v>3718.75</v>
          </cell>
          <cell r="E739">
            <v>11156.25</v>
          </cell>
          <cell r="F739">
            <v>2.9000000000000001E-2</v>
          </cell>
        </row>
        <row r="740">
          <cell r="A740" t="str">
            <v>51732-039LF</v>
          </cell>
          <cell r="B740" t="str">
            <v>51732-039LF Connector,PBRAH</v>
          </cell>
          <cell r="C740">
            <v>1.9E-3</v>
          </cell>
          <cell r="D740">
            <v>3131.5789473684213</v>
          </cell>
          <cell r="E740">
            <v>9394.7368421052633</v>
          </cell>
          <cell r="F740">
            <v>4.1099999999999998E-2</v>
          </cell>
        </row>
        <row r="741">
          <cell r="A741" t="str">
            <v>51732-042LF</v>
          </cell>
          <cell r="B741" t="str">
            <v>51732-042LF Connector,PBRAH</v>
          </cell>
          <cell r="C741">
            <v>2E-3</v>
          </cell>
          <cell r="D741">
            <v>2975</v>
          </cell>
          <cell r="E741">
            <v>8925</v>
          </cell>
          <cell r="F741">
            <v>3.9E-2</v>
          </cell>
        </row>
        <row r="742">
          <cell r="A742" t="str">
            <v>51732-043LF</v>
          </cell>
          <cell r="B742" t="str">
            <v>51732-043LF Connector,PBRAH</v>
          </cell>
          <cell r="C742">
            <v>1.6000000000000001E-3</v>
          </cell>
          <cell r="D742">
            <v>3718.75</v>
          </cell>
          <cell r="E742">
            <v>11156.25</v>
          </cell>
          <cell r="F742">
            <v>2.9899999999999999E-2</v>
          </cell>
        </row>
        <row r="743">
          <cell r="A743" t="str">
            <v>51732-044LF</v>
          </cell>
          <cell r="B743" t="str">
            <v>51732-044LF Connector,PBRAH</v>
          </cell>
          <cell r="C743">
            <v>1.9E-3</v>
          </cell>
          <cell r="D743">
            <v>3131.5789473684213</v>
          </cell>
          <cell r="E743">
            <v>9394.7368421052633</v>
          </cell>
          <cell r="F743">
            <v>3.1800000000000002E-2</v>
          </cell>
        </row>
        <row r="744">
          <cell r="A744" t="str">
            <v>51732-045LF</v>
          </cell>
          <cell r="B744" t="str">
            <v>51732-045LF PwrBlade RAH STB</v>
          </cell>
          <cell r="C744">
            <v>1.9E-3</v>
          </cell>
          <cell r="D744">
            <v>3131.5789473684213</v>
          </cell>
          <cell r="E744">
            <v>9394.7368421052633</v>
          </cell>
          <cell r="F744">
            <v>2.9899999999999999E-2</v>
          </cell>
        </row>
        <row r="745">
          <cell r="A745" t="str">
            <v>51732-048LF</v>
          </cell>
          <cell r="B745" t="str">
            <v>51732-048LF PwrBlade RAH STB</v>
          </cell>
          <cell r="C745">
            <v>1.9E-3</v>
          </cell>
          <cell r="D745">
            <v>3131.5789473684213</v>
          </cell>
          <cell r="E745">
            <v>9394.7368421052633</v>
          </cell>
          <cell r="F745">
            <v>3.5843023000000002E-2</v>
          </cell>
        </row>
        <row r="746">
          <cell r="A746" t="str">
            <v>51732-049LF</v>
          </cell>
          <cell r="B746" t="str">
            <v>51732-049LF PwrBlade RAH</v>
          </cell>
          <cell r="C746">
            <v>2E-3</v>
          </cell>
          <cell r="D746">
            <v>2975</v>
          </cell>
          <cell r="E746">
            <v>8925</v>
          </cell>
          <cell r="F746">
            <v>3.6999999999999998E-2</v>
          </cell>
        </row>
        <row r="747">
          <cell r="A747" t="str">
            <v>51732-050LF</v>
          </cell>
          <cell r="B747" t="str">
            <v>51732-050LF Connector,PBRAH</v>
          </cell>
          <cell r="C747">
            <v>2E-3</v>
          </cell>
          <cell r="D747">
            <v>2975</v>
          </cell>
          <cell r="E747">
            <v>8925</v>
          </cell>
          <cell r="F747">
            <v>3.9E-2</v>
          </cell>
        </row>
        <row r="748">
          <cell r="A748" t="str">
            <v>51732-052LF</v>
          </cell>
          <cell r="B748" t="str">
            <v>51732-052LF Connector,PBRAH</v>
          </cell>
          <cell r="C748">
            <v>2E-3</v>
          </cell>
          <cell r="D748">
            <v>2975</v>
          </cell>
          <cell r="E748">
            <v>8925</v>
          </cell>
          <cell r="F748">
            <v>2.8000000000000001E-2</v>
          </cell>
        </row>
        <row r="749">
          <cell r="A749" t="str">
            <v>51732-053LF</v>
          </cell>
          <cell r="B749" t="str">
            <v>51732-053LF PwrBlade RAH</v>
          </cell>
          <cell r="C749">
            <v>2E-3</v>
          </cell>
          <cell r="D749">
            <v>2975</v>
          </cell>
          <cell r="E749">
            <v>8925</v>
          </cell>
          <cell r="F749">
            <v>2.9000000000000001E-2</v>
          </cell>
        </row>
        <row r="750">
          <cell r="A750" t="str">
            <v>51732-054LF</v>
          </cell>
          <cell r="B750" t="str">
            <v>51732-054LF Connector,PBRAH</v>
          </cell>
          <cell r="C750">
            <v>2E-3</v>
          </cell>
          <cell r="D750">
            <v>2975</v>
          </cell>
          <cell r="E750">
            <v>8925</v>
          </cell>
          <cell r="F750">
            <v>2.8000000000000001E-2</v>
          </cell>
        </row>
        <row r="751">
          <cell r="A751" t="str">
            <v>51732-056LF</v>
          </cell>
          <cell r="B751" t="str">
            <v>51732-056LF Connector,PBRAH</v>
          </cell>
          <cell r="C751">
            <v>2E-3</v>
          </cell>
          <cell r="D751">
            <v>2975</v>
          </cell>
          <cell r="E751">
            <v>8925</v>
          </cell>
          <cell r="F751">
            <v>2.41E-2</v>
          </cell>
        </row>
        <row r="752">
          <cell r="A752" t="str">
            <v>51732-056PGSALF</v>
          </cell>
          <cell r="B752" t="str">
            <v>51732-056PGSALF Connector,PBRAH</v>
          </cell>
          <cell r="C752">
            <v>2E-3</v>
          </cell>
          <cell r="D752">
            <v>2975</v>
          </cell>
          <cell r="E752">
            <v>8925</v>
          </cell>
          <cell r="F752">
            <v>2.6700000000000002E-2</v>
          </cell>
        </row>
        <row r="753">
          <cell r="A753" t="str">
            <v>51732-057LF</v>
          </cell>
          <cell r="B753" t="str">
            <v>51732-057LF Connector,PBRAH</v>
          </cell>
          <cell r="C753">
            <v>2E-3</v>
          </cell>
          <cell r="D753">
            <v>2975</v>
          </cell>
          <cell r="E753">
            <v>8925</v>
          </cell>
          <cell r="F753">
            <v>3.4000000000000002E-2</v>
          </cell>
        </row>
        <row r="754">
          <cell r="A754" t="str">
            <v>51732-058LF</v>
          </cell>
          <cell r="B754" t="str">
            <v>51732-058LF Connector,PBRAH</v>
          </cell>
          <cell r="C754">
            <v>2E-3</v>
          </cell>
          <cell r="D754">
            <v>2975</v>
          </cell>
          <cell r="E754">
            <v>8925</v>
          </cell>
          <cell r="F754">
            <v>4.3999999999999997E-2</v>
          </cell>
        </row>
        <row r="755">
          <cell r="A755" t="str">
            <v>51732-061LF</v>
          </cell>
          <cell r="B755" t="str">
            <v>51732-061LF Connector,PBRAH</v>
          </cell>
          <cell r="C755">
            <v>2E-3</v>
          </cell>
          <cell r="D755">
            <v>2975</v>
          </cell>
          <cell r="E755">
            <v>8925</v>
          </cell>
          <cell r="F755">
            <v>3.4799999999999998E-2</v>
          </cell>
        </row>
        <row r="756">
          <cell r="A756" t="str">
            <v>51732-062LF</v>
          </cell>
          <cell r="B756" t="str">
            <v>51732-062LF Connector,PBRAH</v>
          </cell>
          <cell r="C756">
            <v>2E-3</v>
          </cell>
          <cell r="D756">
            <v>2975</v>
          </cell>
          <cell r="E756">
            <v>8925</v>
          </cell>
          <cell r="F756">
            <v>2.8000000000000001E-2</v>
          </cell>
        </row>
        <row r="757">
          <cell r="A757" t="str">
            <v>51732-063LF</v>
          </cell>
          <cell r="B757" t="str">
            <v>51732-063LF Connector,PBRAH</v>
          </cell>
          <cell r="C757">
            <v>2E-3</v>
          </cell>
          <cell r="D757">
            <v>2975</v>
          </cell>
          <cell r="E757">
            <v>8925</v>
          </cell>
          <cell r="F757">
            <v>3.3000000000000002E-2</v>
          </cell>
        </row>
        <row r="758">
          <cell r="A758" t="str">
            <v>51732-064LF</v>
          </cell>
          <cell r="B758" t="str">
            <v>51732-064LF Connector,PBRAH</v>
          </cell>
          <cell r="C758">
            <v>2E-3</v>
          </cell>
          <cell r="D758">
            <v>2975</v>
          </cell>
          <cell r="E758">
            <v>8925</v>
          </cell>
          <cell r="F758">
            <v>2.7E-2</v>
          </cell>
        </row>
        <row r="759">
          <cell r="A759" t="str">
            <v>51732-065LF</v>
          </cell>
          <cell r="B759" t="str">
            <v>51732-065LF Connector,PBRAH</v>
          </cell>
          <cell r="C759">
            <v>2E-3</v>
          </cell>
          <cell r="D759">
            <v>2975</v>
          </cell>
          <cell r="E759">
            <v>8925</v>
          </cell>
          <cell r="F759">
            <v>2.9000000000000001E-2</v>
          </cell>
        </row>
        <row r="760">
          <cell r="A760" t="str">
            <v>51732-068LF</v>
          </cell>
          <cell r="B760" t="str">
            <v>51732-068LF Connector,PBRAH</v>
          </cell>
          <cell r="C760">
            <v>2E-3</v>
          </cell>
          <cell r="D760">
            <v>2975</v>
          </cell>
          <cell r="E760">
            <v>8925</v>
          </cell>
          <cell r="F760">
            <v>1.1599999999999999E-2</v>
          </cell>
        </row>
        <row r="761">
          <cell r="A761" t="str">
            <v>51732-070LF</v>
          </cell>
          <cell r="B761" t="str">
            <v>51732-070LF Connector,PBRAH</v>
          </cell>
          <cell r="C761">
            <v>2E-3</v>
          </cell>
          <cell r="D761">
            <v>2975</v>
          </cell>
          <cell r="E761">
            <v>8925</v>
          </cell>
          <cell r="F761">
            <v>2.8000000000000001E-2</v>
          </cell>
        </row>
        <row r="762">
          <cell r="A762" t="str">
            <v>51732-071LF</v>
          </cell>
          <cell r="B762" t="str">
            <v>51732-071LF Connector,PBRAH</v>
          </cell>
          <cell r="C762">
            <v>2E-3</v>
          </cell>
          <cell r="D762">
            <v>2975</v>
          </cell>
          <cell r="E762">
            <v>8925</v>
          </cell>
          <cell r="F762">
            <v>2.9000000000000001E-2</v>
          </cell>
        </row>
        <row r="763">
          <cell r="A763" t="str">
            <v>51732-074LF</v>
          </cell>
          <cell r="B763" t="str">
            <v>51732-074LF Connector,PBRAH</v>
          </cell>
          <cell r="C763">
            <v>2E-3</v>
          </cell>
          <cell r="D763">
            <v>2975</v>
          </cell>
          <cell r="E763">
            <v>8925</v>
          </cell>
          <cell r="F763">
            <v>3.1E-2</v>
          </cell>
        </row>
        <row r="764">
          <cell r="A764" t="str">
            <v>51732-075LF</v>
          </cell>
          <cell r="B764" t="str">
            <v>51732-075LF PwrBlade RAH</v>
          </cell>
          <cell r="C764">
            <v>2E-3</v>
          </cell>
          <cell r="D764">
            <v>2975</v>
          </cell>
          <cell r="E764">
            <v>8925</v>
          </cell>
          <cell r="F764">
            <v>1.83E-2</v>
          </cell>
        </row>
        <row r="765">
          <cell r="A765" t="str">
            <v>51732-076LF</v>
          </cell>
          <cell r="B765" t="str">
            <v>51732-076LF Connector,PBRAH</v>
          </cell>
          <cell r="C765">
            <v>2E-3</v>
          </cell>
          <cell r="D765">
            <v>2975</v>
          </cell>
          <cell r="E765">
            <v>8925</v>
          </cell>
          <cell r="F765">
            <v>3.9E-2</v>
          </cell>
        </row>
        <row r="766">
          <cell r="A766" t="str">
            <v>51732-077LF</v>
          </cell>
          <cell r="B766" t="str">
            <v>51732-077LF Connector,PBRAH</v>
          </cell>
          <cell r="C766">
            <v>2E-3</v>
          </cell>
          <cell r="D766">
            <v>2975</v>
          </cell>
          <cell r="E766">
            <v>8925</v>
          </cell>
          <cell r="F766">
            <v>2.3E-2</v>
          </cell>
        </row>
        <row r="767">
          <cell r="A767" t="str">
            <v>51732-079LF</v>
          </cell>
          <cell r="B767" t="str">
            <v>51732-079LF Connector,PBRAH</v>
          </cell>
          <cell r="C767">
            <v>2E-3</v>
          </cell>
          <cell r="D767">
            <v>2975</v>
          </cell>
          <cell r="E767">
            <v>8925</v>
          </cell>
          <cell r="F767">
            <v>3.1E-2</v>
          </cell>
        </row>
        <row r="768">
          <cell r="A768" t="str">
            <v>51732-082LF</v>
          </cell>
          <cell r="B768" t="str">
            <v>51732-082LF Connector,PBRAH</v>
          </cell>
          <cell r="C768">
            <v>2E-3</v>
          </cell>
          <cell r="D768">
            <v>2975</v>
          </cell>
          <cell r="E768">
            <v>8925</v>
          </cell>
          <cell r="F768">
            <v>3.5000000000000003E-2</v>
          </cell>
        </row>
        <row r="769">
          <cell r="A769" t="str">
            <v>51732-083LF</v>
          </cell>
          <cell r="B769" t="str">
            <v>51732-083LF Connector,PBRAH</v>
          </cell>
          <cell r="C769">
            <v>2E-3</v>
          </cell>
          <cell r="D769">
            <v>2975</v>
          </cell>
          <cell r="E769">
            <v>8925</v>
          </cell>
          <cell r="F769">
            <v>2.5000000000000001E-2</v>
          </cell>
        </row>
        <row r="770">
          <cell r="A770" t="str">
            <v>51732-085LF</v>
          </cell>
          <cell r="B770" t="str">
            <v>51732-085LF Connector,PBRAH</v>
          </cell>
          <cell r="C770">
            <v>2E-3</v>
          </cell>
          <cell r="D770">
            <v>2975</v>
          </cell>
          <cell r="E770">
            <v>8925</v>
          </cell>
          <cell r="F770">
            <v>3.5999999999999997E-2</v>
          </cell>
        </row>
        <row r="771">
          <cell r="A771" t="str">
            <v>51732-086LF</v>
          </cell>
          <cell r="B771" t="str">
            <v>51732-086LF Connector,PBRAH</v>
          </cell>
          <cell r="C771">
            <v>2E-3</v>
          </cell>
          <cell r="D771">
            <v>2975</v>
          </cell>
          <cell r="E771">
            <v>8925</v>
          </cell>
          <cell r="F771">
            <v>3.1E-2</v>
          </cell>
        </row>
        <row r="772">
          <cell r="A772" t="str">
            <v>51732-087LF</v>
          </cell>
          <cell r="B772" t="str">
            <v>51732-087LF Connector,PBRAH</v>
          </cell>
          <cell r="C772">
            <v>2E-3</v>
          </cell>
          <cell r="D772">
            <v>2975</v>
          </cell>
          <cell r="E772">
            <v>8925</v>
          </cell>
          <cell r="F772">
            <v>2.8000000000000001E-2</v>
          </cell>
        </row>
        <row r="773">
          <cell r="A773" t="str">
            <v>51732-089LF</v>
          </cell>
          <cell r="B773" t="str">
            <v>51732-089LF Connector,PBRAH</v>
          </cell>
          <cell r="C773">
            <v>2E-3</v>
          </cell>
          <cell r="D773">
            <v>2975</v>
          </cell>
          <cell r="E773">
            <v>8925</v>
          </cell>
          <cell r="F773">
            <v>3.2000000000000001E-2</v>
          </cell>
        </row>
        <row r="774">
          <cell r="A774" t="str">
            <v>51732-091LF</v>
          </cell>
          <cell r="B774" t="str">
            <v>51732-091LF PwrBlade RAH STB</v>
          </cell>
          <cell r="C774">
            <v>2E-3</v>
          </cell>
          <cell r="D774">
            <v>2975</v>
          </cell>
          <cell r="E774">
            <v>8925</v>
          </cell>
          <cell r="F774">
            <v>1.7659999999999999E-2</v>
          </cell>
        </row>
        <row r="775">
          <cell r="A775" t="str">
            <v>51732-092LF</v>
          </cell>
          <cell r="B775" t="str">
            <v>51732-092LF Connector,PBRAH</v>
          </cell>
          <cell r="C775">
            <v>2E-3</v>
          </cell>
          <cell r="D775">
            <v>2975</v>
          </cell>
          <cell r="E775">
            <v>8925</v>
          </cell>
          <cell r="F775">
            <v>2.9000000000000001E-2</v>
          </cell>
        </row>
        <row r="776">
          <cell r="A776" t="str">
            <v>51732-094LF</v>
          </cell>
          <cell r="B776" t="str">
            <v>51732-094LF Connector,PBRAH</v>
          </cell>
          <cell r="C776">
            <v>3.3E-3</v>
          </cell>
          <cell r="D776">
            <v>1803.030303030303</v>
          </cell>
          <cell r="E776">
            <v>5409.090909090909</v>
          </cell>
          <cell r="F776">
            <v>3.5000000000000003E-2</v>
          </cell>
        </row>
        <row r="777">
          <cell r="A777" t="str">
            <v>51733-004LF</v>
          </cell>
          <cell r="B777" t="str">
            <v>51733-004LF PwrBlade RAH</v>
          </cell>
          <cell r="C777">
            <v>6.1000000000000004E-3</v>
          </cell>
          <cell r="D777">
            <v>975.4098360655737</v>
          </cell>
          <cell r="E777">
            <v>2926.2295081967213</v>
          </cell>
          <cell r="F777">
            <v>2.1499999999999998E-2</v>
          </cell>
        </row>
        <row r="778">
          <cell r="A778" t="str">
            <v>51733-005LF</v>
          </cell>
          <cell r="B778" t="str">
            <v>51733-005LF Connector,PBRAH</v>
          </cell>
          <cell r="C778">
            <v>6.1000000000000004E-3</v>
          </cell>
          <cell r="D778">
            <v>975.4098360655737</v>
          </cell>
          <cell r="E778">
            <v>2926.2295081967213</v>
          </cell>
          <cell r="F778">
            <v>2.24E-2</v>
          </cell>
        </row>
        <row r="779">
          <cell r="A779" t="str">
            <v>51733-010LF</v>
          </cell>
          <cell r="B779" t="str">
            <v>51733-010LF Connector,PBRAH</v>
          </cell>
          <cell r="C779">
            <v>6.1000000000000004E-3</v>
          </cell>
          <cell r="D779">
            <v>975.4098360655737</v>
          </cell>
          <cell r="E779">
            <v>2926.2295081967213</v>
          </cell>
          <cell r="F779">
            <v>1.7999999999999999E-2</v>
          </cell>
        </row>
        <row r="780">
          <cell r="A780" t="str">
            <v>51733-011LF</v>
          </cell>
          <cell r="B780" t="str">
            <v>51733-011LF Connector,PBRAH</v>
          </cell>
          <cell r="C780">
            <v>6.1000000000000004E-3</v>
          </cell>
          <cell r="D780">
            <v>975.4098360655737</v>
          </cell>
          <cell r="E780">
            <v>2926.2295081967213</v>
          </cell>
          <cell r="F780">
            <v>1.52E-2</v>
          </cell>
        </row>
        <row r="781">
          <cell r="A781" t="str">
            <v>51733-013LF</v>
          </cell>
          <cell r="B781" t="str">
            <v>51733-013LF Connector,PBRAH</v>
          </cell>
          <cell r="C781">
            <v>6.1000000000000004E-3</v>
          </cell>
          <cell r="D781">
            <v>975.4098360655737</v>
          </cell>
          <cell r="E781">
            <v>2926.2295081967213</v>
          </cell>
          <cell r="F781">
            <v>2.5000000000000001E-2</v>
          </cell>
        </row>
        <row r="782">
          <cell r="A782" t="str">
            <v>51733-014LF</v>
          </cell>
          <cell r="B782" t="str">
            <v>51733-014LF PwrBlade RAH STB</v>
          </cell>
          <cell r="C782">
            <v>6.1000000000000004E-3</v>
          </cell>
          <cell r="D782">
            <v>975.4098360655737</v>
          </cell>
          <cell r="E782">
            <v>2926.2295081967213</v>
          </cell>
          <cell r="F782">
            <v>1.7000000000000001E-2</v>
          </cell>
        </row>
        <row r="783">
          <cell r="A783" t="str">
            <v>51733-015LF</v>
          </cell>
          <cell r="B783" t="str">
            <v>51733-015LF Connector,PBRAH</v>
          </cell>
          <cell r="C783">
            <v>6.1000000000000004E-3</v>
          </cell>
          <cell r="D783">
            <v>975.4098360655737</v>
          </cell>
          <cell r="E783">
            <v>2926.2295081967213</v>
          </cell>
          <cell r="F783">
            <v>0.02</v>
          </cell>
        </row>
        <row r="784">
          <cell r="A784" t="str">
            <v>51733-018LF</v>
          </cell>
          <cell r="B784" t="str">
            <v>51733-018LF PwrBlade RAH STB</v>
          </cell>
          <cell r="C784">
            <v>6.1000000000000004E-3</v>
          </cell>
          <cell r="D784">
            <v>975.4098360655737</v>
          </cell>
          <cell r="E784">
            <v>2926.2295081967213</v>
          </cell>
          <cell r="F784">
            <v>0.02</v>
          </cell>
        </row>
        <row r="785">
          <cell r="A785" t="str">
            <v>51733-019LF</v>
          </cell>
          <cell r="B785" t="str">
            <v>51733-019LF Connector,PBRAH</v>
          </cell>
          <cell r="C785">
            <v>3.0000000000000001E-3</v>
          </cell>
          <cell r="D785">
            <v>1983.3333333333333</v>
          </cell>
          <cell r="E785">
            <v>5950</v>
          </cell>
          <cell r="F785">
            <v>2.3E-2</v>
          </cell>
        </row>
        <row r="786">
          <cell r="A786" t="str">
            <v>51734-001LF</v>
          </cell>
          <cell r="B786" t="str">
            <v>51734-001LF Connector,PBRAH</v>
          </cell>
          <cell r="C786">
            <v>1.9E-3</v>
          </cell>
          <cell r="D786">
            <v>3131.5789473684213</v>
          </cell>
          <cell r="E786">
            <v>9394.7368421052633</v>
          </cell>
          <cell r="F786">
            <v>3.27E-2</v>
          </cell>
        </row>
        <row r="787">
          <cell r="A787" t="str">
            <v>51734-006LF</v>
          </cell>
          <cell r="B787" t="str">
            <v>51734-006LF PwrBlade RAH</v>
          </cell>
          <cell r="C787">
            <v>2E-3</v>
          </cell>
          <cell r="D787">
            <v>2975</v>
          </cell>
          <cell r="E787">
            <v>8925</v>
          </cell>
          <cell r="F787">
            <v>4.4999999999999998E-2</v>
          </cell>
        </row>
        <row r="788">
          <cell r="A788" t="str">
            <v>51734-007LF</v>
          </cell>
          <cell r="B788" t="str">
            <v>51734-007LF Connector,PBRAH</v>
          </cell>
          <cell r="C788">
            <v>2E-3</v>
          </cell>
          <cell r="D788">
            <v>2975</v>
          </cell>
          <cell r="E788">
            <v>8925</v>
          </cell>
          <cell r="F788">
            <v>3.9E-2</v>
          </cell>
        </row>
        <row r="789">
          <cell r="A789" t="str">
            <v>51736-001LF</v>
          </cell>
          <cell r="B789" t="str">
            <v>51736-001LF Connector,PBRAH</v>
          </cell>
          <cell r="C789">
            <v>1.9E-3</v>
          </cell>
          <cell r="D789">
            <v>3131.5789473684213</v>
          </cell>
          <cell r="E789">
            <v>9394.7368421052633</v>
          </cell>
          <cell r="F789">
            <v>3.6499999999999998E-2</v>
          </cell>
        </row>
        <row r="790">
          <cell r="A790" t="str">
            <v>51736-004LF</v>
          </cell>
          <cell r="B790" t="str">
            <v>51736-004LF PwrBlade RAH</v>
          </cell>
          <cell r="C790">
            <v>1.6000000000000001E-3</v>
          </cell>
          <cell r="D790">
            <v>3718.75</v>
          </cell>
          <cell r="E790">
            <v>11156.25</v>
          </cell>
          <cell r="F790">
            <v>1.9699999999999999E-2</v>
          </cell>
        </row>
        <row r="791">
          <cell r="A791" t="str">
            <v>51736-005LF</v>
          </cell>
          <cell r="B791" t="str">
            <v>51736-005LF Connector,PBRAH</v>
          </cell>
          <cell r="C791">
            <v>2E-3</v>
          </cell>
          <cell r="D791">
            <v>2975</v>
          </cell>
          <cell r="E791">
            <v>8925</v>
          </cell>
          <cell r="F791">
            <v>2.8000000000000001E-2</v>
          </cell>
        </row>
        <row r="792">
          <cell r="A792" t="str">
            <v>51736-006LF</v>
          </cell>
          <cell r="B792" t="str">
            <v>51736-006LF Connector,PBRAH</v>
          </cell>
          <cell r="C792">
            <v>2E-3</v>
          </cell>
          <cell r="D792">
            <v>2975</v>
          </cell>
          <cell r="E792">
            <v>8925</v>
          </cell>
          <cell r="F792">
            <v>3.5099999999999999E-2</v>
          </cell>
        </row>
        <row r="793">
          <cell r="A793" t="str">
            <v>51736-007LF</v>
          </cell>
          <cell r="B793" t="str">
            <v>51736-007LF Connector,PBRAH</v>
          </cell>
          <cell r="C793">
            <v>2E-3</v>
          </cell>
          <cell r="D793">
            <v>2975</v>
          </cell>
          <cell r="E793">
            <v>8925</v>
          </cell>
          <cell r="F793">
            <v>2.7E-2</v>
          </cell>
        </row>
        <row r="794">
          <cell r="A794" t="str">
            <v>51740-10001204AALF</v>
          </cell>
          <cell r="B794" t="str">
            <v>51740-10001204AALF Connector,PBVTR</v>
          </cell>
          <cell r="C794">
            <v>2E-3</v>
          </cell>
          <cell r="D794">
            <v>2975</v>
          </cell>
          <cell r="E794">
            <v>8925</v>
          </cell>
          <cell r="F794">
            <v>2.5999999999999999E-2</v>
          </cell>
        </row>
        <row r="795">
          <cell r="A795" t="str">
            <v>51740-10003200CALF</v>
          </cell>
          <cell r="B795" t="str">
            <v>51740-10003200CALF Connector,PBVTR</v>
          </cell>
          <cell r="C795">
            <v>1.4E-2</v>
          </cell>
          <cell r="D795">
            <v>425</v>
          </cell>
          <cell r="E795">
            <v>1275</v>
          </cell>
          <cell r="F795">
            <v>3.8999999999999998E-3</v>
          </cell>
        </row>
        <row r="796">
          <cell r="A796" t="str">
            <v>51740-10003606AALF</v>
          </cell>
          <cell r="B796" t="str">
            <v>51740-10003606AALF Connector,PBVTR</v>
          </cell>
          <cell r="C796">
            <v>4.3E-3</v>
          </cell>
          <cell r="D796">
            <v>1383.7209302325582</v>
          </cell>
          <cell r="E796">
            <v>4151.1627906976746</v>
          </cell>
          <cell r="F796">
            <v>1.6199999999999999E-2</v>
          </cell>
        </row>
        <row r="797">
          <cell r="A797" t="str">
            <v>51740-10014800AALF</v>
          </cell>
          <cell r="B797" t="str">
            <v>51740-10014800AALF Connector,PBVTR</v>
          </cell>
          <cell r="C797">
            <v>1.3599999999999999E-2</v>
          </cell>
          <cell r="D797">
            <v>437.50000000000006</v>
          </cell>
          <cell r="E797">
            <v>1312.5000000000002</v>
          </cell>
          <cell r="F797">
            <v>2.5999999999999999E-2</v>
          </cell>
        </row>
        <row r="798">
          <cell r="A798" t="str">
            <v>51740-10100401CCLF</v>
          </cell>
          <cell r="B798" t="str">
            <v>51740-10100401CCLF Connector,PBVTR</v>
          </cell>
          <cell r="C798">
            <v>2E-3</v>
          </cell>
          <cell r="D798">
            <v>2975</v>
          </cell>
          <cell r="E798">
            <v>8925</v>
          </cell>
          <cell r="F798">
            <v>2.1999999999999999E-2</v>
          </cell>
        </row>
        <row r="799">
          <cell r="A799" t="str">
            <v>51740-10100404CCLF</v>
          </cell>
          <cell r="B799" t="str">
            <v>51740-10100404CCLF Connector,PBVTR</v>
          </cell>
          <cell r="C799">
            <v>2E-3</v>
          </cell>
          <cell r="D799">
            <v>2975</v>
          </cell>
          <cell r="E799">
            <v>8925</v>
          </cell>
          <cell r="F799">
            <v>3.2000000000000001E-2</v>
          </cell>
        </row>
        <row r="800">
          <cell r="A800" t="str">
            <v>51740-10100801AALF</v>
          </cell>
          <cell r="B800" t="str">
            <v>51740-10100801AALF PwrBlade VR</v>
          </cell>
          <cell r="C800">
            <v>1.9166669999999999E-3</v>
          </cell>
          <cell r="D800">
            <v>3104.3472862004724</v>
          </cell>
          <cell r="E800">
            <v>9313.0418586014166</v>
          </cell>
          <cell r="F800">
            <v>2.3E-2</v>
          </cell>
        </row>
        <row r="801">
          <cell r="A801" t="str">
            <v>51740-10100801ACLF</v>
          </cell>
          <cell r="B801" t="str">
            <v>51740-10100801ACLF Connector,PBVTR</v>
          </cell>
          <cell r="C801">
            <v>2E-3</v>
          </cell>
          <cell r="D801">
            <v>2975</v>
          </cell>
          <cell r="E801">
            <v>8925</v>
          </cell>
          <cell r="F801">
            <v>2.1000000000000001E-2</v>
          </cell>
        </row>
        <row r="802">
          <cell r="A802" t="str">
            <v>51740-10100801CCLF</v>
          </cell>
          <cell r="B802" t="str">
            <v>51740-10100801CCLF Connector,PBVTR</v>
          </cell>
          <cell r="C802">
            <v>2E-3</v>
          </cell>
          <cell r="D802">
            <v>2975</v>
          </cell>
          <cell r="E802">
            <v>8925</v>
          </cell>
          <cell r="F802">
            <v>2.5000000000000001E-2</v>
          </cell>
        </row>
        <row r="803">
          <cell r="A803" t="str">
            <v>51740-10101201AALF</v>
          </cell>
          <cell r="B803" t="str">
            <v>51740-10101201AALF Connector,PBVTR</v>
          </cell>
          <cell r="C803">
            <v>2E-3</v>
          </cell>
          <cell r="D803">
            <v>2975</v>
          </cell>
          <cell r="E803">
            <v>8925</v>
          </cell>
          <cell r="F803">
            <v>3.2000000000000001E-2</v>
          </cell>
        </row>
        <row r="804">
          <cell r="A804" t="str">
            <v>51740-10101201CALF</v>
          </cell>
          <cell r="B804" t="str">
            <v>51740-10101201CALF Connector,PBVTR</v>
          </cell>
          <cell r="C804">
            <v>2.3E-3</v>
          </cell>
          <cell r="D804">
            <v>2586.9565217391305</v>
          </cell>
          <cell r="E804">
            <v>7760.8695652173919</v>
          </cell>
          <cell r="F804">
            <v>1.1299999999999999E-2</v>
          </cell>
        </row>
        <row r="805">
          <cell r="A805" t="str">
            <v>51740-10101201CCLF</v>
          </cell>
          <cell r="B805" t="str">
            <v>51740-10101201CCLF Connector,PBVTR</v>
          </cell>
          <cell r="C805">
            <v>2E-3</v>
          </cell>
          <cell r="D805">
            <v>2975</v>
          </cell>
          <cell r="E805">
            <v>8925</v>
          </cell>
          <cell r="F805">
            <v>2.1000000000000001E-2</v>
          </cell>
        </row>
        <row r="806">
          <cell r="A806" t="str">
            <v>51740-10101601AALF</v>
          </cell>
          <cell r="B806" t="str">
            <v>51740-10101601AALF PwrBlade VR STB</v>
          </cell>
          <cell r="C806">
            <v>2.5833330000000002E-3</v>
          </cell>
          <cell r="D806">
            <v>2303.2261036420778</v>
          </cell>
          <cell r="E806">
            <v>6909.6783109262333</v>
          </cell>
          <cell r="F806">
            <v>1.2083E-2</v>
          </cell>
        </row>
        <row r="807">
          <cell r="A807" t="str">
            <v>51740-10101601CALF</v>
          </cell>
          <cell r="B807" t="str">
            <v>51740-10101601CALF Connector,PBVTR</v>
          </cell>
          <cell r="C807">
            <v>3.0000000000000001E-3</v>
          </cell>
          <cell r="D807">
            <v>1983.3333333333333</v>
          </cell>
          <cell r="E807">
            <v>5950</v>
          </cell>
          <cell r="F807">
            <v>2.3E-2</v>
          </cell>
        </row>
        <row r="808">
          <cell r="A808" t="str">
            <v>51740-10101601CCLF</v>
          </cell>
          <cell r="B808" t="str">
            <v>51740-10101601CCLF PwrBlade VR</v>
          </cell>
          <cell r="C808">
            <v>3.0000000000000001E-3</v>
          </cell>
          <cell r="D808">
            <v>1983.3333333333333</v>
          </cell>
          <cell r="E808">
            <v>5950</v>
          </cell>
          <cell r="F808">
            <v>1.1077999999999999E-2</v>
          </cell>
        </row>
        <row r="809">
          <cell r="A809" t="str">
            <v>51740-10101602AALF</v>
          </cell>
          <cell r="B809" t="str">
            <v>51740-10101602AALF Connector,PBVTR</v>
          </cell>
          <cell r="C809">
            <v>3.0000000000000001E-3</v>
          </cell>
          <cell r="D809">
            <v>1983.3333333333333</v>
          </cell>
          <cell r="E809">
            <v>5950</v>
          </cell>
          <cell r="F809">
            <v>2.3E-2</v>
          </cell>
        </row>
        <row r="810">
          <cell r="A810" t="str">
            <v>51740-10101608AALF</v>
          </cell>
          <cell r="B810" t="str">
            <v>51740-10101608AALF Connector,PBVTR</v>
          </cell>
          <cell r="C810">
            <v>2.5999999999999999E-3</v>
          </cell>
          <cell r="D810">
            <v>2288.4615384615386</v>
          </cell>
          <cell r="E810">
            <v>6865.3846153846152</v>
          </cell>
          <cell r="F810">
            <v>3.4000000000000002E-2</v>
          </cell>
        </row>
        <row r="811">
          <cell r="A811" t="str">
            <v>51740-10102001AALF</v>
          </cell>
          <cell r="B811" t="str">
            <v>51740-10102001AALF Connector,PBVTR</v>
          </cell>
          <cell r="C811">
            <v>3.0000000000000001E-3</v>
          </cell>
          <cell r="D811">
            <v>1983.3333333333333</v>
          </cell>
          <cell r="E811">
            <v>5950</v>
          </cell>
          <cell r="F811">
            <v>2.1999999999999999E-2</v>
          </cell>
        </row>
        <row r="812">
          <cell r="A812" t="str">
            <v>51740-10102401AALF</v>
          </cell>
          <cell r="B812" t="str">
            <v>51740-10102401AALF Connector,PBVTR</v>
          </cell>
          <cell r="C812">
            <v>3.3E-3</v>
          </cell>
          <cell r="D812">
            <v>1803.030303030303</v>
          </cell>
          <cell r="E812">
            <v>5409.090909090909</v>
          </cell>
          <cell r="F812">
            <v>9.1000000000000004E-3</v>
          </cell>
        </row>
        <row r="813">
          <cell r="A813" t="str">
            <v>51740-10102401CALF</v>
          </cell>
          <cell r="B813" t="str">
            <v>51740-10102401CALF PwrBlade VR PF</v>
          </cell>
          <cell r="C813">
            <v>3.2499999999999999E-3</v>
          </cell>
          <cell r="D813">
            <v>1830.7692307692309</v>
          </cell>
          <cell r="E813">
            <v>5492.3076923076933</v>
          </cell>
          <cell r="F813">
            <v>9.8443260000000005E-3</v>
          </cell>
        </row>
        <row r="814">
          <cell r="A814" t="str">
            <v>51740-10102401CCLF</v>
          </cell>
          <cell r="B814" t="str">
            <v>51740-10102401CCLF Connector,PBVTR</v>
          </cell>
          <cell r="C814">
            <v>3.3E-3</v>
          </cell>
          <cell r="D814">
            <v>1803.030303030303</v>
          </cell>
          <cell r="E814">
            <v>5409.090909090909</v>
          </cell>
          <cell r="F814">
            <v>0.02</v>
          </cell>
        </row>
        <row r="815">
          <cell r="A815" t="str">
            <v>51740-10102801CCLF</v>
          </cell>
          <cell r="B815" t="str">
            <v>51740-10102801CCLF Connector,PBVTR</v>
          </cell>
          <cell r="C815">
            <v>4.0000000000000001E-3</v>
          </cell>
          <cell r="D815">
            <v>1487.5</v>
          </cell>
          <cell r="E815">
            <v>4462.5</v>
          </cell>
          <cell r="F815">
            <v>0.02</v>
          </cell>
        </row>
        <row r="816">
          <cell r="A816" t="str">
            <v>51740-10103601AALF</v>
          </cell>
          <cell r="B816" t="str">
            <v>51740-10103601AALF Connector,PBVTR</v>
          </cell>
          <cell r="C816">
            <v>3.0000000000000001E-3</v>
          </cell>
          <cell r="D816">
            <v>1983.3333333333333</v>
          </cell>
          <cell r="E816">
            <v>5950</v>
          </cell>
          <cell r="F816">
            <v>2.5999999999999999E-2</v>
          </cell>
        </row>
        <row r="817">
          <cell r="A817" t="str">
            <v>51740-10104002AALF</v>
          </cell>
          <cell r="B817" t="str">
            <v>51740-10104002AALF Connector,PBVTR</v>
          </cell>
          <cell r="C817">
            <v>5.0000000000000001E-3</v>
          </cell>
          <cell r="D817">
            <v>1190</v>
          </cell>
          <cell r="E817">
            <v>3570</v>
          </cell>
          <cell r="F817">
            <v>2.1000000000000001E-2</v>
          </cell>
        </row>
        <row r="818">
          <cell r="A818" t="str">
            <v>51740-10104801AALF</v>
          </cell>
          <cell r="B818" t="str">
            <v>51740-10104801AALF Connector,PBVTR</v>
          </cell>
          <cell r="C818">
            <v>5.0000000000000001E-3</v>
          </cell>
          <cell r="D818">
            <v>1190</v>
          </cell>
          <cell r="E818">
            <v>3570</v>
          </cell>
          <cell r="F818">
            <v>2.4E-2</v>
          </cell>
        </row>
        <row r="819">
          <cell r="A819" t="str">
            <v>51740-10104801ACLF</v>
          </cell>
          <cell r="B819" t="str">
            <v>51740-10104801ACLF Connector,PBVTR</v>
          </cell>
          <cell r="C819">
            <v>5.0000000000000001E-3</v>
          </cell>
          <cell r="D819">
            <v>1190</v>
          </cell>
          <cell r="E819">
            <v>3570</v>
          </cell>
          <cell r="F819">
            <v>2.4E-2</v>
          </cell>
        </row>
        <row r="820">
          <cell r="A820" t="str">
            <v>51740-10106001AALF</v>
          </cell>
          <cell r="B820" t="str">
            <v>51740-10106001AALF Connector,PBVTR</v>
          </cell>
          <cell r="C820">
            <v>6.0000000000000001E-3</v>
          </cell>
          <cell r="D820">
            <v>991.66666666666663</v>
          </cell>
          <cell r="E820">
            <v>2975</v>
          </cell>
          <cell r="F820">
            <v>2.9000000000000001E-2</v>
          </cell>
        </row>
        <row r="821">
          <cell r="A821" t="str">
            <v>51740-10107201AALF</v>
          </cell>
          <cell r="B821" t="str">
            <v>51740-10107201AALF PwrBlade VR</v>
          </cell>
          <cell r="C821">
            <v>7.0000000000000001E-3</v>
          </cell>
          <cell r="D821">
            <v>850</v>
          </cell>
          <cell r="E821">
            <v>2550</v>
          </cell>
          <cell r="F821">
            <v>0.02</v>
          </cell>
        </row>
        <row r="822">
          <cell r="A822" t="str">
            <v>51740-10107201ACLF</v>
          </cell>
          <cell r="B822" t="str">
            <v>51740-10107201ACLF Connector,PBVTR</v>
          </cell>
          <cell r="C822">
            <v>7.0000000000000001E-3</v>
          </cell>
          <cell r="D822">
            <v>850</v>
          </cell>
          <cell r="E822">
            <v>2550</v>
          </cell>
          <cell r="F822">
            <v>3.1E-2</v>
          </cell>
        </row>
        <row r="823">
          <cell r="A823" t="str">
            <v>51740-10108001AALF</v>
          </cell>
          <cell r="B823" t="str">
            <v>51740-10108001AALF Connector,PBVTR</v>
          </cell>
          <cell r="C823">
            <v>7.9000000000000008E-3</v>
          </cell>
          <cell r="D823">
            <v>753.16455696202524</v>
          </cell>
          <cell r="E823">
            <v>2259.493670886076</v>
          </cell>
          <cell r="F823">
            <v>0.03</v>
          </cell>
        </row>
        <row r="824">
          <cell r="A824" t="str">
            <v>51740-10112801AALF</v>
          </cell>
          <cell r="B824" t="str">
            <v>51740-10112801AALF Connector,PBVTR</v>
          </cell>
          <cell r="C824">
            <v>1.2E-2</v>
          </cell>
          <cell r="D824">
            <v>495.83333333333331</v>
          </cell>
          <cell r="E824">
            <v>1487.5</v>
          </cell>
          <cell r="F824">
            <v>5.5E-2</v>
          </cell>
        </row>
        <row r="825">
          <cell r="A825" t="str">
            <v>51740-10200402AALF</v>
          </cell>
          <cell r="B825" t="str">
            <v>51740-10200402AALF Connector,PBVTR</v>
          </cell>
          <cell r="C825">
            <v>2E-3</v>
          </cell>
          <cell r="D825">
            <v>2975</v>
          </cell>
          <cell r="E825">
            <v>8925</v>
          </cell>
          <cell r="F825">
            <v>2.7E-2</v>
          </cell>
        </row>
        <row r="826">
          <cell r="A826" t="str">
            <v>51740-10200801AALF</v>
          </cell>
          <cell r="B826" t="str">
            <v>51740-10200801AALF Connector,PBVTR</v>
          </cell>
          <cell r="C826">
            <v>2E-3</v>
          </cell>
          <cell r="D826">
            <v>2975</v>
          </cell>
          <cell r="E826">
            <v>8925</v>
          </cell>
          <cell r="F826">
            <v>2.5000000000000001E-2</v>
          </cell>
        </row>
        <row r="827">
          <cell r="A827" t="str">
            <v>51740-10200802AALF</v>
          </cell>
          <cell r="B827" t="str">
            <v>51740-10200802AALF Connector,PBVTR</v>
          </cell>
          <cell r="C827">
            <v>2E-3</v>
          </cell>
          <cell r="D827">
            <v>2975</v>
          </cell>
          <cell r="E827">
            <v>8925</v>
          </cell>
          <cell r="F827">
            <v>2.5000000000000001E-2</v>
          </cell>
        </row>
        <row r="828">
          <cell r="A828" t="str">
            <v>51740-10200802CALF</v>
          </cell>
          <cell r="B828" t="str">
            <v>51740-10200802CALF Connector,PBVTR</v>
          </cell>
          <cell r="C828">
            <v>1.9E-3</v>
          </cell>
          <cell r="D828">
            <v>3131.5789473684213</v>
          </cell>
          <cell r="E828">
            <v>9394.7368421052633</v>
          </cell>
          <cell r="F828">
            <v>2.7E-2</v>
          </cell>
        </row>
        <row r="829">
          <cell r="A829" t="str">
            <v>51740-10200802CCLF</v>
          </cell>
          <cell r="B829" t="str">
            <v>51740-10200802CCLF PwrBlade VR PF</v>
          </cell>
          <cell r="C829">
            <v>2.5999999999999999E-2</v>
          </cell>
          <cell r="D829">
            <v>228.84615384615387</v>
          </cell>
          <cell r="E829">
            <v>686.53846153846166</v>
          </cell>
          <cell r="F829">
            <v>1.8E-3</v>
          </cell>
        </row>
        <row r="830">
          <cell r="A830" t="str">
            <v>51740-10200804CCLF</v>
          </cell>
          <cell r="B830" t="str">
            <v>51740-10200804CCLF Connector,PBVTR</v>
          </cell>
          <cell r="C830">
            <v>2E-3</v>
          </cell>
          <cell r="D830">
            <v>2975</v>
          </cell>
          <cell r="E830">
            <v>8925</v>
          </cell>
          <cell r="F830">
            <v>2.7E-2</v>
          </cell>
        </row>
        <row r="831">
          <cell r="A831" t="str">
            <v>51740-10201200AALF</v>
          </cell>
          <cell r="B831" t="str">
            <v>51740-10201200AALF Connector,PBVTR</v>
          </cell>
          <cell r="C831">
            <v>2.3E-3</v>
          </cell>
          <cell r="D831">
            <v>2586.9565217391305</v>
          </cell>
          <cell r="E831">
            <v>7760.8695652173919</v>
          </cell>
          <cell r="F831">
            <v>2.3E-2</v>
          </cell>
        </row>
        <row r="832">
          <cell r="A832" t="str">
            <v>51740-10201202AALF</v>
          </cell>
          <cell r="B832" t="str">
            <v>51740-10201202AALF PwrBlade VR</v>
          </cell>
          <cell r="C832">
            <v>2.2499999999999998E-3</v>
          </cell>
          <cell r="D832">
            <v>2644.4444444444448</v>
          </cell>
          <cell r="E832">
            <v>7933.3333333333339</v>
          </cell>
          <cell r="F832">
            <v>1.3602E-2</v>
          </cell>
        </row>
        <row r="833">
          <cell r="A833" t="str">
            <v>51740-10201202CALF</v>
          </cell>
          <cell r="B833" t="str">
            <v>51740-10201202CALF PwrBlade VR</v>
          </cell>
          <cell r="C833">
            <v>2.2499999999999998E-3</v>
          </cell>
          <cell r="D833">
            <v>2644.4444444444448</v>
          </cell>
          <cell r="E833">
            <v>7933.3333333333339</v>
          </cell>
          <cell r="F833">
            <v>9.6703629999999995E-3</v>
          </cell>
        </row>
        <row r="834">
          <cell r="A834" t="str">
            <v>51740-10201202CCLF</v>
          </cell>
          <cell r="B834" t="str">
            <v>51740-10201202CCLF Connector,PBVTR</v>
          </cell>
          <cell r="C834">
            <v>2E-3</v>
          </cell>
          <cell r="D834">
            <v>2975</v>
          </cell>
          <cell r="E834">
            <v>8925</v>
          </cell>
          <cell r="F834">
            <v>2.5999999999999999E-2</v>
          </cell>
        </row>
        <row r="835">
          <cell r="A835" t="str">
            <v>51740-10201602AALF</v>
          </cell>
          <cell r="B835" t="str">
            <v>51740-10201602AALF PwrBlade VR</v>
          </cell>
          <cell r="C835">
            <v>2.5833330000000002E-3</v>
          </cell>
          <cell r="D835">
            <v>2303.2261036420778</v>
          </cell>
          <cell r="E835">
            <v>6909.6783109262333</v>
          </cell>
          <cell r="F835">
            <v>8.7192999999999993E-3</v>
          </cell>
        </row>
        <row r="836">
          <cell r="A836" t="str">
            <v>51740-10201602CALF</v>
          </cell>
          <cell r="B836" t="str">
            <v>51740-10201602CALF PwrBlade VR</v>
          </cell>
          <cell r="C836">
            <v>2.5833330000000002E-3</v>
          </cell>
          <cell r="D836">
            <v>2303.2261036420778</v>
          </cell>
          <cell r="E836">
            <v>6909.6783109262333</v>
          </cell>
          <cell r="F836">
            <v>1.4078E-2</v>
          </cell>
        </row>
        <row r="837">
          <cell r="A837" t="str">
            <v>51740-10201602CCLF</v>
          </cell>
          <cell r="B837" t="str">
            <v>51740-10201602CCLF Connector,PBVTR</v>
          </cell>
          <cell r="C837">
            <v>2.5999999999999999E-3</v>
          </cell>
          <cell r="D837">
            <v>2288.4615384615386</v>
          </cell>
          <cell r="E837">
            <v>6865.3846153846152</v>
          </cell>
          <cell r="F837">
            <v>1.2800000000000001E-2</v>
          </cell>
        </row>
        <row r="838">
          <cell r="A838" t="str">
            <v>51740-10201604AALF</v>
          </cell>
          <cell r="B838" t="str">
            <v>51740-10201604AALF Connector,PBVTR</v>
          </cell>
          <cell r="C838">
            <v>3.0000000000000001E-3</v>
          </cell>
          <cell r="D838">
            <v>1983.3333333333333</v>
          </cell>
          <cell r="E838">
            <v>5950</v>
          </cell>
          <cell r="F838">
            <v>2.8000000000000001E-2</v>
          </cell>
        </row>
        <row r="839">
          <cell r="A839" t="str">
            <v>51740-10201604CCLF</v>
          </cell>
          <cell r="B839" t="str">
            <v>51740-10201604CCLF Connector,PBVTR</v>
          </cell>
          <cell r="C839">
            <v>3.0000000000000001E-3</v>
          </cell>
          <cell r="D839">
            <v>1983.3333333333333</v>
          </cell>
          <cell r="E839">
            <v>5950</v>
          </cell>
          <cell r="F839">
            <v>2.5999999999999999E-2</v>
          </cell>
        </row>
        <row r="840">
          <cell r="A840" t="str">
            <v>51740-10202002CALF</v>
          </cell>
          <cell r="B840" t="str">
            <v>51740-10202002CALF Connector,PBVTR</v>
          </cell>
          <cell r="C840">
            <v>3.0000000000000001E-3</v>
          </cell>
          <cell r="D840">
            <v>1983.3333333333333</v>
          </cell>
          <cell r="E840">
            <v>5950</v>
          </cell>
          <cell r="F840">
            <v>2.4E-2</v>
          </cell>
        </row>
        <row r="841">
          <cell r="A841" t="str">
            <v>51740-10202402ACLF</v>
          </cell>
          <cell r="B841" t="str">
            <v>51740-10202402ACLF Connector,PBVTR</v>
          </cell>
          <cell r="C841">
            <v>3.0000000000000001E-3</v>
          </cell>
          <cell r="D841">
            <v>1983.3333333333333</v>
          </cell>
          <cell r="E841">
            <v>5950</v>
          </cell>
          <cell r="F841">
            <v>2.3E-2</v>
          </cell>
        </row>
        <row r="842">
          <cell r="A842" t="str">
            <v>51740-10202402CCLF</v>
          </cell>
          <cell r="B842" t="str">
            <v>51740-10202402CCLF PwrBlade VR</v>
          </cell>
          <cell r="C842">
            <v>3.0000000000000001E-3</v>
          </cell>
          <cell r="D842">
            <v>1983.3333333333333</v>
          </cell>
          <cell r="E842">
            <v>5950</v>
          </cell>
          <cell r="F842">
            <v>1.5394168E-2</v>
          </cell>
        </row>
        <row r="843">
          <cell r="A843" t="str">
            <v>51740-10202403AALF</v>
          </cell>
          <cell r="B843" t="str">
            <v>51740-10202403AALF Connector,PBVTR</v>
          </cell>
          <cell r="C843">
            <v>4.0000000000000001E-3</v>
          </cell>
          <cell r="D843">
            <v>1487.5</v>
          </cell>
          <cell r="E843">
            <v>4462.5</v>
          </cell>
          <cell r="F843">
            <v>2.7799999999999998E-2</v>
          </cell>
        </row>
        <row r="844">
          <cell r="A844" t="str">
            <v>51740-10202404AALF</v>
          </cell>
          <cell r="B844" t="str">
            <v>51740-10202404AALF Connector,PBVTR</v>
          </cell>
          <cell r="C844">
            <v>3.3E-3</v>
          </cell>
          <cell r="D844">
            <v>1803.030303030303</v>
          </cell>
          <cell r="E844">
            <v>5409.090909090909</v>
          </cell>
          <cell r="F844">
            <v>2.7E-2</v>
          </cell>
        </row>
        <row r="845">
          <cell r="A845" t="str">
            <v>51740-10202404CALF</v>
          </cell>
          <cell r="B845" t="str">
            <v>51740-10202404CALF Connector,PBVTR</v>
          </cell>
          <cell r="C845">
            <v>3.3E-3</v>
          </cell>
          <cell r="D845">
            <v>1803.030303030303</v>
          </cell>
          <cell r="E845">
            <v>5409.090909090909</v>
          </cell>
          <cell r="F845">
            <v>0.02</v>
          </cell>
        </row>
        <row r="846">
          <cell r="A846" t="str">
            <v>51740-10202404CCLF</v>
          </cell>
          <cell r="B846" t="str">
            <v>51740-10202404CCLF Connector,PBVTR</v>
          </cell>
          <cell r="C846">
            <v>3.3E-3</v>
          </cell>
          <cell r="D846">
            <v>1803.030303030303</v>
          </cell>
          <cell r="E846">
            <v>5409.090909090909</v>
          </cell>
          <cell r="F846">
            <v>2.5000000000000001E-2</v>
          </cell>
        </row>
        <row r="847">
          <cell r="A847" t="str">
            <v>51740-10202406CCLF</v>
          </cell>
          <cell r="B847" t="str">
            <v>51740-10202406CCLF Connector,PBVTR</v>
          </cell>
          <cell r="C847">
            <v>3.3E-3</v>
          </cell>
          <cell r="D847">
            <v>1803.030303030303</v>
          </cell>
          <cell r="E847">
            <v>5409.090909090909</v>
          </cell>
          <cell r="F847">
            <v>2.7E-2</v>
          </cell>
        </row>
        <row r="848">
          <cell r="A848" t="str">
            <v>51740-10202408AALF</v>
          </cell>
          <cell r="B848" t="str">
            <v>51740-10202408AALF Connector,PBVTR</v>
          </cell>
          <cell r="C848">
            <v>3.3E-3</v>
          </cell>
          <cell r="D848">
            <v>1803.030303030303</v>
          </cell>
          <cell r="E848">
            <v>5409.090909090909</v>
          </cell>
          <cell r="F848">
            <v>3.1E-2</v>
          </cell>
        </row>
        <row r="849">
          <cell r="A849" t="str">
            <v>51740-10202408CCLF</v>
          </cell>
          <cell r="B849" t="str">
            <v>51740-10202408CCLF PwrBlade VR PF</v>
          </cell>
          <cell r="C849">
            <v>3.0000000000000001E-3</v>
          </cell>
          <cell r="D849">
            <v>1983.3333333333333</v>
          </cell>
          <cell r="E849">
            <v>5950</v>
          </cell>
          <cell r="F849">
            <v>3.1E-2</v>
          </cell>
        </row>
        <row r="850">
          <cell r="A850" t="str">
            <v>51740-10202802CALF</v>
          </cell>
          <cell r="B850" t="str">
            <v>51740-10202802CALF Connector,PBVTR</v>
          </cell>
          <cell r="C850">
            <v>1E-3</v>
          </cell>
          <cell r="D850">
            <v>5950</v>
          </cell>
          <cell r="E850">
            <v>17850</v>
          </cell>
          <cell r="F850">
            <v>2.7E-2</v>
          </cell>
        </row>
        <row r="851">
          <cell r="A851" t="str">
            <v>51740-10203202CALF</v>
          </cell>
          <cell r="B851" t="str">
            <v>51740-10203202CALF Connector,PBVTR</v>
          </cell>
          <cell r="C851">
            <v>1E-3</v>
          </cell>
          <cell r="D851">
            <v>5950</v>
          </cell>
          <cell r="E851">
            <v>17850</v>
          </cell>
          <cell r="F851">
            <v>2.7E-2</v>
          </cell>
        </row>
        <row r="852">
          <cell r="A852" t="str">
            <v>51740-10204002AALF</v>
          </cell>
          <cell r="B852" t="str">
            <v>51740-10204002AALF Connector,PBVTR</v>
          </cell>
          <cell r="C852">
            <v>5.0000000000000001E-3</v>
          </cell>
          <cell r="D852">
            <v>1190</v>
          </cell>
          <cell r="E852">
            <v>3570</v>
          </cell>
          <cell r="F852">
            <v>2.1999999999999999E-2</v>
          </cell>
        </row>
        <row r="853">
          <cell r="A853" t="str">
            <v>51740-10204402CALF</v>
          </cell>
          <cell r="B853" t="str">
            <v>51740-10204402CALF PwrBlade VR</v>
          </cell>
          <cell r="C853">
            <v>5.0000000000000001E-3</v>
          </cell>
          <cell r="D853">
            <v>1190</v>
          </cell>
          <cell r="E853">
            <v>3570</v>
          </cell>
          <cell r="F853">
            <v>2.3E-2</v>
          </cell>
        </row>
        <row r="854">
          <cell r="A854" t="str">
            <v>51740-10204802AALF</v>
          </cell>
          <cell r="B854" t="str">
            <v>51740-10204802AALF Connector,PBVTR</v>
          </cell>
          <cell r="C854">
            <v>5.3E-3</v>
          </cell>
          <cell r="D854">
            <v>1122.6415094339623</v>
          </cell>
          <cell r="E854">
            <v>3367.9245283018868</v>
          </cell>
          <cell r="F854">
            <v>2.4E-2</v>
          </cell>
        </row>
        <row r="855">
          <cell r="A855" t="str">
            <v>51740-10204802CALF</v>
          </cell>
          <cell r="B855" t="str">
            <v>51740-10204802CALF Connector,PBVTR</v>
          </cell>
          <cell r="C855">
            <v>5.0000000000000001E-3</v>
          </cell>
          <cell r="D855">
            <v>1190</v>
          </cell>
          <cell r="E855">
            <v>3570</v>
          </cell>
          <cell r="F855">
            <v>2.4E-2</v>
          </cell>
        </row>
        <row r="856">
          <cell r="A856" t="str">
            <v>51740-10204802CCLF</v>
          </cell>
          <cell r="B856" t="str">
            <v>51740-10204802CCLF Connector,PBVTR</v>
          </cell>
          <cell r="C856">
            <v>5.3E-3</v>
          </cell>
          <cell r="D856">
            <v>1122.6415094339623</v>
          </cell>
          <cell r="E856">
            <v>3367.9245283018868</v>
          </cell>
          <cell r="F856">
            <v>2.1999999999999999E-2</v>
          </cell>
        </row>
        <row r="857">
          <cell r="A857" t="str">
            <v>51740-10206002AALF</v>
          </cell>
          <cell r="B857" t="str">
            <v>51740-10206002AALF Connector,PBVTR</v>
          </cell>
          <cell r="C857">
            <v>6.0000000000000001E-3</v>
          </cell>
          <cell r="D857">
            <v>991.66666666666663</v>
          </cell>
          <cell r="E857">
            <v>2975</v>
          </cell>
          <cell r="F857">
            <v>2.9000000000000001E-2</v>
          </cell>
        </row>
        <row r="858">
          <cell r="A858" t="str">
            <v>51740-10206002CCLF</v>
          </cell>
          <cell r="B858" t="str">
            <v>51740-10206002CCLF Connector,PBVTR</v>
          </cell>
          <cell r="C858">
            <v>6.0000000000000001E-3</v>
          </cell>
          <cell r="D858">
            <v>991.66666666666663</v>
          </cell>
          <cell r="E858">
            <v>2975</v>
          </cell>
          <cell r="F858">
            <v>0.03</v>
          </cell>
        </row>
        <row r="859">
          <cell r="A859" t="str">
            <v>51740-10206404AALF</v>
          </cell>
          <cell r="B859" t="str">
            <v>51740-10206404AALF PwrBlade VR STB</v>
          </cell>
          <cell r="C859">
            <v>1.6E-2</v>
          </cell>
          <cell r="D859">
            <v>371.875</v>
          </cell>
          <cell r="E859">
            <v>1115.625</v>
          </cell>
          <cell r="F859">
            <v>2.9000000000000001E-2</v>
          </cell>
        </row>
        <row r="860">
          <cell r="A860" t="str">
            <v>51740-10206404CALF</v>
          </cell>
          <cell r="B860" t="str">
            <v>51740-10206404CALF Connector,PBVTR</v>
          </cell>
          <cell r="C860">
            <v>7.0000000000000001E-3</v>
          </cell>
          <cell r="D860">
            <v>850</v>
          </cell>
          <cell r="E860">
            <v>2550</v>
          </cell>
          <cell r="F860">
            <v>3.3000000000000002E-2</v>
          </cell>
        </row>
        <row r="861">
          <cell r="A861" t="str">
            <v>51740-10206802AALF</v>
          </cell>
          <cell r="B861" t="str">
            <v>51740-10206802AALF Connector,PBVTR</v>
          </cell>
          <cell r="C861">
            <v>6.8999999999999999E-3</v>
          </cell>
          <cell r="D861">
            <v>862.31884057971024</v>
          </cell>
          <cell r="E861">
            <v>2586.9565217391309</v>
          </cell>
          <cell r="F861">
            <v>3.2000000000000001E-2</v>
          </cell>
        </row>
        <row r="862">
          <cell r="A862" t="str">
            <v>51740-10207202AALF</v>
          </cell>
          <cell r="B862" t="str">
            <v>51740-10207202AALF Connector,PBVTR</v>
          </cell>
          <cell r="C862">
            <v>8.0000000000000002E-3</v>
          </cell>
          <cell r="D862">
            <v>743.75</v>
          </cell>
          <cell r="E862">
            <v>2231.25</v>
          </cell>
          <cell r="F862">
            <v>3.2000000000000001E-2</v>
          </cell>
        </row>
        <row r="863">
          <cell r="A863" t="str">
            <v>51740-10208002AALF</v>
          </cell>
          <cell r="B863" t="str">
            <v>51740-10208002AALF Connector,PBVTR</v>
          </cell>
          <cell r="C863">
            <v>7.9000000000000008E-3</v>
          </cell>
          <cell r="D863">
            <v>753.16455696202524</v>
          </cell>
          <cell r="E863">
            <v>2259.493670886076</v>
          </cell>
          <cell r="F863">
            <v>3.4000000000000002E-2</v>
          </cell>
        </row>
        <row r="864">
          <cell r="A864" t="str">
            <v>51740-10208002CCLF</v>
          </cell>
          <cell r="B864" t="str">
            <v>51740-10208002CCLF Connector,PBVTR</v>
          </cell>
          <cell r="C864">
            <v>8.0000000000000002E-3</v>
          </cell>
          <cell r="D864">
            <v>743.75</v>
          </cell>
          <cell r="E864">
            <v>2231.25</v>
          </cell>
          <cell r="F864">
            <v>3.4000000000000002E-2</v>
          </cell>
        </row>
        <row r="865">
          <cell r="A865" t="str">
            <v>51740-10209202ACLF</v>
          </cell>
          <cell r="B865" t="str">
            <v>51740-10209202ACLF Connector,PBVTR</v>
          </cell>
          <cell r="C865">
            <v>8.9999999999999993E-3</v>
          </cell>
          <cell r="D865">
            <v>661.1111111111112</v>
          </cell>
          <cell r="E865">
            <v>1983.3333333333335</v>
          </cell>
          <cell r="F865">
            <v>3.7999999999999999E-2</v>
          </cell>
        </row>
        <row r="866">
          <cell r="A866" t="str">
            <v>51740-10209602AALF</v>
          </cell>
          <cell r="B866" t="str">
            <v>51740-10209602AALF PwrBlade VR</v>
          </cell>
          <cell r="C866">
            <v>8.9999999999999993E-3</v>
          </cell>
          <cell r="D866">
            <v>661.1111111111112</v>
          </cell>
          <cell r="E866">
            <v>1983.3333333333335</v>
          </cell>
          <cell r="F866">
            <v>2.2023000000000001E-2</v>
          </cell>
        </row>
        <row r="867">
          <cell r="A867" t="str">
            <v>51740-10210002ACLF</v>
          </cell>
          <cell r="B867" t="str">
            <v>51740-10210002ACLF Connector,PBVTR</v>
          </cell>
          <cell r="C867">
            <v>0.01</v>
          </cell>
          <cell r="D867">
            <v>595</v>
          </cell>
          <cell r="E867">
            <v>1785</v>
          </cell>
          <cell r="F867">
            <v>4.1000000000000002E-2</v>
          </cell>
        </row>
        <row r="868">
          <cell r="A868" t="str">
            <v>51740-10300403AALF</v>
          </cell>
          <cell r="B868" t="str">
            <v>51740-10300403AALF Connector,PBVTR</v>
          </cell>
          <cell r="C868">
            <v>2E-3</v>
          </cell>
          <cell r="D868">
            <v>2975</v>
          </cell>
          <cell r="E868">
            <v>8925</v>
          </cell>
          <cell r="F868">
            <v>2.6100000000000002E-2</v>
          </cell>
        </row>
        <row r="869">
          <cell r="A869" t="str">
            <v>51740-10300803AALF</v>
          </cell>
          <cell r="B869" t="str">
            <v>51740-10300803AALF Connector,PBVTR</v>
          </cell>
          <cell r="C869">
            <v>1.9E-3</v>
          </cell>
          <cell r="D869">
            <v>3131.5789473684213</v>
          </cell>
          <cell r="E869">
            <v>9394.7368421052633</v>
          </cell>
          <cell r="F869">
            <v>2.9000000000000001E-2</v>
          </cell>
        </row>
        <row r="870">
          <cell r="A870" t="str">
            <v>51740-10300803CALF</v>
          </cell>
          <cell r="B870" t="str">
            <v>51740-10300803CALF Connector,PBVTR</v>
          </cell>
          <cell r="C870">
            <v>2E-3</v>
          </cell>
          <cell r="D870">
            <v>2975</v>
          </cell>
          <cell r="E870">
            <v>8925</v>
          </cell>
          <cell r="F870">
            <v>0.03</v>
          </cell>
        </row>
        <row r="871">
          <cell r="A871" t="str">
            <v>51740-10300804AALF</v>
          </cell>
          <cell r="B871" t="str">
            <v>51740-10300804AALF Connector,PBVTR</v>
          </cell>
          <cell r="C871">
            <v>2E-3</v>
          </cell>
          <cell r="D871">
            <v>2975</v>
          </cell>
          <cell r="E871">
            <v>8925</v>
          </cell>
          <cell r="F871">
            <v>3.4000000000000002E-2</v>
          </cell>
        </row>
        <row r="872">
          <cell r="A872" t="str">
            <v>51740-10301203AALF</v>
          </cell>
          <cell r="B872" t="str">
            <v>51740-10301203AALF Connector,PBVTR</v>
          </cell>
          <cell r="C872">
            <v>2.3E-3</v>
          </cell>
          <cell r="D872">
            <v>2586.9565217391305</v>
          </cell>
          <cell r="E872">
            <v>7760.8695652173919</v>
          </cell>
          <cell r="F872">
            <v>2.8000000000000001E-2</v>
          </cell>
        </row>
        <row r="873">
          <cell r="A873" t="str">
            <v>51740-10301203CALF</v>
          </cell>
          <cell r="B873" t="str">
            <v>51740-10301203CALF Connector,PBVTR</v>
          </cell>
          <cell r="C873">
            <v>2E-3</v>
          </cell>
          <cell r="D873">
            <v>2975</v>
          </cell>
          <cell r="E873">
            <v>8925</v>
          </cell>
          <cell r="F873">
            <v>2.8000000000000001E-2</v>
          </cell>
        </row>
        <row r="874">
          <cell r="A874" t="str">
            <v>51740-10301602AALF</v>
          </cell>
          <cell r="B874" t="str">
            <v>51740-10301602AALF Connector,PBVTR</v>
          </cell>
          <cell r="C874">
            <v>2.5999999999999999E-3</v>
          </cell>
          <cell r="D874">
            <v>2288.4615384615386</v>
          </cell>
          <cell r="E874">
            <v>6865.3846153846152</v>
          </cell>
          <cell r="F874">
            <v>2.4E-2</v>
          </cell>
        </row>
        <row r="875">
          <cell r="A875" t="str">
            <v>51740-10301603AALF</v>
          </cell>
          <cell r="B875" t="str">
            <v>51740-10301603AALF Connector,PBVTR</v>
          </cell>
          <cell r="C875">
            <v>2.5999999999999999E-3</v>
          </cell>
          <cell r="D875">
            <v>2288.4615384615386</v>
          </cell>
          <cell r="E875">
            <v>6865.3846153846152</v>
          </cell>
          <cell r="F875">
            <v>2.8000000000000001E-2</v>
          </cell>
        </row>
        <row r="876">
          <cell r="A876" t="str">
            <v>51740-10301603CALF</v>
          </cell>
          <cell r="B876" t="str">
            <v>51740-10301603CALF Connector,PBVTR</v>
          </cell>
          <cell r="C876">
            <v>2.5999999999999999E-3</v>
          </cell>
          <cell r="D876">
            <v>2288.4615384615386</v>
          </cell>
          <cell r="E876">
            <v>6865.3846153846152</v>
          </cell>
          <cell r="F876">
            <v>2.5999999999999999E-2</v>
          </cell>
        </row>
        <row r="877">
          <cell r="A877" t="str">
            <v>51740-10302003AALF</v>
          </cell>
          <cell r="B877" t="str">
            <v>51740-10302003AALF Connector,PBVTR</v>
          </cell>
          <cell r="C877">
            <v>2.8999999999999998E-3</v>
          </cell>
          <cell r="D877">
            <v>2051.7241379310349</v>
          </cell>
          <cell r="E877">
            <v>6155.1724137931051</v>
          </cell>
          <cell r="F877">
            <v>2.8000000000000001E-2</v>
          </cell>
        </row>
        <row r="878">
          <cell r="A878" t="str">
            <v>51740-10302005AALF</v>
          </cell>
          <cell r="B878" t="str">
            <v>51740-10302005AALF Connector,PBVTR</v>
          </cell>
          <cell r="C878">
            <v>3.0000000000000001E-3</v>
          </cell>
          <cell r="D878">
            <v>1983.3333333333333</v>
          </cell>
          <cell r="E878">
            <v>5950</v>
          </cell>
          <cell r="F878">
            <v>0.03</v>
          </cell>
        </row>
        <row r="879">
          <cell r="A879" t="str">
            <v>51740-10302403AALF</v>
          </cell>
          <cell r="B879" t="str">
            <v>51740-10302403AALF PwrBlade VR</v>
          </cell>
          <cell r="C879">
            <v>3.2499999999999999E-3</v>
          </cell>
          <cell r="D879">
            <v>1830.7692307692309</v>
          </cell>
          <cell r="E879">
            <v>5492.3076923076933</v>
          </cell>
          <cell r="F879">
            <v>1.4999999999999999E-2</v>
          </cell>
        </row>
        <row r="880">
          <cell r="A880" t="str">
            <v>51740-10302403CALF</v>
          </cell>
          <cell r="B880" t="str">
            <v>51740-10302403CALF PwrBlade VR PF</v>
          </cell>
          <cell r="C880">
            <v>3.0000000000000001E-3</v>
          </cell>
          <cell r="D880">
            <v>1983.3333333333333</v>
          </cell>
          <cell r="E880">
            <v>5950</v>
          </cell>
          <cell r="F880">
            <v>1.1823056E-2</v>
          </cell>
        </row>
        <row r="881">
          <cell r="A881" t="str">
            <v>51740-10302403CCLF</v>
          </cell>
          <cell r="B881" t="str">
            <v>51740-10302403CCLF Connector,PBVTR</v>
          </cell>
          <cell r="C881">
            <v>3.3E-3</v>
          </cell>
          <cell r="D881">
            <v>1803.030303030303</v>
          </cell>
          <cell r="E881">
            <v>5409.090909090909</v>
          </cell>
          <cell r="F881">
            <v>2.3E-2</v>
          </cell>
        </row>
        <row r="882">
          <cell r="A882" t="str">
            <v>51740-10302404AALF</v>
          </cell>
          <cell r="B882" t="str">
            <v>51740-10302404AALF Connector,PBVTR</v>
          </cell>
          <cell r="C882">
            <v>3.0000000000000001E-3</v>
          </cell>
          <cell r="D882">
            <v>1983.3333333333333</v>
          </cell>
          <cell r="E882">
            <v>5950</v>
          </cell>
          <cell r="F882">
            <v>3.2000000000000001E-2</v>
          </cell>
        </row>
        <row r="883">
          <cell r="A883" t="str">
            <v>51740-10302404CCLF</v>
          </cell>
          <cell r="B883" t="str">
            <v>51740-10302404CCLF Connector,PBVTR</v>
          </cell>
          <cell r="C883">
            <v>3.0000000000000001E-3</v>
          </cell>
          <cell r="D883">
            <v>1983.3333333333333</v>
          </cell>
          <cell r="E883">
            <v>5950</v>
          </cell>
          <cell r="F883">
            <v>0.03</v>
          </cell>
        </row>
        <row r="884">
          <cell r="A884" t="str">
            <v>51740-10302405CALF</v>
          </cell>
          <cell r="B884" t="str">
            <v>51740-10302405CALF Connector,PBVTR</v>
          </cell>
          <cell r="C884">
            <v>2.9000000000000001E-2</v>
          </cell>
          <cell r="D884">
            <v>205.17241379310343</v>
          </cell>
          <cell r="E884">
            <v>615.51724137931024</v>
          </cell>
          <cell r="F884">
            <v>3.0000000000000001E-3</v>
          </cell>
        </row>
        <row r="885">
          <cell r="A885" t="str">
            <v>51740-10302406AALF</v>
          </cell>
          <cell r="B885" t="str">
            <v>51740-10302406AALF Connector,PBVTR</v>
          </cell>
          <cell r="C885">
            <v>3.3E-3</v>
          </cell>
          <cell r="D885">
            <v>1803.030303030303</v>
          </cell>
          <cell r="E885">
            <v>5409.090909090909</v>
          </cell>
          <cell r="F885">
            <v>3.3000000000000002E-2</v>
          </cell>
        </row>
        <row r="886">
          <cell r="A886" t="str">
            <v>51740-10302408ACLF</v>
          </cell>
          <cell r="B886" t="str">
            <v>51740-10302408ACLF Connector,PBVTR</v>
          </cell>
          <cell r="C886">
            <v>3.3E-3</v>
          </cell>
          <cell r="D886">
            <v>1803.030303030303</v>
          </cell>
          <cell r="E886">
            <v>5409.090909090909</v>
          </cell>
          <cell r="F886">
            <v>3.3000000000000002E-2</v>
          </cell>
        </row>
        <row r="887">
          <cell r="A887" t="str">
            <v>51740-10303203AALF</v>
          </cell>
          <cell r="B887" t="str">
            <v>51740-10303203AALF Connector,PBVTR</v>
          </cell>
          <cell r="C887">
            <v>3.8999999999999998E-3</v>
          </cell>
          <cell r="D887">
            <v>1525.6410256410259</v>
          </cell>
          <cell r="E887">
            <v>4576.923076923078</v>
          </cell>
          <cell r="F887">
            <v>2.7E-2</v>
          </cell>
        </row>
        <row r="888">
          <cell r="A888" t="str">
            <v>51740-10303603AALF</v>
          </cell>
          <cell r="B888" t="str">
            <v>51740-10303603AALF Connector,PBVTR</v>
          </cell>
          <cell r="C888">
            <v>4.3E-3</v>
          </cell>
          <cell r="D888">
            <v>1383.7209302325582</v>
          </cell>
          <cell r="E888">
            <v>4151.1627906976746</v>
          </cell>
          <cell r="F888">
            <v>2.5999999999999999E-2</v>
          </cell>
        </row>
        <row r="889">
          <cell r="A889" t="str">
            <v>51740-10303603CCLF</v>
          </cell>
          <cell r="B889" t="str">
            <v>51740-10303603CCLF Connector,PBVTR</v>
          </cell>
          <cell r="C889">
            <v>4.0000000000000001E-3</v>
          </cell>
          <cell r="D889">
            <v>1487.5</v>
          </cell>
          <cell r="E889">
            <v>4462.5</v>
          </cell>
          <cell r="F889">
            <v>2.4E-2</v>
          </cell>
        </row>
        <row r="890">
          <cell r="A890" t="str">
            <v>51740-10304003AALF</v>
          </cell>
          <cell r="B890" t="str">
            <v>51740-10304003AALF Connector,PBVTR</v>
          </cell>
          <cell r="C890">
            <v>6.0000000000000001E-3</v>
          </cell>
          <cell r="D890">
            <v>991.66666666666663</v>
          </cell>
          <cell r="E890">
            <v>2975</v>
          </cell>
          <cell r="F890">
            <v>3.4000000000000002E-2</v>
          </cell>
        </row>
        <row r="891">
          <cell r="A891" t="str">
            <v>51740-10304003CALF</v>
          </cell>
          <cell r="B891" t="str">
            <v>51740-10304003CALF Connector,PBVTR</v>
          </cell>
          <cell r="C891">
            <v>6.0000000000000001E-3</v>
          </cell>
          <cell r="D891">
            <v>991.66666666666663</v>
          </cell>
          <cell r="E891">
            <v>2975</v>
          </cell>
          <cell r="F891">
            <v>3.4000000000000002E-2</v>
          </cell>
        </row>
        <row r="892">
          <cell r="A892" t="str">
            <v>51740-10304803AALF</v>
          </cell>
          <cell r="B892" t="str">
            <v>51740-10304803AALF Connector,PBVTR</v>
          </cell>
          <cell r="C892">
            <v>5.0000000000000001E-3</v>
          </cell>
          <cell r="D892">
            <v>1190</v>
          </cell>
          <cell r="E892">
            <v>3570</v>
          </cell>
          <cell r="F892">
            <v>2.7E-2</v>
          </cell>
        </row>
        <row r="893">
          <cell r="A893" t="str">
            <v>51740-10306402AALF</v>
          </cell>
          <cell r="B893" t="str">
            <v>51740-10306402AALF Connector,PBVTR</v>
          </cell>
          <cell r="C893">
            <v>6.6E-3</v>
          </cell>
          <cell r="D893">
            <v>901.5151515151515</v>
          </cell>
          <cell r="E893">
            <v>2704.5454545454545</v>
          </cell>
          <cell r="F893">
            <v>3.1E-2</v>
          </cell>
        </row>
        <row r="894">
          <cell r="A894" t="str">
            <v>51740-10312803AALF</v>
          </cell>
          <cell r="B894" t="str">
            <v>51740-10312803AALF Connector,PBVTR</v>
          </cell>
          <cell r="C894">
            <v>1.2E-2</v>
          </cell>
          <cell r="D894">
            <v>495.83333333333331</v>
          </cell>
          <cell r="E894">
            <v>1487.5</v>
          </cell>
          <cell r="F894">
            <v>7.0000000000000007E-2</v>
          </cell>
        </row>
        <row r="895">
          <cell r="A895" t="str">
            <v>51740-10400404CCLF</v>
          </cell>
          <cell r="B895" t="str">
            <v>51740-10400404CCLF Connector,PBVTR</v>
          </cell>
          <cell r="C895">
            <v>2E-3</v>
          </cell>
          <cell r="D895">
            <v>2975</v>
          </cell>
          <cell r="E895">
            <v>8925</v>
          </cell>
          <cell r="F895">
            <v>2.9000000000000001E-2</v>
          </cell>
        </row>
        <row r="896">
          <cell r="A896" t="str">
            <v>51740-10400804AALF</v>
          </cell>
          <cell r="B896" t="str">
            <v>51740-10400804AALF PwrBlade VR</v>
          </cell>
          <cell r="C896">
            <v>2E-3</v>
          </cell>
          <cell r="D896">
            <v>2975</v>
          </cell>
          <cell r="E896">
            <v>8925</v>
          </cell>
          <cell r="F896">
            <v>1.1900000000000001E-2</v>
          </cell>
        </row>
        <row r="897">
          <cell r="A897" t="str">
            <v>51740-10400804CCLF</v>
          </cell>
          <cell r="B897" t="str">
            <v>51740-10400804CCLF Connector,PBVTR</v>
          </cell>
          <cell r="C897">
            <v>2E-3</v>
          </cell>
          <cell r="D897">
            <v>2975</v>
          </cell>
          <cell r="E897">
            <v>8925</v>
          </cell>
          <cell r="F897">
            <v>2.9000000000000001E-2</v>
          </cell>
        </row>
        <row r="898">
          <cell r="A898" t="str">
            <v>51740-10401202AALF</v>
          </cell>
          <cell r="B898" t="str">
            <v>51740-10401202AALF Connector,PBVTR</v>
          </cell>
          <cell r="C898">
            <v>6.1000000000000004E-3</v>
          </cell>
          <cell r="D898">
            <v>975.4098360655737</v>
          </cell>
          <cell r="E898">
            <v>2926.2295081967213</v>
          </cell>
          <cell r="F898">
            <v>2.9000000000000001E-2</v>
          </cell>
        </row>
        <row r="899">
          <cell r="A899" t="str">
            <v>51740-10401204AALF</v>
          </cell>
          <cell r="B899" t="str">
            <v>51740-10401204AALF PwrBlade VR</v>
          </cell>
          <cell r="C899">
            <v>2.2499999999999998E-3</v>
          </cell>
          <cell r="D899">
            <v>2644.4444444444448</v>
          </cell>
          <cell r="E899">
            <v>7933.3333333333339</v>
          </cell>
          <cell r="F899">
            <v>1.9567999999999999E-2</v>
          </cell>
        </row>
        <row r="900">
          <cell r="A900" t="str">
            <v>51740-10401204CALF</v>
          </cell>
          <cell r="B900" t="str">
            <v>51740-10401204CALF Connector,PBVTR</v>
          </cell>
          <cell r="C900">
            <v>2E-3</v>
          </cell>
          <cell r="D900">
            <v>2975</v>
          </cell>
          <cell r="E900">
            <v>8925</v>
          </cell>
          <cell r="F900">
            <v>0.03</v>
          </cell>
        </row>
        <row r="901">
          <cell r="A901" t="str">
            <v>51740-10401204CCLF</v>
          </cell>
          <cell r="B901" t="str">
            <v>51740-10401204CCLF Connector,PBVTR</v>
          </cell>
          <cell r="C901">
            <v>2E-3</v>
          </cell>
          <cell r="D901">
            <v>2975</v>
          </cell>
          <cell r="E901">
            <v>8925</v>
          </cell>
          <cell r="F901">
            <v>2.8000000000000001E-2</v>
          </cell>
        </row>
        <row r="902">
          <cell r="A902" t="str">
            <v>51740-10401602AALF</v>
          </cell>
          <cell r="B902" t="str">
            <v>51740-10401602AALF Connector,PBVTR</v>
          </cell>
          <cell r="C902">
            <v>2.5999999999999999E-3</v>
          </cell>
          <cell r="D902">
            <v>2288.4615384615386</v>
          </cell>
          <cell r="E902">
            <v>6865.3846153846152</v>
          </cell>
          <cell r="F902">
            <v>1.7399999999999999E-2</v>
          </cell>
        </row>
        <row r="903">
          <cell r="A903" t="str">
            <v>51740-10401602ACLF</v>
          </cell>
          <cell r="B903" t="str">
            <v>51740-10401602ACLF Connector,PBVTR</v>
          </cell>
          <cell r="C903">
            <v>2.5999999999999999E-3</v>
          </cell>
          <cell r="D903">
            <v>2288.4615384615386</v>
          </cell>
          <cell r="E903">
            <v>6865.3846153846152</v>
          </cell>
          <cell r="F903">
            <v>2.5999999999999999E-2</v>
          </cell>
        </row>
        <row r="904">
          <cell r="A904" t="str">
            <v>51740-10401602CALF</v>
          </cell>
          <cell r="B904" t="str">
            <v>51740-10401602CALF Connector,PBVTR</v>
          </cell>
          <cell r="C904">
            <v>3.0000000000000001E-3</v>
          </cell>
          <cell r="D904">
            <v>1983.3333333333333</v>
          </cell>
          <cell r="E904">
            <v>5950</v>
          </cell>
          <cell r="F904">
            <v>1.47E-2</v>
          </cell>
        </row>
        <row r="905">
          <cell r="A905" t="str">
            <v>51740-10401602CCLF</v>
          </cell>
          <cell r="B905" t="str">
            <v>51740-10401602CCLF Connector,PBVTR</v>
          </cell>
          <cell r="C905">
            <v>3.0000000000000001E-3</v>
          </cell>
          <cell r="D905">
            <v>1983.3333333333333</v>
          </cell>
          <cell r="E905">
            <v>5950</v>
          </cell>
          <cell r="F905">
            <v>1.61E-2</v>
          </cell>
        </row>
        <row r="906">
          <cell r="A906" t="str">
            <v>51740-10401603AALF</v>
          </cell>
          <cell r="B906" t="str">
            <v>51740-10401603AALF Connector,PBVTR</v>
          </cell>
          <cell r="C906">
            <v>2.5999999999999999E-3</v>
          </cell>
          <cell r="D906">
            <v>2288.4615384615386</v>
          </cell>
          <cell r="E906">
            <v>6865.3846153846152</v>
          </cell>
          <cell r="F906">
            <v>2.5999999999999999E-2</v>
          </cell>
        </row>
        <row r="907">
          <cell r="A907" t="str">
            <v>51740-10401603CALF</v>
          </cell>
          <cell r="B907" t="str">
            <v>51740-10401603CALF Connector,PBVTR</v>
          </cell>
          <cell r="C907">
            <v>3.0000000000000001E-3</v>
          </cell>
          <cell r="D907">
            <v>1983.3333333333333</v>
          </cell>
          <cell r="E907">
            <v>5950</v>
          </cell>
          <cell r="F907">
            <v>3.3000000000000002E-2</v>
          </cell>
        </row>
        <row r="908">
          <cell r="A908" t="str">
            <v>51740-10401603CCLF</v>
          </cell>
          <cell r="B908" t="str">
            <v>51740-10401603CCLF Connector,PBVTR</v>
          </cell>
          <cell r="C908">
            <v>2.5999999999999999E-3</v>
          </cell>
          <cell r="D908">
            <v>2288.4615384615386</v>
          </cell>
          <cell r="E908">
            <v>6865.3846153846152</v>
          </cell>
          <cell r="F908">
            <v>2.5999999999999999E-2</v>
          </cell>
        </row>
        <row r="909">
          <cell r="A909" t="str">
            <v>51740-10401604AALF</v>
          </cell>
          <cell r="B909" t="str">
            <v>51740-10401604AALF Connector,PBVTR</v>
          </cell>
          <cell r="C909">
            <v>2.5999999999999999E-3</v>
          </cell>
          <cell r="D909">
            <v>2288.4615384615386</v>
          </cell>
          <cell r="E909">
            <v>6865.3846153846152</v>
          </cell>
          <cell r="F909">
            <v>0.03</v>
          </cell>
        </row>
        <row r="910">
          <cell r="A910" t="str">
            <v>51740-10401604ABLF</v>
          </cell>
          <cell r="B910" t="str">
            <v>51740-10401604ABLF Connector,PBVTR</v>
          </cell>
          <cell r="C910">
            <v>2.5999999999999999E-3</v>
          </cell>
          <cell r="D910">
            <v>2288.4615384615386</v>
          </cell>
          <cell r="E910">
            <v>6865.3846153846152</v>
          </cell>
          <cell r="F910">
            <v>2.8000000000000001E-2</v>
          </cell>
        </row>
        <row r="911">
          <cell r="A911" t="str">
            <v>51740-10401604ACLF</v>
          </cell>
          <cell r="B911" t="str">
            <v>51740-10401604ACLF Connector,PBVTR</v>
          </cell>
          <cell r="C911">
            <v>2.8000000000000001E-2</v>
          </cell>
          <cell r="D911">
            <v>212.5</v>
          </cell>
          <cell r="E911">
            <v>637.5</v>
          </cell>
          <cell r="F911">
            <v>2.9600000000000001E-2</v>
          </cell>
        </row>
        <row r="912">
          <cell r="A912" t="str">
            <v>51740-10401604CALF</v>
          </cell>
          <cell r="B912" t="str">
            <v>51740-10401604CALF Connector,PBVTR</v>
          </cell>
          <cell r="C912">
            <v>3.0000000000000001E-3</v>
          </cell>
          <cell r="D912">
            <v>1983.3333333333333</v>
          </cell>
          <cell r="E912">
            <v>5950</v>
          </cell>
          <cell r="F912">
            <v>0.03</v>
          </cell>
        </row>
        <row r="913">
          <cell r="A913" t="str">
            <v>51740-10401604CCLF</v>
          </cell>
          <cell r="B913" t="str">
            <v>51740-10401604CCLF Connector,PBVTR</v>
          </cell>
          <cell r="C913">
            <v>3.0000000000000001E-3</v>
          </cell>
          <cell r="D913">
            <v>1983.3333333333333</v>
          </cell>
          <cell r="E913">
            <v>5950</v>
          </cell>
          <cell r="F913">
            <v>1.12E-2</v>
          </cell>
        </row>
        <row r="914">
          <cell r="A914" t="str">
            <v>51740-10402002AALF</v>
          </cell>
          <cell r="B914" t="str">
            <v>51740-10402002AALF Connector,PBVTR</v>
          </cell>
          <cell r="C914">
            <v>3.0000000000000001E-3</v>
          </cell>
          <cell r="D914">
            <v>1983.3333333333333</v>
          </cell>
          <cell r="E914">
            <v>5950</v>
          </cell>
          <cell r="F914">
            <v>2.8000000000000001E-2</v>
          </cell>
        </row>
        <row r="915">
          <cell r="A915" t="str">
            <v>51740-10402003AALF</v>
          </cell>
          <cell r="B915" t="str">
            <v>51740-10402003AALF Connector,PBVTR</v>
          </cell>
          <cell r="C915">
            <v>3.0000000000000001E-3</v>
          </cell>
          <cell r="D915">
            <v>1983.3333333333333</v>
          </cell>
          <cell r="E915">
            <v>5950</v>
          </cell>
          <cell r="F915">
            <v>2.1700000000000001E-2</v>
          </cell>
        </row>
        <row r="916">
          <cell r="A916" t="str">
            <v>51740-10402004CCLF</v>
          </cell>
          <cell r="B916" t="str">
            <v>51740-10402004CCLF Connector,PBVTR</v>
          </cell>
          <cell r="C916">
            <v>2.7E-2</v>
          </cell>
          <cell r="D916">
            <v>220.37037037037038</v>
          </cell>
          <cell r="E916">
            <v>661.11111111111109</v>
          </cell>
          <cell r="F916">
            <v>2.4299999999999999E-2</v>
          </cell>
        </row>
        <row r="917">
          <cell r="A917" t="str">
            <v>51740-10402402AALF</v>
          </cell>
          <cell r="B917" t="str">
            <v>51740-10402402AALF Connector,PBVTR</v>
          </cell>
          <cell r="C917">
            <v>3.0000000000000001E-3</v>
          </cell>
          <cell r="D917">
            <v>1983.3333333333333</v>
          </cell>
          <cell r="E917">
            <v>5950</v>
          </cell>
          <cell r="F917">
            <v>1.2999999999999999E-2</v>
          </cell>
        </row>
        <row r="918">
          <cell r="A918" t="str">
            <v>51740-10402402CALF</v>
          </cell>
          <cell r="B918" t="str">
            <v>51740-10402402CALF Connector,PBVTR</v>
          </cell>
          <cell r="C918">
            <v>3.0000000000000001E-3</v>
          </cell>
          <cell r="D918">
            <v>1983.3333333333333</v>
          </cell>
          <cell r="E918">
            <v>5950</v>
          </cell>
          <cell r="F918">
            <v>2.7E-2</v>
          </cell>
        </row>
        <row r="919">
          <cell r="A919" t="str">
            <v>51740-10402403AALF</v>
          </cell>
          <cell r="B919" t="str">
            <v>51740-10402403AALF Connector,PBVTR</v>
          </cell>
          <cell r="C919">
            <v>3.0000000000000001E-3</v>
          </cell>
          <cell r="D919">
            <v>1983.3333333333333</v>
          </cell>
          <cell r="E919">
            <v>5950</v>
          </cell>
          <cell r="F919">
            <v>3.2000000000000001E-2</v>
          </cell>
        </row>
        <row r="920">
          <cell r="A920" t="str">
            <v>51740-10402403CALF</v>
          </cell>
          <cell r="B920" t="str">
            <v>51740-10402403CALF Connector,PBVTR</v>
          </cell>
          <cell r="C920">
            <v>3.0000000000000001E-3</v>
          </cell>
          <cell r="D920">
            <v>1983.3333333333333</v>
          </cell>
          <cell r="E920">
            <v>5950</v>
          </cell>
          <cell r="F920">
            <v>3.2000000000000001E-2</v>
          </cell>
        </row>
        <row r="921">
          <cell r="A921" t="str">
            <v>51740-10402404AALF</v>
          </cell>
          <cell r="B921" t="str">
            <v>51740-10402404AALF PwrBlade VR</v>
          </cell>
          <cell r="C921">
            <v>3.2499999999999999E-3</v>
          </cell>
          <cell r="D921">
            <v>1830.7692307692309</v>
          </cell>
          <cell r="E921">
            <v>5492.3076923076933</v>
          </cell>
          <cell r="F921">
            <v>2.5749999999999999E-2</v>
          </cell>
        </row>
        <row r="922">
          <cell r="A922" t="str">
            <v>51740-10402404ACLF</v>
          </cell>
          <cell r="B922" t="str">
            <v>51740-10402404ACLF Connector,PBVTR</v>
          </cell>
          <cell r="C922">
            <v>1.8E-3</v>
          </cell>
          <cell r="D922">
            <v>3305.5555555555557</v>
          </cell>
          <cell r="E922">
            <v>9916.6666666666679</v>
          </cell>
          <cell r="F922">
            <v>2.7E-2</v>
          </cell>
        </row>
        <row r="923">
          <cell r="A923" t="str">
            <v>51740-10402404CALF</v>
          </cell>
          <cell r="B923" t="str">
            <v>51740-10402404CALF PwrBlade VR PF</v>
          </cell>
          <cell r="C923">
            <v>3.2499999999999999E-3</v>
          </cell>
          <cell r="D923">
            <v>1830.7692307692309</v>
          </cell>
          <cell r="E923">
            <v>5492.3076923076933</v>
          </cell>
          <cell r="F923">
            <v>8.1470999999999991E-3</v>
          </cell>
        </row>
        <row r="924">
          <cell r="A924" t="str">
            <v>51740-10402406CCLF</v>
          </cell>
          <cell r="B924" t="str">
            <v>51740-10402406CCLF Connector,PBVTR</v>
          </cell>
          <cell r="C924">
            <v>3.0000000000000001E-3</v>
          </cell>
          <cell r="D924">
            <v>1983.3333333333333</v>
          </cell>
          <cell r="E924">
            <v>5950</v>
          </cell>
          <cell r="F924">
            <v>2.9000000000000001E-2</v>
          </cell>
        </row>
        <row r="925">
          <cell r="A925" t="str">
            <v>51740-10402408AALF</v>
          </cell>
          <cell r="B925" t="str">
            <v>51740-10402408AALF Connector,PBVTR</v>
          </cell>
          <cell r="C925">
            <v>3.0000000000000001E-3</v>
          </cell>
          <cell r="D925">
            <v>1983.3333333333333</v>
          </cell>
          <cell r="E925">
            <v>5950</v>
          </cell>
          <cell r="F925">
            <v>3.7999999999999999E-2</v>
          </cell>
        </row>
        <row r="926">
          <cell r="A926" t="str">
            <v>51740-10402804CALF</v>
          </cell>
          <cell r="B926" t="str">
            <v>51740-10402804CALF Connector,PBVTR</v>
          </cell>
          <cell r="C926">
            <v>1.2999999999999999E-2</v>
          </cell>
          <cell r="D926">
            <v>457.69230769230774</v>
          </cell>
          <cell r="E926">
            <v>1373.0769230769233</v>
          </cell>
          <cell r="F926">
            <v>2.8000000000000001E-2</v>
          </cell>
        </row>
        <row r="927">
          <cell r="A927" t="str">
            <v>51740-10403204CALF</v>
          </cell>
          <cell r="B927" t="str">
            <v>51740-10403204CALF Connector,PBVTR</v>
          </cell>
          <cell r="C927">
            <v>3.8999999999999998E-3</v>
          </cell>
          <cell r="D927">
            <v>1525.6410256410259</v>
          </cell>
          <cell r="E927">
            <v>4576.923076923078</v>
          </cell>
          <cell r="F927">
            <v>2.9000000000000001E-2</v>
          </cell>
        </row>
        <row r="928">
          <cell r="A928" t="str">
            <v>51740-10403607AALF</v>
          </cell>
          <cell r="B928" t="str">
            <v>51740-10403607AALF Connector,PBVTR</v>
          </cell>
          <cell r="C928">
            <v>4.0000000000000001E-3</v>
          </cell>
          <cell r="D928">
            <v>1487.5</v>
          </cell>
          <cell r="E928">
            <v>4462.5</v>
          </cell>
          <cell r="F928">
            <v>0.03</v>
          </cell>
        </row>
        <row r="929">
          <cell r="A929" t="str">
            <v>51740-10404004CCLF</v>
          </cell>
          <cell r="B929" t="str">
            <v>51740-10404004CCLF PwrBlade VR PF</v>
          </cell>
          <cell r="C929">
            <v>4.5833330000000002E-3</v>
          </cell>
          <cell r="D929">
            <v>1298.1819125950481</v>
          </cell>
          <cell r="E929">
            <v>3894.5457377851444</v>
          </cell>
          <cell r="F929">
            <v>2.5999999999999999E-2</v>
          </cell>
        </row>
        <row r="930">
          <cell r="A930" t="str">
            <v>51740-10404804AALF</v>
          </cell>
          <cell r="B930" t="str">
            <v>51740-10404804AALF PwrBlade VR</v>
          </cell>
          <cell r="C930">
            <v>5.2500000000000003E-3</v>
          </cell>
          <cell r="D930">
            <v>1133.3333333333333</v>
          </cell>
          <cell r="E930">
            <v>3400</v>
          </cell>
          <cell r="F930">
            <v>2.9000000000000001E-2</v>
          </cell>
        </row>
        <row r="931">
          <cell r="A931" t="str">
            <v>51740-10404804CALF</v>
          </cell>
          <cell r="B931" t="str">
            <v>51740-10404804CALF PwrBlade VR</v>
          </cell>
          <cell r="C931">
            <v>5.2500000000000003E-3</v>
          </cell>
          <cell r="D931">
            <v>1133.3333333333333</v>
          </cell>
          <cell r="E931">
            <v>3400</v>
          </cell>
          <cell r="F931">
            <v>2.7300000000000001E-2</v>
          </cell>
        </row>
        <row r="932">
          <cell r="A932" t="str">
            <v>51740-10405604CCLF</v>
          </cell>
          <cell r="B932" t="str">
            <v>51740-10405604CCLF PwrBlade VR</v>
          </cell>
          <cell r="C932">
            <v>6.0000000000000001E-3</v>
          </cell>
          <cell r="D932">
            <v>991.66666666666663</v>
          </cell>
          <cell r="E932">
            <v>2975</v>
          </cell>
          <cell r="F932">
            <v>0.03</v>
          </cell>
        </row>
        <row r="933">
          <cell r="A933" t="str">
            <v>51740-10410004AALF</v>
          </cell>
          <cell r="B933" t="str">
            <v>51740-10410004AALF Connector,PBVTR</v>
          </cell>
          <cell r="C933">
            <v>0.01</v>
          </cell>
          <cell r="D933">
            <v>595</v>
          </cell>
          <cell r="E933">
            <v>1785</v>
          </cell>
          <cell r="F933">
            <v>5.1999999999999998E-2</v>
          </cell>
        </row>
        <row r="934">
          <cell r="A934" t="str">
            <v>51740-10500805AALF</v>
          </cell>
          <cell r="B934" t="str">
            <v>51740-10500805AALF Connector,PBVTR</v>
          </cell>
          <cell r="C934">
            <v>1.9E-3</v>
          </cell>
          <cell r="D934">
            <v>3131.5789473684213</v>
          </cell>
          <cell r="E934">
            <v>9394.7368421052633</v>
          </cell>
          <cell r="F934">
            <v>3.3000000000000002E-2</v>
          </cell>
        </row>
        <row r="935">
          <cell r="A935" t="str">
            <v>51740-10502002AALF</v>
          </cell>
          <cell r="B935" t="str">
            <v>51740-10502002AALF Connector,PBVTR</v>
          </cell>
          <cell r="C935">
            <v>2.8999999999999998E-3</v>
          </cell>
          <cell r="D935">
            <v>2051.7241379310349</v>
          </cell>
          <cell r="E935">
            <v>6155.1724137931051</v>
          </cell>
          <cell r="F935">
            <v>3.3000000000000002E-2</v>
          </cell>
        </row>
        <row r="936">
          <cell r="A936" t="str">
            <v>51740-10502405AALF</v>
          </cell>
          <cell r="B936" t="str">
            <v>51740-10502405AALF Connector,PBVTR</v>
          </cell>
          <cell r="C936">
            <v>3.0000000000000001E-3</v>
          </cell>
          <cell r="D936">
            <v>1983.3333333333333</v>
          </cell>
          <cell r="E936">
            <v>5950</v>
          </cell>
          <cell r="F936">
            <v>6.4000000000000001E-2</v>
          </cell>
        </row>
        <row r="937">
          <cell r="A937" t="str">
            <v>51740-10502405CALF</v>
          </cell>
          <cell r="B937" t="str">
            <v>51740-10502405CALF Connector,PBVTR</v>
          </cell>
          <cell r="C937">
            <v>3.3E-3</v>
          </cell>
          <cell r="D937">
            <v>1803.030303030303</v>
          </cell>
          <cell r="E937">
            <v>5409.090909090909</v>
          </cell>
          <cell r="F937">
            <v>3.1E-2</v>
          </cell>
        </row>
        <row r="938">
          <cell r="A938" t="str">
            <v>51740-10502405CCLF</v>
          </cell>
          <cell r="B938" t="str">
            <v>51740-10502405CCLF Connector,PBVTR</v>
          </cell>
          <cell r="C938">
            <v>3.0000000000000001E-3</v>
          </cell>
          <cell r="D938">
            <v>1983.3333333333333</v>
          </cell>
          <cell r="E938">
            <v>5950</v>
          </cell>
          <cell r="F938">
            <v>2.9000000000000001E-2</v>
          </cell>
        </row>
        <row r="939">
          <cell r="A939" t="str">
            <v>51740-10503606AALF</v>
          </cell>
          <cell r="B939" t="str">
            <v>51740-10503606AALF Connector,PBVTR</v>
          </cell>
          <cell r="C939">
            <v>4.0000000000000001E-3</v>
          </cell>
          <cell r="D939">
            <v>1487.5</v>
          </cell>
          <cell r="E939">
            <v>4462.5</v>
          </cell>
          <cell r="F939">
            <v>3.4000000000000002E-2</v>
          </cell>
        </row>
        <row r="940">
          <cell r="A940" t="str">
            <v>51740-10504004AALF</v>
          </cell>
          <cell r="B940" t="str">
            <v>51740-10504004AALF Connector,PBVTR</v>
          </cell>
          <cell r="C940">
            <v>4.5999999999999999E-3</v>
          </cell>
          <cell r="D940">
            <v>1293.4782608695652</v>
          </cell>
          <cell r="E940">
            <v>3880.434782608696</v>
          </cell>
          <cell r="F940">
            <v>3.2000000000000001E-2</v>
          </cell>
        </row>
        <row r="941">
          <cell r="A941" t="str">
            <v>51740-10600806AALF</v>
          </cell>
          <cell r="B941" t="str">
            <v>51740-10600806AALF Connector,PBVTR</v>
          </cell>
          <cell r="C941">
            <v>2E-3</v>
          </cell>
          <cell r="D941">
            <v>2975</v>
          </cell>
          <cell r="E941">
            <v>8925</v>
          </cell>
          <cell r="F941">
            <v>0.04</v>
          </cell>
        </row>
        <row r="942">
          <cell r="A942" t="str">
            <v>51740-10601209AALF</v>
          </cell>
          <cell r="B942" t="str">
            <v>51740-10601209AALF Connector,PBVTR</v>
          </cell>
          <cell r="C942">
            <v>2E-3</v>
          </cell>
          <cell r="D942">
            <v>2975</v>
          </cell>
          <cell r="E942">
            <v>8925</v>
          </cell>
          <cell r="F942">
            <v>3.9E-2</v>
          </cell>
        </row>
        <row r="943">
          <cell r="A943" t="str">
            <v>51740-10601209CALF</v>
          </cell>
          <cell r="B943" t="str">
            <v>51740-10601209CALF Connector,PBVTR</v>
          </cell>
          <cell r="C943">
            <v>2.3E-3</v>
          </cell>
          <cell r="D943">
            <v>2586.9565217391305</v>
          </cell>
          <cell r="E943">
            <v>7760.8695652173919</v>
          </cell>
          <cell r="F943">
            <v>2.1100000000000001E-2</v>
          </cell>
        </row>
        <row r="944">
          <cell r="A944" t="str">
            <v>51740-10601602AALF</v>
          </cell>
          <cell r="B944" t="str">
            <v>51740-10601602AALF Connector,PBVTR</v>
          </cell>
          <cell r="C944">
            <v>3.0000000000000001E-3</v>
          </cell>
          <cell r="D944">
            <v>1983.3333333333333</v>
          </cell>
          <cell r="E944">
            <v>5950</v>
          </cell>
          <cell r="F944">
            <v>0.03</v>
          </cell>
        </row>
        <row r="945">
          <cell r="A945" t="str">
            <v>51740-10601603AALF</v>
          </cell>
          <cell r="B945" t="str">
            <v>51740-10601603AALF Connector,PBVTR</v>
          </cell>
          <cell r="C945">
            <v>3.0000000000000001E-3</v>
          </cell>
          <cell r="D945">
            <v>1983.3333333333333</v>
          </cell>
          <cell r="E945">
            <v>5950</v>
          </cell>
          <cell r="F945">
            <v>3.4000000000000002E-2</v>
          </cell>
        </row>
        <row r="946">
          <cell r="A946" t="str">
            <v>51740-10602004AALF</v>
          </cell>
          <cell r="B946" t="str">
            <v>51740-10602004AALF Connector,PBVTR</v>
          </cell>
          <cell r="C946">
            <v>2.8999999999999998E-3</v>
          </cell>
          <cell r="D946">
            <v>2051.7241379310349</v>
          </cell>
          <cell r="E946">
            <v>6155.1724137931051</v>
          </cell>
          <cell r="F946">
            <v>3.2000000000000001E-2</v>
          </cell>
        </row>
        <row r="947">
          <cell r="A947" t="str">
            <v>51740-10602005ABLF</v>
          </cell>
          <cell r="B947" t="str">
            <v>51740-10602005ABLF Connector,PBVTR</v>
          </cell>
          <cell r="C947">
            <v>2.8999999999999998E-3</v>
          </cell>
          <cell r="D947">
            <v>2051.7241379310349</v>
          </cell>
          <cell r="E947">
            <v>6155.1724137931051</v>
          </cell>
          <cell r="F947">
            <v>3.3000000000000002E-2</v>
          </cell>
        </row>
        <row r="948">
          <cell r="A948" t="str">
            <v>51740-10602405CCLF</v>
          </cell>
          <cell r="B948" t="str">
            <v>51740-10602405CCLF PwrBlade VR</v>
          </cell>
          <cell r="C948">
            <v>3.0000000000000001E-3</v>
          </cell>
          <cell r="D948">
            <v>1983.3333333333333</v>
          </cell>
          <cell r="E948">
            <v>5950</v>
          </cell>
          <cell r="F948">
            <v>3.3000000000000002E-2</v>
          </cell>
        </row>
        <row r="949">
          <cell r="A949" t="str">
            <v>51740-10602406AALF</v>
          </cell>
          <cell r="B949" t="str">
            <v>51740-10602406AALF Connector,PBVTR</v>
          </cell>
          <cell r="C949">
            <v>3.3E-3</v>
          </cell>
          <cell r="D949">
            <v>1803.030303030303</v>
          </cell>
          <cell r="E949">
            <v>5409.090909090909</v>
          </cell>
          <cell r="F949">
            <v>3.7999999999999999E-2</v>
          </cell>
        </row>
        <row r="950">
          <cell r="A950" t="str">
            <v>51740-10602406CALF</v>
          </cell>
          <cell r="B950" t="str">
            <v>51740-10602406CALF Connector,PBVTR</v>
          </cell>
          <cell r="C950">
            <v>3.3E-3</v>
          </cell>
          <cell r="D950">
            <v>1803.030303030303</v>
          </cell>
          <cell r="E950">
            <v>5409.090909090909</v>
          </cell>
          <cell r="F950">
            <v>3.7499999999999999E-2</v>
          </cell>
        </row>
        <row r="951">
          <cell r="A951" t="str">
            <v>51740-10602807AALF</v>
          </cell>
          <cell r="B951" t="str">
            <v>51740-10602807AALF Connector,PBVTR</v>
          </cell>
          <cell r="C951">
            <v>3.5999999999999999E-3</v>
          </cell>
          <cell r="D951">
            <v>1652.7777777777778</v>
          </cell>
          <cell r="E951">
            <v>4958.3333333333339</v>
          </cell>
          <cell r="F951">
            <v>4.1000000000000002E-2</v>
          </cell>
        </row>
        <row r="952">
          <cell r="A952" t="str">
            <v>51740-10602808CALF</v>
          </cell>
          <cell r="B952" t="str">
            <v>51740-10602808CALF Connector,PBVTR</v>
          </cell>
          <cell r="C952">
            <v>4.0000000000000001E-3</v>
          </cell>
          <cell r="D952">
            <v>1487.5</v>
          </cell>
          <cell r="E952">
            <v>4462.5</v>
          </cell>
          <cell r="F952">
            <v>4.4999999999999998E-2</v>
          </cell>
        </row>
        <row r="953">
          <cell r="A953" t="str">
            <v>51740-10700000AALF</v>
          </cell>
          <cell r="B953" t="str">
            <v>51740-10700000AALF Connector,PBVTR</v>
          </cell>
          <cell r="C953">
            <v>6.1000000000000004E-3</v>
          </cell>
          <cell r="D953">
            <v>975.4098360655737</v>
          </cell>
          <cell r="E953">
            <v>2926.2295081967213</v>
          </cell>
          <cell r="F953">
            <v>2.8000000000000001E-2</v>
          </cell>
        </row>
        <row r="954">
          <cell r="A954" t="str">
            <v>51740-10700807AALF</v>
          </cell>
          <cell r="B954" t="str">
            <v>51740-10700807AALF Connector,PBVTR</v>
          </cell>
          <cell r="C954">
            <v>1.3100000000000001E-2</v>
          </cell>
          <cell r="D954">
            <v>454.19847328244276</v>
          </cell>
          <cell r="E954">
            <v>1362.5954198473282</v>
          </cell>
          <cell r="F954">
            <v>2.5999999999999999E-2</v>
          </cell>
        </row>
        <row r="955">
          <cell r="A955" t="str">
            <v>51740-10701607AALF</v>
          </cell>
          <cell r="B955" t="str">
            <v>51740-10701607AALF PwrBlade VR</v>
          </cell>
          <cell r="C955">
            <v>3.0000000000000001E-3</v>
          </cell>
          <cell r="D955">
            <v>1983.3333333333333</v>
          </cell>
          <cell r="E955">
            <v>5950</v>
          </cell>
          <cell r="F955">
            <v>4.5999999999999999E-2</v>
          </cell>
        </row>
        <row r="956">
          <cell r="A956" t="str">
            <v>51740-10702406AALF</v>
          </cell>
          <cell r="B956" t="str">
            <v>51740-10702406AALF Connector,PBVTR</v>
          </cell>
          <cell r="C956">
            <v>3.0000000000000001E-3</v>
          </cell>
          <cell r="D956">
            <v>1983.3333333333333</v>
          </cell>
          <cell r="E956">
            <v>5950</v>
          </cell>
          <cell r="F956">
            <v>4.2000000000000003E-2</v>
          </cell>
        </row>
        <row r="957">
          <cell r="A957" t="str">
            <v>51740-10702407CCLF</v>
          </cell>
          <cell r="B957" t="str">
            <v>51740-10702407CCLF Connector,PBVTR</v>
          </cell>
          <cell r="C957">
            <v>3.0000000000000001E-3</v>
          </cell>
          <cell r="D957">
            <v>1983.3333333333333</v>
          </cell>
          <cell r="E957">
            <v>5950</v>
          </cell>
          <cell r="F957">
            <v>4.4999999999999998E-2</v>
          </cell>
        </row>
        <row r="958">
          <cell r="A958" t="str">
            <v>51740-10702807AALF</v>
          </cell>
          <cell r="B958" t="str">
            <v>51740-10702807AALF Connector,PBVTR</v>
          </cell>
          <cell r="C958">
            <v>3.5999999999999999E-3</v>
          </cell>
          <cell r="D958">
            <v>1652.7777777777778</v>
          </cell>
          <cell r="E958">
            <v>4958.3333333333339</v>
          </cell>
          <cell r="F958">
            <v>3.3000000000000002E-2</v>
          </cell>
        </row>
        <row r="959">
          <cell r="A959" t="str">
            <v>51740-10703206AALF</v>
          </cell>
          <cell r="B959" t="str">
            <v>51740-10703206AALF Connector,PBVTR</v>
          </cell>
          <cell r="C959">
            <v>3.8999999999999998E-3</v>
          </cell>
          <cell r="D959">
            <v>1525.6410256410259</v>
          </cell>
          <cell r="E959">
            <v>4576.923076923078</v>
          </cell>
          <cell r="F959">
            <v>3.7999999999999999E-2</v>
          </cell>
        </row>
        <row r="960">
          <cell r="A960" t="str">
            <v>51740-10703206ACLF</v>
          </cell>
          <cell r="B960" t="str">
            <v>51740-10703206ACLF Connector,PBVTR</v>
          </cell>
          <cell r="C960">
            <v>4.0000000000000001E-3</v>
          </cell>
          <cell r="D960">
            <v>1487.5</v>
          </cell>
          <cell r="E960">
            <v>4462.5</v>
          </cell>
          <cell r="F960">
            <v>3.7999999999999999E-2</v>
          </cell>
        </row>
        <row r="961">
          <cell r="A961" t="str">
            <v>51740-10703206CALF</v>
          </cell>
          <cell r="B961" t="str">
            <v>51740-10703206CALF Connector,PBVTR</v>
          </cell>
          <cell r="C961">
            <v>4.0000000000000001E-3</v>
          </cell>
          <cell r="D961">
            <v>1487.5</v>
          </cell>
          <cell r="E961">
            <v>4462.5</v>
          </cell>
          <cell r="F961">
            <v>4.1000000000000002E-2</v>
          </cell>
        </row>
        <row r="962">
          <cell r="A962" t="str">
            <v>51740-10703206CCLF</v>
          </cell>
          <cell r="B962" t="str">
            <v>51740-10703206CCLF PwrBlade VR</v>
          </cell>
          <cell r="C962">
            <v>6.1000000000000004E-3</v>
          </cell>
          <cell r="D962">
            <v>975.4098360655737</v>
          </cell>
          <cell r="E962">
            <v>2926.2295081967213</v>
          </cell>
          <cell r="F962">
            <v>1.43181E-2</v>
          </cell>
        </row>
        <row r="963">
          <cell r="A963" t="str">
            <v>51740-10703607AALF</v>
          </cell>
          <cell r="B963" t="str">
            <v>51740-10703607AALF PwrBlade VR STB</v>
          </cell>
          <cell r="C963">
            <v>8.6999999999999994E-2</v>
          </cell>
          <cell r="D963">
            <v>68.390804597701162</v>
          </cell>
          <cell r="E963">
            <v>205.17241379310349</v>
          </cell>
          <cell r="F963">
            <v>3.5000000000000003E-2</v>
          </cell>
        </row>
        <row r="964">
          <cell r="A964" t="str">
            <v>51740-10801208CCLF</v>
          </cell>
          <cell r="B964" t="str">
            <v>51740-10801208CCLF Connector,PBVTR</v>
          </cell>
          <cell r="C964">
            <v>2.3E-3</v>
          </cell>
          <cell r="D964">
            <v>2586.9565217391305</v>
          </cell>
          <cell r="E964">
            <v>7760.8695652173919</v>
          </cell>
          <cell r="F964">
            <v>0.04</v>
          </cell>
        </row>
        <row r="965">
          <cell r="A965" t="str">
            <v>51740-10801604CCLF</v>
          </cell>
          <cell r="B965" t="str">
            <v>51740-10801604CCLF Connector,PBVTR</v>
          </cell>
          <cell r="C965">
            <v>3.0000000000000001E-3</v>
          </cell>
          <cell r="D965">
            <v>1983.3333333333333</v>
          </cell>
          <cell r="E965">
            <v>5950</v>
          </cell>
          <cell r="F965">
            <v>3.6999999999999998E-2</v>
          </cell>
        </row>
        <row r="966">
          <cell r="A966" t="str">
            <v>51740-10802400CCLF</v>
          </cell>
          <cell r="B966" t="str">
            <v>51740-10802400CCLF Connector,PBVTR</v>
          </cell>
          <cell r="C966">
            <v>3.0000000000000001E-3</v>
          </cell>
          <cell r="D966">
            <v>1983.3333333333333</v>
          </cell>
          <cell r="E966">
            <v>5950</v>
          </cell>
          <cell r="F966">
            <v>2.7E-2</v>
          </cell>
        </row>
        <row r="967">
          <cell r="A967" t="str">
            <v>51740-10802408AALF</v>
          </cell>
          <cell r="B967" t="str">
            <v>51740-10802408AALF Connector,PBVTR</v>
          </cell>
          <cell r="C967">
            <v>3.0000000000000001E-3</v>
          </cell>
          <cell r="D967">
            <v>1983.3333333333333</v>
          </cell>
          <cell r="E967">
            <v>5950</v>
          </cell>
          <cell r="F967">
            <v>3.3000000000000002E-2</v>
          </cell>
        </row>
        <row r="968">
          <cell r="A968" t="str">
            <v>51740-10802408CALF</v>
          </cell>
          <cell r="B968" t="str">
            <v>51740-10802408CALF Connector,PBVTR</v>
          </cell>
          <cell r="C968">
            <v>3.0000000000000001E-3</v>
          </cell>
          <cell r="D968">
            <v>1983.3333333333333</v>
          </cell>
          <cell r="E968">
            <v>5950</v>
          </cell>
          <cell r="F968">
            <v>5.1999999999999998E-2</v>
          </cell>
        </row>
        <row r="969">
          <cell r="A969" t="str">
            <v>51740-10803208AALF</v>
          </cell>
          <cell r="B969" t="str">
            <v>51740-10803208AALF Connector,PBVTR</v>
          </cell>
          <cell r="C969">
            <v>4.0000000000000001E-3</v>
          </cell>
          <cell r="D969">
            <v>1487.5</v>
          </cell>
          <cell r="E969">
            <v>4462.5</v>
          </cell>
          <cell r="F969">
            <v>0.04</v>
          </cell>
        </row>
        <row r="970">
          <cell r="A970" t="str">
            <v>51740-10803208CCLF</v>
          </cell>
          <cell r="B970" t="str">
            <v>51740-10803208CCLF Connector,PBVTR</v>
          </cell>
          <cell r="C970">
            <v>4.0000000000000001E-3</v>
          </cell>
          <cell r="D970">
            <v>1487.5</v>
          </cell>
          <cell r="E970">
            <v>4462.5</v>
          </cell>
          <cell r="F970">
            <v>4.8000000000000001E-2</v>
          </cell>
        </row>
        <row r="971">
          <cell r="A971" t="str">
            <v>51740-10806010AALF</v>
          </cell>
          <cell r="B971" t="str">
            <v>51740-10806010AALF PwrBlade VR</v>
          </cell>
          <cell r="C971">
            <v>6.0000000000000001E-3</v>
          </cell>
          <cell r="D971">
            <v>991.66666666666663</v>
          </cell>
          <cell r="E971">
            <v>2975</v>
          </cell>
          <cell r="F971">
            <v>5.6000000000000001E-2</v>
          </cell>
        </row>
        <row r="972">
          <cell r="A972" t="str">
            <v>51740-10901209CCLF</v>
          </cell>
          <cell r="B972" t="str">
            <v>51740-10901209CCLF Connector,PBVTR</v>
          </cell>
          <cell r="C972">
            <v>2E-3</v>
          </cell>
          <cell r="D972">
            <v>2975</v>
          </cell>
          <cell r="E972">
            <v>8925</v>
          </cell>
          <cell r="F972">
            <v>5.7000000000000002E-2</v>
          </cell>
        </row>
        <row r="973">
          <cell r="A973" t="str">
            <v>51740-10903204AALF</v>
          </cell>
          <cell r="B973" t="str">
            <v>51740-10903204AALF Connector,PBVTR</v>
          </cell>
          <cell r="C973">
            <v>4.0000000000000001E-3</v>
          </cell>
          <cell r="D973">
            <v>1487.5</v>
          </cell>
          <cell r="E973">
            <v>4462.5</v>
          </cell>
          <cell r="F973">
            <v>3.2000000000000001E-2</v>
          </cell>
        </row>
        <row r="974">
          <cell r="A974" t="str">
            <v>51740-10903209AALF</v>
          </cell>
          <cell r="B974" t="str">
            <v>51740-10903209AALF PwrBlade VR STB</v>
          </cell>
          <cell r="C974">
            <v>4.0000000000000001E-3</v>
          </cell>
          <cell r="D974">
            <v>1487.5</v>
          </cell>
          <cell r="E974">
            <v>4462.5</v>
          </cell>
          <cell r="F974">
            <v>5.8999999999999997E-2</v>
          </cell>
        </row>
        <row r="975">
          <cell r="A975" t="str">
            <v>51740-11002006AALF</v>
          </cell>
          <cell r="B975" t="str">
            <v>51740-11002006AALF Connector,PBVTR</v>
          </cell>
          <cell r="C975">
            <v>3.0000000000000001E-3</v>
          </cell>
          <cell r="D975">
            <v>1983.3333333333333</v>
          </cell>
          <cell r="E975">
            <v>5950</v>
          </cell>
          <cell r="F975">
            <v>5.2999999999999999E-2</v>
          </cell>
        </row>
        <row r="976">
          <cell r="A976" t="str">
            <v>51740-11004410CCLF</v>
          </cell>
          <cell r="B976" t="str">
            <v>51740-11004410CCLF Connector,PBVTR</v>
          </cell>
          <cell r="C976">
            <v>5.0000000000000001E-3</v>
          </cell>
          <cell r="D976">
            <v>1190</v>
          </cell>
          <cell r="E976">
            <v>3570</v>
          </cell>
          <cell r="F976">
            <v>0.06</v>
          </cell>
        </row>
        <row r="977">
          <cell r="A977" t="str">
            <v>51740-11008410AALF</v>
          </cell>
          <cell r="B977" t="str">
            <v>51740-11008410AALF Connector,PBVTR</v>
          </cell>
          <cell r="C977">
            <v>8.3000000000000001E-3</v>
          </cell>
          <cell r="D977">
            <v>716.86746987951813</v>
          </cell>
          <cell r="E977">
            <v>2150.6024096385545</v>
          </cell>
          <cell r="F977">
            <v>5.5E-2</v>
          </cell>
        </row>
        <row r="978">
          <cell r="A978" t="str">
            <v>51740-11102003AALF</v>
          </cell>
          <cell r="B978" t="str">
            <v>51740-11102003AALF PwrBlade VR STB</v>
          </cell>
          <cell r="C978">
            <v>3.0000000000000001E-3</v>
          </cell>
          <cell r="D978">
            <v>1983.3333333333333</v>
          </cell>
          <cell r="E978">
            <v>5950</v>
          </cell>
          <cell r="F978">
            <v>3.5999999999999997E-2</v>
          </cell>
        </row>
        <row r="979">
          <cell r="A979" t="str">
            <v>51740-11102003CALF</v>
          </cell>
          <cell r="B979" t="str">
            <v>51740-11102003CALF Connector,PBVTR</v>
          </cell>
          <cell r="C979">
            <v>3.0000000000000001E-3</v>
          </cell>
          <cell r="D979">
            <v>1983.3333333333333</v>
          </cell>
          <cell r="E979">
            <v>5950</v>
          </cell>
          <cell r="F979">
            <v>2.2800000000000001E-2</v>
          </cell>
        </row>
        <row r="980">
          <cell r="A980" t="str">
            <v>51740-11102003CCLF</v>
          </cell>
          <cell r="B980" t="str">
            <v>51740-11102003CCLF Connector,PBVTR</v>
          </cell>
          <cell r="C980">
            <v>3.0000000000000001E-3</v>
          </cell>
          <cell r="D980">
            <v>1983.3333333333333</v>
          </cell>
          <cell r="E980">
            <v>5950</v>
          </cell>
          <cell r="F980">
            <v>3.1E-2</v>
          </cell>
        </row>
        <row r="981">
          <cell r="A981" t="str">
            <v>51740-B0201602CALF</v>
          </cell>
          <cell r="B981" t="str">
            <v>51740-B0201602CALF Connector,PBVTR</v>
          </cell>
          <cell r="C981">
            <v>2.5999999999999999E-3</v>
          </cell>
          <cell r="D981">
            <v>2288.4615384615386</v>
          </cell>
          <cell r="E981">
            <v>6865.3846153846152</v>
          </cell>
          <cell r="F981">
            <v>1.41E-2</v>
          </cell>
        </row>
        <row r="982">
          <cell r="A982" t="str">
            <v>51740-B0202402CALF</v>
          </cell>
          <cell r="B982" t="str">
            <v>51740-B0202402CALF Connector,PBVTR</v>
          </cell>
          <cell r="C982">
            <v>3.0000000000000001E-3</v>
          </cell>
          <cell r="D982">
            <v>1983.3333333333333</v>
          </cell>
          <cell r="E982">
            <v>5950</v>
          </cell>
          <cell r="F982">
            <v>1.11E-2</v>
          </cell>
        </row>
        <row r="983">
          <cell r="A983" t="str">
            <v>51740-B0402404CCLF</v>
          </cell>
          <cell r="B983" t="str">
            <v>51740-B0402404CCLF PwrBlade VR</v>
          </cell>
          <cell r="C983">
            <v>3.2499999999999999E-3</v>
          </cell>
          <cell r="D983">
            <v>1830.7692307692309</v>
          </cell>
          <cell r="E983">
            <v>5492.3076923076933</v>
          </cell>
          <cell r="F983">
            <v>1.01E-2</v>
          </cell>
        </row>
        <row r="984">
          <cell r="A984" t="str">
            <v>51741-10000402CCLF</v>
          </cell>
          <cell r="B984" t="str">
            <v>51741-10000402CCLF Connector,PBVTR</v>
          </cell>
          <cell r="C984">
            <v>2E-3</v>
          </cell>
          <cell r="D984">
            <v>2975</v>
          </cell>
          <cell r="E984">
            <v>8925</v>
          </cell>
          <cell r="F984">
            <v>2.1999999999999999E-2</v>
          </cell>
        </row>
        <row r="985">
          <cell r="A985" t="str">
            <v>51741-10000404AALF</v>
          </cell>
          <cell r="B985" t="str">
            <v>51741-10000404AALF Connector,PBVTR</v>
          </cell>
          <cell r="C985">
            <v>4.5999999999999999E-3</v>
          </cell>
          <cell r="D985">
            <v>1293.4782608695652</v>
          </cell>
          <cell r="E985">
            <v>3880.434782608696</v>
          </cell>
          <cell r="F985">
            <v>8.6999999999999994E-3</v>
          </cell>
        </row>
        <row r="986">
          <cell r="A986" t="str">
            <v>51741-10000404CCLF</v>
          </cell>
          <cell r="B986" t="str">
            <v>51741-10000404CCLF PwrBlade VR PF</v>
          </cell>
          <cell r="C986">
            <v>4.5833000000000002E-3</v>
          </cell>
          <cell r="D986">
            <v>1298.191259572797</v>
          </cell>
          <cell r="E986">
            <v>3894.5737787183907</v>
          </cell>
          <cell r="F986">
            <v>1.3745E-2</v>
          </cell>
        </row>
        <row r="987">
          <cell r="A987" t="str">
            <v>51741-10000406AALF</v>
          </cell>
          <cell r="B987" t="str">
            <v>51741-10000406AALF Connector,PBVTR</v>
          </cell>
          <cell r="C987">
            <v>2E-3</v>
          </cell>
          <cell r="D987">
            <v>2975</v>
          </cell>
          <cell r="E987">
            <v>8925</v>
          </cell>
          <cell r="F987">
            <v>2.9000000000000001E-2</v>
          </cell>
        </row>
        <row r="988">
          <cell r="A988" t="str">
            <v>51741-10000802CCLF</v>
          </cell>
          <cell r="B988" t="str">
            <v>51741-10000802CCLF Connector,PBVTR</v>
          </cell>
          <cell r="C988">
            <v>6.1000000000000004E-3</v>
          </cell>
          <cell r="D988">
            <v>975.4098360655737</v>
          </cell>
          <cell r="E988">
            <v>2926.2295081967213</v>
          </cell>
          <cell r="F988">
            <v>8.9999999999999993E-3</v>
          </cell>
        </row>
        <row r="989">
          <cell r="A989" t="str">
            <v>51741-10000803AALF</v>
          </cell>
          <cell r="B989" t="str">
            <v>51741-10000803AALF Connector,PBVTR</v>
          </cell>
          <cell r="C989">
            <v>2E-3</v>
          </cell>
          <cell r="D989">
            <v>2975</v>
          </cell>
          <cell r="E989">
            <v>8925</v>
          </cell>
          <cell r="F989">
            <v>2.3E-2</v>
          </cell>
        </row>
        <row r="990">
          <cell r="A990" t="str">
            <v>51741-10000804AALF</v>
          </cell>
          <cell r="B990" t="str">
            <v>51741-10000804AALF Connector,PBVTR</v>
          </cell>
          <cell r="C990">
            <v>1.9E-3</v>
          </cell>
          <cell r="D990">
            <v>3131.5789473684213</v>
          </cell>
          <cell r="E990">
            <v>9394.7368421052633</v>
          </cell>
          <cell r="F990">
            <v>2.7E-2</v>
          </cell>
        </row>
        <row r="991">
          <cell r="A991" t="str">
            <v>51741-10000804ACLF</v>
          </cell>
          <cell r="B991" t="str">
            <v>51741-10000804ACLF Connector,PBVTR</v>
          </cell>
          <cell r="C991">
            <v>2E-3</v>
          </cell>
          <cell r="D991">
            <v>2975</v>
          </cell>
          <cell r="E991">
            <v>8925</v>
          </cell>
          <cell r="F991">
            <v>2.5000000000000001E-2</v>
          </cell>
        </row>
        <row r="992">
          <cell r="A992" t="str">
            <v>51741-10000804CALF</v>
          </cell>
          <cell r="B992" t="str">
            <v>51741-10000804CALF Connector,PBVTR</v>
          </cell>
          <cell r="C992">
            <v>2E-3</v>
          </cell>
          <cell r="D992">
            <v>2975</v>
          </cell>
          <cell r="E992">
            <v>8925</v>
          </cell>
          <cell r="F992">
            <v>2.7E-2</v>
          </cell>
        </row>
        <row r="993">
          <cell r="A993" t="str">
            <v>51741-10000804CCLF</v>
          </cell>
          <cell r="B993" t="str">
            <v>51741-10000804CCLF Connector,PBVTR</v>
          </cell>
          <cell r="C993">
            <v>2E-3</v>
          </cell>
          <cell r="D993">
            <v>2975</v>
          </cell>
          <cell r="E993">
            <v>8925</v>
          </cell>
          <cell r="F993">
            <v>2.5000000000000001E-2</v>
          </cell>
        </row>
        <row r="994">
          <cell r="A994" t="str">
            <v>51741-10000806CCLF</v>
          </cell>
          <cell r="B994" t="str">
            <v>51741-10000806CCLF Connector,PBVTR</v>
          </cell>
          <cell r="C994">
            <v>7.7999999999999996E-3</v>
          </cell>
          <cell r="D994">
            <v>762.82051282051293</v>
          </cell>
          <cell r="E994">
            <v>2288.461538461539</v>
          </cell>
          <cell r="F994">
            <v>0.02</v>
          </cell>
        </row>
        <row r="995">
          <cell r="A995" t="str">
            <v>51741-10000810AALF</v>
          </cell>
          <cell r="B995" t="str">
            <v>51741-10000810AALF Connector,PBVTR</v>
          </cell>
          <cell r="C995">
            <v>1.9E-3</v>
          </cell>
          <cell r="D995">
            <v>3131.5789473684213</v>
          </cell>
          <cell r="E995">
            <v>9394.7368421052633</v>
          </cell>
          <cell r="F995">
            <v>3.3000000000000002E-2</v>
          </cell>
        </row>
        <row r="996">
          <cell r="A996" t="str">
            <v>51741-10000810CCLF</v>
          </cell>
          <cell r="B996" t="str">
            <v>51741-10000810CCLF Connector,PBVTR</v>
          </cell>
          <cell r="C996">
            <v>1.9E-3</v>
          </cell>
          <cell r="D996">
            <v>3131.5789473684213</v>
          </cell>
          <cell r="E996">
            <v>9394.7368421052633</v>
          </cell>
          <cell r="F996">
            <v>1.1599999999999999E-2</v>
          </cell>
        </row>
        <row r="997">
          <cell r="A997" t="str">
            <v>51741-10000812CALF</v>
          </cell>
          <cell r="B997" t="str">
            <v>51741-10000812CALF Connector,PBVTR</v>
          </cell>
          <cell r="C997">
            <v>2E-3</v>
          </cell>
          <cell r="D997">
            <v>2975</v>
          </cell>
          <cell r="E997">
            <v>8925</v>
          </cell>
          <cell r="F997">
            <v>3.3300000000000003E-2</v>
          </cell>
        </row>
        <row r="998">
          <cell r="A998" t="str">
            <v>51741-10001202AALF</v>
          </cell>
          <cell r="B998" t="str">
            <v>51741-10001202AALF Connector,PBVTR</v>
          </cell>
          <cell r="C998">
            <v>2E-3</v>
          </cell>
          <cell r="D998">
            <v>2975</v>
          </cell>
          <cell r="E998">
            <v>8925</v>
          </cell>
          <cell r="F998">
            <v>2.7E-2</v>
          </cell>
        </row>
        <row r="999">
          <cell r="A999" t="str">
            <v>51741-10001202CCLF</v>
          </cell>
          <cell r="B999" t="str">
            <v>51741-10001202CCLF Connector,PBVTR</v>
          </cell>
          <cell r="C999">
            <v>2.3E-3</v>
          </cell>
          <cell r="D999">
            <v>2586.9565217391305</v>
          </cell>
          <cell r="E999">
            <v>7760.8695652173919</v>
          </cell>
          <cell r="F999">
            <v>2.1000000000000001E-2</v>
          </cell>
        </row>
        <row r="1000">
          <cell r="A1000" t="str">
            <v>51741-10001204AALF</v>
          </cell>
          <cell r="B1000" t="str">
            <v>51741-10001204AALF Connector,PBVTR</v>
          </cell>
          <cell r="C1000">
            <v>2E-3</v>
          </cell>
          <cell r="D1000">
            <v>2975</v>
          </cell>
          <cell r="E1000">
            <v>8925</v>
          </cell>
          <cell r="F1000">
            <v>2.0199999999999999E-2</v>
          </cell>
        </row>
        <row r="1001">
          <cell r="A1001" t="str">
            <v>51741-10001204CALF</v>
          </cell>
          <cell r="B1001" t="str">
            <v>51741-10001204CALF Connector,PBVTR</v>
          </cell>
          <cell r="C1001">
            <v>2E-3</v>
          </cell>
          <cell r="D1001">
            <v>2975</v>
          </cell>
          <cell r="E1001">
            <v>8925</v>
          </cell>
          <cell r="F1001">
            <v>3.9E-2</v>
          </cell>
        </row>
        <row r="1002">
          <cell r="A1002" t="str">
            <v>51741-10001206AALF</v>
          </cell>
          <cell r="B1002" t="str">
            <v>51741-10001206AALF Connector,PBVTR</v>
          </cell>
          <cell r="C1002">
            <v>2.3E-3</v>
          </cell>
          <cell r="D1002">
            <v>2586.9565217391305</v>
          </cell>
          <cell r="E1002">
            <v>7760.8695652173919</v>
          </cell>
          <cell r="F1002">
            <v>2.2200000000000001E-2</v>
          </cell>
        </row>
        <row r="1003">
          <cell r="A1003" t="str">
            <v>51741-10001206ABLF</v>
          </cell>
          <cell r="B1003" t="str">
            <v>51741-10001206ABLF Connector,PBVTR</v>
          </cell>
          <cell r="C1003">
            <v>2.3E-3</v>
          </cell>
          <cell r="D1003">
            <v>2586.9565217391305</v>
          </cell>
          <cell r="E1003">
            <v>7760.8695652173919</v>
          </cell>
          <cell r="F1003">
            <v>2.5999999999999999E-2</v>
          </cell>
        </row>
        <row r="1004">
          <cell r="A1004" t="str">
            <v>51741-10001206ACLF</v>
          </cell>
          <cell r="B1004" t="str">
            <v>51741-10001206ACLF Connector,PBVTR</v>
          </cell>
          <cell r="C1004">
            <v>2.3E-3</v>
          </cell>
          <cell r="D1004">
            <v>2586.9565217391305</v>
          </cell>
          <cell r="E1004">
            <v>7760.8695652173919</v>
          </cell>
          <cell r="F1004">
            <v>2.8000000000000001E-2</v>
          </cell>
        </row>
        <row r="1005">
          <cell r="A1005" t="str">
            <v>51741-10001206CCLF</v>
          </cell>
          <cell r="B1005" t="str">
            <v>51741-10001206CCLF Connector,PBVTR</v>
          </cell>
          <cell r="C1005">
            <v>2.3E-3</v>
          </cell>
          <cell r="D1005">
            <v>2586.9565217391305</v>
          </cell>
          <cell r="E1005">
            <v>7760.8695652173919</v>
          </cell>
          <cell r="F1005">
            <v>2.5999999999999999E-2</v>
          </cell>
        </row>
        <row r="1006">
          <cell r="A1006" t="str">
            <v>51741-10001207AALF</v>
          </cell>
          <cell r="B1006" t="str">
            <v>51741-10001207AALF Connector,PBVTR</v>
          </cell>
          <cell r="C1006">
            <v>2E-3</v>
          </cell>
          <cell r="D1006">
            <v>2975</v>
          </cell>
          <cell r="E1006">
            <v>8925</v>
          </cell>
          <cell r="F1006">
            <v>0.03</v>
          </cell>
        </row>
        <row r="1007">
          <cell r="A1007" t="str">
            <v>51741-10001208AALF</v>
          </cell>
          <cell r="B1007" t="str">
            <v>51741-10001208AALF Connector,PBVTR</v>
          </cell>
          <cell r="C1007">
            <v>2E-3</v>
          </cell>
          <cell r="D1007">
            <v>2975</v>
          </cell>
          <cell r="E1007">
            <v>8925</v>
          </cell>
          <cell r="F1007">
            <v>0.03</v>
          </cell>
        </row>
        <row r="1008">
          <cell r="A1008" t="str">
            <v>51741-10001218AALF</v>
          </cell>
          <cell r="B1008" t="str">
            <v>51741-10001218AALF Connector,PBVTR</v>
          </cell>
          <cell r="C1008">
            <v>2E-3</v>
          </cell>
          <cell r="D1008">
            <v>2975</v>
          </cell>
          <cell r="E1008">
            <v>8925</v>
          </cell>
          <cell r="F1008">
            <v>0.06</v>
          </cell>
        </row>
        <row r="1009">
          <cell r="A1009" t="str">
            <v>51741-10001602AALF</v>
          </cell>
          <cell r="B1009" t="str">
            <v>51741-10001602AALF Connector,PBVTR</v>
          </cell>
          <cell r="C1009">
            <v>3.0000000000000001E-3</v>
          </cell>
          <cell r="D1009">
            <v>1983.3333333333333</v>
          </cell>
          <cell r="E1009">
            <v>5950</v>
          </cell>
          <cell r="F1009">
            <v>2.3E-2</v>
          </cell>
        </row>
        <row r="1010">
          <cell r="A1010" t="str">
            <v>51741-10001602CALF</v>
          </cell>
          <cell r="B1010" t="str">
            <v>51741-10001602CALF PwrBlade VR PF</v>
          </cell>
          <cell r="C1010">
            <v>6.7000000000000002E-3</v>
          </cell>
          <cell r="D1010">
            <v>888.05970149253733</v>
          </cell>
          <cell r="E1010">
            <v>2664.1791044776119</v>
          </cell>
          <cell r="F1010">
            <v>2.0199999999999999E-2</v>
          </cell>
        </row>
        <row r="1011">
          <cell r="A1011" t="str">
            <v>51741-10001602CCLF</v>
          </cell>
          <cell r="B1011" t="str">
            <v>51741-10001602CCLF Connector,PBVTR</v>
          </cell>
          <cell r="C1011">
            <v>3.0000000000000001E-3</v>
          </cell>
          <cell r="D1011">
            <v>1983.3333333333333</v>
          </cell>
          <cell r="E1011">
            <v>5950</v>
          </cell>
          <cell r="F1011">
            <v>2.1000000000000001E-2</v>
          </cell>
        </row>
        <row r="1012">
          <cell r="A1012" t="str">
            <v>51741-10001603AALF</v>
          </cell>
          <cell r="B1012" t="str">
            <v>51741-10001603AALF Connector,PBVTR</v>
          </cell>
          <cell r="C1012">
            <v>3.0000000000000001E-3</v>
          </cell>
          <cell r="D1012">
            <v>1983.3333333333333</v>
          </cell>
          <cell r="E1012">
            <v>5950</v>
          </cell>
          <cell r="F1012">
            <v>2.3E-2</v>
          </cell>
        </row>
        <row r="1013">
          <cell r="A1013" t="str">
            <v>51741-10001604AALF</v>
          </cell>
          <cell r="B1013" t="str">
            <v>51741-10001604AALF Connector,PBVTR</v>
          </cell>
          <cell r="C1013">
            <v>2.5999999999999999E-3</v>
          </cell>
          <cell r="D1013">
            <v>2288.4615384615386</v>
          </cell>
          <cell r="E1013">
            <v>6865.3846153846152</v>
          </cell>
          <cell r="F1013">
            <v>2.5999999999999999E-2</v>
          </cell>
        </row>
        <row r="1014">
          <cell r="A1014" t="str">
            <v>51741-10001604CALF</v>
          </cell>
          <cell r="B1014" t="str">
            <v>51741-10001604CALF Connector,PBVTR</v>
          </cell>
          <cell r="C1014">
            <v>3.0000000000000001E-3</v>
          </cell>
          <cell r="D1014">
            <v>1983.3333333333333</v>
          </cell>
          <cell r="E1014">
            <v>5950</v>
          </cell>
          <cell r="F1014">
            <v>1.14E-2</v>
          </cell>
        </row>
        <row r="1015">
          <cell r="A1015" t="str">
            <v>51741-10001604CCLF</v>
          </cell>
          <cell r="B1015" t="str">
            <v>51741-10001604CCLF Connector,PBVTR</v>
          </cell>
          <cell r="C1015">
            <v>2.5999999999999999E-3</v>
          </cell>
          <cell r="D1015">
            <v>2288.4615384615386</v>
          </cell>
          <cell r="E1015">
            <v>6865.3846153846152</v>
          </cell>
          <cell r="F1015">
            <v>2.4E-2</v>
          </cell>
        </row>
        <row r="1016">
          <cell r="A1016" t="str">
            <v>51741-10001605AALF</v>
          </cell>
          <cell r="B1016" t="str">
            <v>51741-10001605AALF Connector,PBVTR</v>
          </cell>
          <cell r="C1016">
            <v>3.0000000000000001E-3</v>
          </cell>
          <cell r="D1016">
            <v>1983.3333333333333</v>
          </cell>
          <cell r="E1016">
            <v>5950</v>
          </cell>
          <cell r="F1016">
            <v>3.3000000000000002E-2</v>
          </cell>
        </row>
        <row r="1017">
          <cell r="A1017" t="str">
            <v>51741-10001605CCLF</v>
          </cell>
          <cell r="B1017" t="str">
            <v>51741-10001605CCLF Connector,PBVTR</v>
          </cell>
          <cell r="C1017">
            <v>3.0000000000000001E-3</v>
          </cell>
          <cell r="D1017">
            <v>1983.3333333333333</v>
          </cell>
          <cell r="E1017">
            <v>5950</v>
          </cell>
          <cell r="F1017">
            <v>3.1E-2</v>
          </cell>
        </row>
        <row r="1018">
          <cell r="A1018" t="str">
            <v>51741-10001607CCLF</v>
          </cell>
          <cell r="B1018" t="str">
            <v>51741-10001607CCLF Connector,PBVTR</v>
          </cell>
          <cell r="C1018">
            <v>3.0000000000000001E-3</v>
          </cell>
          <cell r="D1018">
            <v>1983.3333333333333</v>
          </cell>
          <cell r="E1018">
            <v>5950</v>
          </cell>
          <cell r="F1018">
            <v>3.1E-2</v>
          </cell>
        </row>
        <row r="1019">
          <cell r="A1019" t="str">
            <v>51741-10001608AALF</v>
          </cell>
          <cell r="B1019" t="str">
            <v>51741-10001608AALF Connector,PBVTR</v>
          </cell>
          <cell r="C1019">
            <v>3.0000000000000001E-3</v>
          </cell>
          <cell r="D1019">
            <v>1983.3333333333333</v>
          </cell>
          <cell r="E1019">
            <v>5950</v>
          </cell>
          <cell r="F1019">
            <v>0.03</v>
          </cell>
        </row>
        <row r="1020">
          <cell r="A1020" t="str">
            <v>51741-10001608CCLF</v>
          </cell>
          <cell r="B1020" t="str">
            <v>51741-10001608CCLF Connector,PBVTR</v>
          </cell>
          <cell r="C1020">
            <v>3.0000000000000001E-3</v>
          </cell>
          <cell r="D1020">
            <v>1983.3333333333333</v>
          </cell>
          <cell r="E1020">
            <v>5950</v>
          </cell>
          <cell r="F1020">
            <v>2.8000000000000001E-2</v>
          </cell>
        </row>
        <row r="1021">
          <cell r="A1021" t="str">
            <v>51741-10001616AALF</v>
          </cell>
          <cell r="B1021" t="str">
            <v>51741-10001616AALF Connector,PBVTR</v>
          </cell>
          <cell r="C1021">
            <v>3.0000000000000001E-3</v>
          </cell>
          <cell r="D1021">
            <v>1983.3333333333333</v>
          </cell>
          <cell r="E1021">
            <v>5950</v>
          </cell>
          <cell r="F1021">
            <v>5.2999999999999999E-2</v>
          </cell>
        </row>
        <row r="1022">
          <cell r="A1022" t="str">
            <v>51741-10002001AALF</v>
          </cell>
          <cell r="B1022" t="str">
            <v>51741-10002001AALF Connector,PBVTR</v>
          </cell>
          <cell r="C1022">
            <v>3.0000000000000001E-3</v>
          </cell>
          <cell r="D1022">
            <v>1983.3333333333333</v>
          </cell>
          <cell r="E1022">
            <v>5950</v>
          </cell>
          <cell r="F1022">
            <v>2.1999999999999999E-2</v>
          </cell>
        </row>
        <row r="1023">
          <cell r="A1023" t="str">
            <v>51741-10002003AALF</v>
          </cell>
          <cell r="B1023" t="str">
            <v>51741-10002003AALF Connector,PBVTR</v>
          </cell>
          <cell r="C1023">
            <v>3.0000000000000001E-3</v>
          </cell>
          <cell r="D1023">
            <v>1983.3333333333333</v>
          </cell>
          <cell r="E1023">
            <v>5950</v>
          </cell>
          <cell r="F1023">
            <v>2.5999999999999999E-2</v>
          </cell>
        </row>
        <row r="1024">
          <cell r="A1024" t="str">
            <v>51741-10002004AALF</v>
          </cell>
          <cell r="B1024" t="str">
            <v>51741-10002004AALF Connector,PBVTR</v>
          </cell>
          <cell r="C1024">
            <v>3.0000000000000001E-3</v>
          </cell>
          <cell r="D1024">
            <v>1983.3333333333333</v>
          </cell>
          <cell r="E1024">
            <v>5950</v>
          </cell>
          <cell r="F1024">
            <v>2.5999999999999999E-2</v>
          </cell>
        </row>
        <row r="1025">
          <cell r="A1025" t="str">
            <v>51741-10002004CCLF</v>
          </cell>
          <cell r="B1025" t="str">
            <v>51741-10002004CCLF Connector,PBVTR</v>
          </cell>
          <cell r="C1025">
            <v>3.0000000000000001E-3</v>
          </cell>
          <cell r="D1025">
            <v>1983.3333333333333</v>
          </cell>
          <cell r="E1025">
            <v>5950</v>
          </cell>
          <cell r="F1025">
            <v>2.4E-2</v>
          </cell>
        </row>
        <row r="1026">
          <cell r="A1026" t="str">
            <v>51741-10002005AALF</v>
          </cell>
          <cell r="B1026" t="str">
            <v>51741-10002005AALF Connector,PBVTR</v>
          </cell>
          <cell r="C1026">
            <v>3.0000000000000001E-3</v>
          </cell>
          <cell r="D1026">
            <v>1983.3333333333333</v>
          </cell>
          <cell r="E1026">
            <v>5950</v>
          </cell>
          <cell r="F1026">
            <v>3.3000000000000002E-2</v>
          </cell>
        </row>
        <row r="1027">
          <cell r="A1027" t="str">
            <v>51741-10002006AALF</v>
          </cell>
          <cell r="B1027" t="str">
            <v>51741-10002006AALF Connector,PBVTR</v>
          </cell>
          <cell r="C1027">
            <v>2.8999999999999998E-3</v>
          </cell>
          <cell r="D1027">
            <v>2051.7241379310349</v>
          </cell>
          <cell r="E1027">
            <v>6155.1724137931051</v>
          </cell>
          <cell r="F1027">
            <v>2.8000000000000001E-2</v>
          </cell>
        </row>
        <row r="1028">
          <cell r="A1028" t="str">
            <v>51741-10002006CALF</v>
          </cell>
          <cell r="B1028" t="str">
            <v>51741-10002006CALF Connector,PBVTR</v>
          </cell>
          <cell r="C1028">
            <v>3.0000000000000001E-3</v>
          </cell>
          <cell r="D1028">
            <v>1983.3333333333333</v>
          </cell>
          <cell r="E1028">
            <v>5950</v>
          </cell>
          <cell r="F1028">
            <v>2.5999999999999999E-2</v>
          </cell>
        </row>
        <row r="1029">
          <cell r="A1029" t="str">
            <v>51741-10002402CALF</v>
          </cell>
          <cell r="B1029" t="str">
            <v>51741-10002402CALF Connector,PBVTR</v>
          </cell>
          <cell r="C1029">
            <v>3.0000000000000001E-3</v>
          </cell>
          <cell r="D1029">
            <v>1983.3333333333333</v>
          </cell>
          <cell r="E1029">
            <v>5950</v>
          </cell>
          <cell r="F1029">
            <v>2.1999999999999999E-2</v>
          </cell>
        </row>
        <row r="1030">
          <cell r="A1030" t="str">
            <v>51741-10002403CCLF</v>
          </cell>
          <cell r="B1030" t="str">
            <v>51741-10002403CCLF Connector,PBVTR</v>
          </cell>
          <cell r="C1030">
            <v>3.3E-3</v>
          </cell>
          <cell r="D1030">
            <v>1803.030303030303</v>
          </cell>
          <cell r="E1030">
            <v>5409.090909090909</v>
          </cell>
          <cell r="F1030">
            <v>0.02</v>
          </cell>
        </row>
        <row r="1031">
          <cell r="A1031" t="str">
            <v>51741-10002404AALF</v>
          </cell>
          <cell r="B1031" t="str">
            <v>51741-10002404AALF Connector,PBVTR</v>
          </cell>
          <cell r="C1031">
            <v>3.3E-3</v>
          </cell>
          <cell r="D1031">
            <v>1803.030303030303</v>
          </cell>
          <cell r="E1031">
            <v>5409.090909090909</v>
          </cell>
          <cell r="F1031">
            <v>2.07E-2</v>
          </cell>
        </row>
        <row r="1032">
          <cell r="A1032" t="str">
            <v>51741-10002406AALF</v>
          </cell>
          <cell r="B1032" t="str">
            <v>51741-10002406AALF PwrBlade VR</v>
          </cell>
          <cell r="C1032">
            <v>3.0000000000000001E-3</v>
          </cell>
          <cell r="D1032">
            <v>1983.3333333333333</v>
          </cell>
          <cell r="E1032">
            <v>5950</v>
          </cell>
          <cell r="F1032">
            <v>1.1246256E-2</v>
          </cell>
        </row>
        <row r="1033">
          <cell r="A1033" t="str">
            <v>51741-10002406ACLF</v>
          </cell>
          <cell r="B1033" t="str">
            <v>51741-10002406ACLF Connector,PBVTR</v>
          </cell>
          <cell r="C1033">
            <v>3.0000000000000001E-3</v>
          </cell>
          <cell r="D1033">
            <v>1983.3333333333333</v>
          </cell>
          <cell r="E1033">
            <v>5950</v>
          </cell>
          <cell r="F1033">
            <v>1.23E-2</v>
          </cell>
        </row>
        <row r="1034">
          <cell r="A1034" t="str">
            <v>51741-10002406CALF</v>
          </cell>
          <cell r="B1034" t="str">
            <v>51741-10002406CALF PwrBlade VR</v>
          </cell>
          <cell r="C1034">
            <v>3.0000000000000001E-3</v>
          </cell>
          <cell r="D1034">
            <v>1983.3333333333333</v>
          </cell>
          <cell r="E1034">
            <v>5950</v>
          </cell>
          <cell r="F1034">
            <v>1.7191242999999998E-2</v>
          </cell>
        </row>
        <row r="1035">
          <cell r="A1035" t="str">
            <v>51741-10002407AALF</v>
          </cell>
          <cell r="B1035" t="str">
            <v>51741-10002407AALF Connector,PBVTR</v>
          </cell>
          <cell r="C1035">
            <v>3.3E-3</v>
          </cell>
          <cell r="D1035">
            <v>1803.030303030303</v>
          </cell>
          <cell r="E1035">
            <v>5409.090909090909</v>
          </cell>
          <cell r="F1035">
            <v>3.2000000000000001E-2</v>
          </cell>
        </row>
        <row r="1036">
          <cell r="A1036" t="str">
            <v>51741-10002407CCLF</v>
          </cell>
          <cell r="B1036" t="str">
            <v>51741-10002407CCLF Connector,PBVTR</v>
          </cell>
          <cell r="C1036">
            <v>3.0000000000000001E-3</v>
          </cell>
          <cell r="D1036">
            <v>1983.3333333333333</v>
          </cell>
          <cell r="E1036">
            <v>5950</v>
          </cell>
          <cell r="F1036">
            <v>0.03</v>
          </cell>
        </row>
        <row r="1037">
          <cell r="A1037" t="str">
            <v>51741-10002408AALF</v>
          </cell>
          <cell r="B1037" t="str">
            <v>51741-10002408AALF Connector,PBVTR</v>
          </cell>
          <cell r="C1037">
            <v>3.3E-3</v>
          </cell>
          <cell r="D1037">
            <v>1803.030303030303</v>
          </cell>
          <cell r="E1037">
            <v>5409.090909090909</v>
          </cell>
          <cell r="F1037">
            <v>2.9000000000000001E-2</v>
          </cell>
        </row>
        <row r="1038">
          <cell r="A1038" t="str">
            <v>51741-10002409AALF</v>
          </cell>
          <cell r="B1038" t="str">
            <v>51741-10002409AALF Connector,PBVTR</v>
          </cell>
          <cell r="C1038">
            <v>3.0000000000000001E-3</v>
          </cell>
          <cell r="D1038">
            <v>1983.3333333333333</v>
          </cell>
          <cell r="E1038">
            <v>5950</v>
          </cell>
          <cell r="F1038">
            <v>3.3000000000000002E-2</v>
          </cell>
        </row>
        <row r="1039">
          <cell r="A1039" t="str">
            <v>51741-10002410AALF</v>
          </cell>
          <cell r="B1039" t="str">
            <v>51741-10002410AALF Connector,PBVTR</v>
          </cell>
          <cell r="C1039">
            <v>3.0000000000000001E-3</v>
          </cell>
          <cell r="D1039">
            <v>1983.3333333333333</v>
          </cell>
          <cell r="E1039">
            <v>5950</v>
          </cell>
          <cell r="F1039">
            <v>3.1E-2</v>
          </cell>
        </row>
        <row r="1040">
          <cell r="A1040" t="str">
            <v>51741-10002410CALF</v>
          </cell>
          <cell r="B1040" t="str">
            <v>51741-10002410CALF Connector,PBVTR</v>
          </cell>
          <cell r="C1040">
            <v>3.3E-3</v>
          </cell>
          <cell r="D1040">
            <v>1803.030303030303</v>
          </cell>
          <cell r="E1040">
            <v>5409.090909090909</v>
          </cell>
          <cell r="F1040">
            <v>1.34E-2</v>
          </cell>
        </row>
        <row r="1041">
          <cell r="A1041" t="str">
            <v>51741-10002410CCLF</v>
          </cell>
          <cell r="B1041" t="str">
            <v>51741-10002410CCLF Connector,PBVTR</v>
          </cell>
          <cell r="C1041">
            <v>3.3E-3</v>
          </cell>
          <cell r="D1041">
            <v>1803.030303030303</v>
          </cell>
          <cell r="E1041">
            <v>5409.090909090909</v>
          </cell>
          <cell r="F1041">
            <v>2.9000000000000001E-2</v>
          </cell>
        </row>
        <row r="1042">
          <cell r="A1042" t="str">
            <v>51741-10002411CCLF</v>
          </cell>
          <cell r="B1042" t="str">
            <v>51741-10002411CCLF Connector,PBVTR</v>
          </cell>
          <cell r="C1042">
            <v>3.0000000000000001E-3</v>
          </cell>
          <cell r="D1042">
            <v>1983.3333333333333</v>
          </cell>
          <cell r="E1042">
            <v>5950</v>
          </cell>
          <cell r="F1042">
            <v>3.3000000000000002E-2</v>
          </cell>
        </row>
        <row r="1043">
          <cell r="A1043" t="str">
            <v>51741-10002412CCLF</v>
          </cell>
          <cell r="B1043" t="str">
            <v>51741-10002412CCLF Connector,PBVTR</v>
          </cell>
          <cell r="C1043">
            <v>3.0000000000000001E-3</v>
          </cell>
          <cell r="D1043">
            <v>1983.3333333333333</v>
          </cell>
          <cell r="E1043">
            <v>5950</v>
          </cell>
          <cell r="F1043">
            <v>3.5999999999999997E-2</v>
          </cell>
        </row>
        <row r="1044">
          <cell r="A1044" t="str">
            <v>51741-10002414AALF</v>
          </cell>
          <cell r="B1044" t="str">
            <v>51741-10002414AALF Connector,PBVTR</v>
          </cell>
          <cell r="C1044">
            <v>3.0000000000000001E-3</v>
          </cell>
          <cell r="D1044">
            <v>1983.3333333333333</v>
          </cell>
          <cell r="E1044">
            <v>5950</v>
          </cell>
          <cell r="F1044">
            <v>4.4999999999999998E-2</v>
          </cell>
        </row>
        <row r="1045">
          <cell r="A1045" t="str">
            <v>51741-10002414CCLF</v>
          </cell>
          <cell r="B1045" t="str">
            <v>51741-10002414CCLF Connector,PBVTR</v>
          </cell>
          <cell r="C1045">
            <v>3.0000000000000001E-3</v>
          </cell>
          <cell r="D1045">
            <v>1983.3333333333333</v>
          </cell>
          <cell r="E1045">
            <v>5950</v>
          </cell>
          <cell r="F1045">
            <v>3.3099999999999997E-2</v>
          </cell>
        </row>
        <row r="1046">
          <cell r="A1046" t="str">
            <v>51741-10002805AALF</v>
          </cell>
          <cell r="B1046" t="str">
            <v>51741-10002805AALF PwrBlade VR STB</v>
          </cell>
          <cell r="C1046">
            <v>1.11E-2</v>
          </cell>
          <cell r="D1046">
            <v>536.03603603603608</v>
          </cell>
          <cell r="E1046">
            <v>1608.1081081081084</v>
          </cell>
          <cell r="F1046">
            <v>1.9800000000000002E-2</v>
          </cell>
        </row>
        <row r="1047">
          <cell r="A1047" t="str">
            <v>51741-10002806CCLF</v>
          </cell>
          <cell r="B1047" t="str">
            <v>51741-10002806CCLF PwrBlade VR PF</v>
          </cell>
          <cell r="C1047">
            <v>4.0000000000000001E-3</v>
          </cell>
          <cell r="D1047">
            <v>1487.5</v>
          </cell>
          <cell r="E1047">
            <v>4462.5</v>
          </cell>
          <cell r="F1047">
            <v>2.1132430000000001E-2</v>
          </cell>
        </row>
        <row r="1048">
          <cell r="A1048" t="str">
            <v>51741-10002808CCLF</v>
          </cell>
          <cell r="B1048" t="str">
            <v>51741-10002808CCLF Connector,PBVTR</v>
          </cell>
          <cell r="C1048">
            <v>4.0000000000000001E-3</v>
          </cell>
          <cell r="D1048">
            <v>1487.5</v>
          </cell>
          <cell r="E1048">
            <v>4462.5</v>
          </cell>
          <cell r="F1048">
            <v>2.7E-2</v>
          </cell>
        </row>
        <row r="1049">
          <cell r="A1049" t="str">
            <v>51741-10002812AALF</v>
          </cell>
          <cell r="B1049" t="str">
            <v>51741-10002812AALF Connector,PBVTR</v>
          </cell>
          <cell r="C1049">
            <v>4.0000000000000001E-3</v>
          </cell>
          <cell r="D1049">
            <v>1487.5</v>
          </cell>
          <cell r="E1049">
            <v>4462.5</v>
          </cell>
          <cell r="F1049">
            <v>3.7999999999999999E-2</v>
          </cell>
        </row>
        <row r="1050">
          <cell r="A1050" t="str">
            <v>51741-10003202AALF</v>
          </cell>
          <cell r="B1050" t="str">
            <v>51741-10003202AALF Connector,PBVTR</v>
          </cell>
          <cell r="C1050">
            <v>4.0000000000000001E-3</v>
          </cell>
          <cell r="D1050">
            <v>1487.5</v>
          </cell>
          <cell r="E1050">
            <v>4462.5</v>
          </cell>
          <cell r="F1050">
            <v>2.1000000000000001E-2</v>
          </cell>
        </row>
        <row r="1051">
          <cell r="A1051" t="str">
            <v>51741-10003202CCLF</v>
          </cell>
          <cell r="B1051" t="str">
            <v>51741-10003202CCLF Connector,PBVTR</v>
          </cell>
          <cell r="C1051">
            <v>1E-3</v>
          </cell>
          <cell r="D1051">
            <v>5950</v>
          </cell>
          <cell r="E1051">
            <v>17850</v>
          </cell>
          <cell r="F1051">
            <v>2.1999999999999999E-2</v>
          </cell>
        </row>
        <row r="1052">
          <cell r="A1052" t="str">
            <v>51741-10003204CCLF</v>
          </cell>
          <cell r="B1052" t="str">
            <v>51741-10003204CCLF Connector,PBVTR</v>
          </cell>
          <cell r="C1052">
            <v>3.8999999999999998E-3</v>
          </cell>
          <cell r="D1052">
            <v>1525.6410256410259</v>
          </cell>
          <cell r="E1052">
            <v>4576.923076923078</v>
          </cell>
          <cell r="F1052">
            <v>2.1999999999999999E-2</v>
          </cell>
        </row>
        <row r="1053">
          <cell r="A1053" t="str">
            <v>51741-10003205AALF</v>
          </cell>
          <cell r="B1053" t="str">
            <v>51741-10003205AALF Connector,PBVTR</v>
          </cell>
          <cell r="C1053">
            <v>1.1900000000000001E-2</v>
          </cell>
          <cell r="D1053">
            <v>500</v>
          </cell>
          <cell r="E1053">
            <v>1500</v>
          </cell>
          <cell r="F1053">
            <v>1.9800000000000002E-2</v>
          </cell>
        </row>
        <row r="1054">
          <cell r="A1054" t="str">
            <v>51741-10003206CCLF</v>
          </cell>
          <cell r="B1054" t="str">
            <v>51741-10003206CCLF Connector,PBVTR</v>
          </cell>
          <cell r="C1054">
            <v>3.8999999999999998E-3</v>
          </cell>
          <cell r="D1054">
            <v>1525.6410256410259</v>
          </cell>
          <cell r="E1054">
            <v>4576.923076923078</v>
          </cell>
          <cell r="F1054">
            <v>2.4E-2</v>
          </cell>
        </row>
        <row r="1055">
          <cell r="A1055" t="str">
            <v>51741-10003208CCLF</v>
          </cell>
          <cell r="B1055" t="str">
            <v>51741-10003208CCLF Connector,PBVTR</v>
          </cell>
          <cell r="C1055">
            <v>4.0000000000000001E-3</v>
          </cell>
          <cell r="D1055">
            <v>1487.5</v>
          </cell>
          <cell r="E1055">
            <v>4462.5</v>
          </cell>
          <cell r="F1055">
            <v>2.7E-2</v>
          </cell>
        </row>
        <row r="1056">
          <cell r="A1056" t="str">
            <v>51741-10003211AALF</v>
          </cell>
          <cell r="B1056" t="str">
            <v>51741-10003211AALF Connector,PBVTR</v>
          </cell>
          <cell r="C1056">
            <v>3.8999999999999998E-3</v>
          </cell>
          <cell r="D1056">
            <v>1525.6410256410259</v>
          </cell>
          <cell r="E1056">
            <v>4576.923076923078</v>
          </cell>
          <cell r="F1056">
            <v>1.8599999999999998E-2</v>
          </cell>
        </row>
        <row r="1057">
          <cell r="A1057" t="str">
            <v>51741-10003212AALF</v>
          </cell>
          <cell r="B1057" t="str">
            <v>51741-10003212AALF Connector,PBVTR</v>
          </cell>
          <cell r="C1057">
            <v>4.0000000000000001E-3</v>
          </cell>
          <cell r="D1057">
            <v>1487.5</v>
          </cell>
          <cell r="E1057">
            <v>4462.5</v>
          </cell>
          <cell r="F1057">
            <v>3.7999999999999999E-2</v>
          </cell>
        </row>
        <row r="1058">
          <cell r="A1058" t="str">
            <v>51741-10003214AALF</v>
          </cell>
          <cell r="B1058" t="str">
            <v>51741-10003214AALF Connector,PBVTR</v>
          </cell>
          <cell r="C1058">
            <v>3.8999999999999998E-3</v>
          </cell>
          <cell r="D1058">
            <v>1525.6410256410259</v>
          </cell>
          <cell r="E1058">
            <v>4576.923076923078</v>
          </cell>
          <cell r="F1058">
            <v>4.4999999999999998E-2</v>
          </cell>
        </row>
        <row r="1059">
          <cell r="A1059" t="str">
            <v>51741-10003218AALF</v>
          </cell>
          <cell r="B1059" t="str">
            <v>51741-10003218AALF Connector,PBVTR</v>
          </cell>
          <cell r="C1059">
            <v>4.0000000000000001E-3</v>
          </cell>
          <cell r="D1059">
            <v>1487.5</v>
          </cell>
          <cell r="E1059">
            <v>4462.5</v>
          </cell>
          <cell r="F1059">
            <v>5.8999999999999997E-2</v>
          </cell>
        </row>
        <row r="1060">
          <cell r="A1060" t="str">
            <v>51741-10003220AALF</v>
          </cell>
          <cell r="B1060" t="str">
            <v>51741-10003220AALF Connector,PBVTR</v>
          </cell>
          <cell r="C1060">
            <v>3.8999999999999998E-3</v>
          </cell>
          <cell r="D1060">
            <v>1525.6410256410259</v>
          </cell>
          <cell r="E1060">
            <v>4576.923076923078</v>
          </cell>
          <cell r="F1060">
            <v>5.0999999999999997E-2</v>
          </cell>
        </row>
        <row r="1061">
          <cell r="A1061" t="str">
            <v>51741-10003605CALF</v>
          </cell>
          <cell r="B1061" t="str">
            <v>51741-10003605CALF PwrBlade VR PF</v>
          </cell>
          <cell r="C1061">
            <v>4.0000000000000001E-3</v>
          </cell>
          <cell r="D1061">
            <v>1487.5</v>
          </cell>
          <cell r="E1061">
            <v>4462.5</v>
          </cell>
          <cell r="F1061">
            <v>3.1E-2</v>
          </cell>
        </row>
        <row r="1062">
          <cell r="A1062" t="str">
            <v>51741-10004002AALF</v>
          </cell>
          <cell r="B1062" t="str">
            <v>51741-10004002AALF Connector,PBVTR</v>
          </cell>
          <cell r="C1062">
            <v>5.0000000000000001E-3</v>
          </cell>
          <cell r="D1062">
            <v>1190</v>
          </cell>
          <cell r="E1062">
            <v>3570</v>
          </cell>
          <cell r="F1062">
            <v>2.1000000000000001E-2</v>
          </cell>
        </row>
        <row r="1063">
          <cell r="A1063" t="str">
            <v>51741-10004007ACLF</v>
          </cell>
          <cell r="B1063" t="str">
            <v>51741-10004007ACLF Connector,PBVTR</v>
          </cell>
          <cell r="C1063">
            <v>5.0000000000000001E-3</v>
          </cell>
          <cell r="D1063">
            <v>1190</v>
          </cell>
          <cell r="E1063">
            <v>3570</v>
          </cell>
          <cell r="F1063">
            <v>2.9000000000000001E-2</v>
          </cell>
        </row>
        <row r="1064">
          <cell r="A1064" t="str">
            <v>51741-10004802AALF</v>
          </cell>
          <cell r="B1064" t="str">
            <v>51741-10004802AALF Connector,PBVTR</v>
          </cell>
          <cell r="C1064">
            <v>5.0000000000000001E-3</v>
          </cell>
          <cell r="D1064">
            <v>1190</v>
          </cell>
          <cell r="E1064">
            <v>3570</v>
          </cell>
          <cell r="F1064">
            <v>2.4E-2</v>
          </cell>
        </row>
        <row r="1065">
          <cell r="A1065" t="str">
            <v>51741-10004803AALF</v>
          </cell>
          <cell r="B1065" t="str">
            <v>51741-10004803AALF Connector,PBVTR</v>
          </cell>
          <cell r="C1065">
            <v>5.0000000000000001E-3</v>
          </cell>
          <cell r="D1065">
            <v>1190</v>
          </cell>
          <cell r="E1065">
            <v>3570</v>
          </cell>
          <cell r="F1065">
            <v>2.9000000000000001E-2</v>
          </cell>
        </row>
        <row r="1066">
          <cell r="A1066" t="str">
            <v>51741-10004807CCLF</v>
          </cell>
          <cell r="B1066" t="str">
            <v>51741-10004807CCLF Connector,PBVTR</v>
          </cell>
          <cell r="C1066">
            <v>5.0000000000000001E-3</v>
          </cell>
          <cell r="D1066">
            <v>1190</v>
          </cell>
          <cell r="E1066">
            <v>3570</v>
          </cell>
          <cell r="F1066">
            <v>2.8000000000000001E-2</v>
          </cell>
        </row>
        <row r="1067">
          <cell r="A1067" t="str">
            <v>51741-10004808CCLF</v>
          </cell>
          <cell r="B1067" t="str">
            <v>51741-10004808CCLF Connector,PBVTR</v>
          </cell>
          <cell r="C1067">
            <v>5.0000000000000001E-3</v>
          </cell>
          <cell r="D1067">
            <v>1190</v>
          </cell>
          <cell r="E1067">
            <v>3570</v>
          </cell>
          <cell r="F1067">
            <v>2.7E-2</v>
          </cell>
        </row>
        <row r="1068">
          <cell r="A1068" t="str">
            <v>51741-10006403AALF</v>
          </cell>
          <cell r="B1068" t="str">
            <v>51741-10006403AALF Connector,PBVTR</v>
          </cell>
          <cell r="C1068">
            <v>7.0000000000000001E-3</v>
          </cell>
          <cell r="D1068">
            <v>850</v>
          </cell>
          <cell r="E1068">
            <v>2550</v>
          </cell>
          <cell r="F1068">
            <v>3.5999999999999997E-2</v>
          </cell>
        </row>
        <row r="1069">
          <cell r="A1069" t="str">
            <v>51741-10012002CALF</v>
          </cell>
          <cell r="B1069" t="str">
            <v>51741-10012002CALF Connector,PBVTR</v>
          </cell>
          <cell r="C1069">
            <v>1.0999999999999999E-2</v>
          </cell>
          <cell r="D1069">
            <v>540.90909090909099</v>
          </cell>
          <cell r="E1069">
            <v>1622.727272727273</v>
          </cell>
          <cell r="F1069">
            <v>4.7800000000000002E-2</v>
          </cell>
        </row>
        <row r="1070">
          <cell r="A1070" t="str">
            <v>51741-B0002406AALF</v>
          </cell>
          <cell r="B1070" t="str">
            <v>51741-B0002406AALF Connector,PBVTR</v>
          </cell>
          <cell r="C1070">
            <v>3.0000000000000001E-3</v>
          </cell>
          <cell r="D1070">
            <v>1983.3333333333333</v>
          </cell>
          <cell r="E1070">
            <v>5950</v>
          </cell>
          <cell r="F1070">
            <v>1.12E-2</v>
          </cell>
        </row>
        <row r="1071">
          <cell r="A1071" t="str">
            <v>51742-10102000AALF</v>
          </cell>
          <cell r="B1071" t="str">
            <v>51742-10102000AALF Connector,PBVTR</v>
          </cell>
          <cell r="C1071">
            <v>3.0000000000000001E-3</v>
          </cell>
          <cell r="D1071">
            <v>1983.3333333333333</v>
          </cell>
          <cell r="E1071">
            <v>5950</v>
          </cell>
          <cell r="F1071">
            <v>2.1999999999999999E-2</v>
          </cell>
        </row>
        <row r="1072">
          <cell r="A1072" t="str">
            <v>51742-10102000CCLF</v>
          </cell>
          <cell r="B1072" t="str">
            <v>51742-10102000CCLF PwrBlade VR</v>
          </cell>
          <cell r="C1072">
            <v>3.0000000000000001E-3</v>
          </cell>
          <cell r="D1072">
            <v>1983.3333333333333</v>
          </cell>
          <cell r="E1072">
            <v>5950</v>
          </cell>
          <cell r="F1072">
            <v>0.02</v>
          </cell>
        </row>
        <row r="1073">
          <cell r="A1073" t="str">
            <v>51742-10103600AALF</v>
          </cell>
          <cell r="B1073" t="str">
            <v>51742-10103600AALF Connector,PBVTR</v>
          </cell>
          <cell r="C1073">
            <v>4.0000000000000001E-3</v>
          </cell>
          <cell r="D1073">
            <v>1487.5</v>
          </cell>
          <cell r="E1073">
            <v>4462.5</v>
          </cell>
          <cell r="F1073">
            <v>2.1000000000000001E-2</v>
          </cell>
        </row>
        <row r="1074">
          <cell r="A1074" t="str">
            <v>51742-10103600CCLF</v>
          </cell>
          <cell r="B1074" t="str">
            <v>51742-10103600CCLF Connector,PBVTR</v>
          </cell>
          <cell r="C1074">
            <v>4.3E-3</v>
          </cell>
          <cell r="D1074">
            <v>1383.7209302325582</v>
          </cell>
          <cell r="E1074">
            <v>4151.1627906976746</v>
          </cell>
          <cell r="F1074">
            <v>1.3899999999999999E-2</v>
          </cell>
        </row>
        <row r="1075">
          <cell r="A1075" t="str">
            <v>51742-10200400AALF</v>
          </cell>
          <cell r="B1075" t="str">
            <v>51742-10200400AALF Connector,PBVTR</v>
          </cell>
          <cell r="C1075">
            <v>2E-3</v>
          </cell>
          <cell r="D1075">
            <v>2975</v>
          </cell>
          <cell r="E1075">
            <v>8925</v>
          </cell>
          <cell r="F1075">
            <v>2.4E-2</v>
          </cell>
        </row>
        <row r="1076">
          <cell r="A1076" t="str">
            <v>51742-10200800AALF</v>
          </cell>
          <cell r="B1076" t="str">
            <v>51742-10200800AALF Connector,PBVTR</v>
          </cell>
          <cell r="C1076">
            <v>1.9E-3</v>
          </cell>
          <cell r="D1076">
            <v>3131.5789473684213</v>
          </cell>
          <cell r="E1076">
            <v>9394.7368421052633</v>
          </cell>
          <cell r="F1076">
            <v>2.3E-2</v>
          </cell>
        </row>
        <row r="1077">
          <cell r="A1077" t="str">
            <v>51742-10200800CCLF</v>
          </cell>
          <cell r="B1077" t="str">
            <v>51742-10200800CCLF Connector,PBVTR</v>
          </cell>
          <cell r="C1077">
            <v>1.9E-3</v>
          </cell>
          <cell r="D1077">
            <v>3131.5789473684213</v>
          </cell>
          <cell r="E1077">
            <v>9394.7368421052633</v>
          </cell>
          <cell r="F1077">
            <v>2.1000000000000001E-2</v>
          </cell>
        </row>
        <row r="1078">
          <cell r="A1078" t="str">
            <v>51742-10201200AALF</v>
          </cell>
          <cell r="B1078" t="str">
            <v>51742-10201200AALF Connector,PBVTR</v>
          </cell>
          <cell r="C1078">
            <v>2.3E-3</v>
          </cell>
          <cell r="D1078">
            <v>2586.9565217391305</v>
          </cell>
          <cell r="E1078">
            <v>7760.8695652173919</v>
          </cell>
          <cell r="F1078">
            <v>1.21E-2</v>
          </cell>
        </row>
        <row r="1079">
          <cell r="A1079" t="str">
            <v>51742-10201200ABLF</v>
          </cell>
          <cell r="B1079" t="str">
            <v>51742-10201200ABLF Connector,PBVTR</v>
          </cell>
          <cell r="C1079">
            <v>2E-3</v>
          </cell>
          <cell r="D1079">
            <v>2975</v>
          </cell>
          <cell r="E1079">
            <v>8925</v>
          </cell>
          <cell r="F1079">
            <v>2.1000000000000001E-2</v>
          </cell>
        </row>
        <row r="1080">
          <cell r="A1080" t="str">
            <v>51742-10201600AALF</v>
          </cell>
          <cell r="B1080" t="str">
            <v>51742-10201600AALF Connector,PBVTR</v>
          </cell>
          <cell r="C1080">
            <v>2.5999999999999999E-3</v>
          </cell>
          <cell r="D1080">
            <v>2288.4615384615386</v>
          </cell>
          <cell r="E1080">
            <v>6865.3846153846152</v>
          </cell>
          <cell r="F1080">
            <v>2.12E-2</v>
          </cell>
        </row>
        <row r="1081">
          <cell r="A1081" t="str">
            <v>51742-10201600CALF</v>
          </cell>
          <cell r="B1081" t="str">
            <v>51742-10201600CALF Connector,PBVTR</v>
          </cell>
          <cell r="C1081">
            <v>3.0000000000000001E-3</v>
          </cell>
          <cell r="D1081">
            <v>1983.3333333333333</v>
          </cell>
          <cell r="E1081">
            <v>5950</v>
          </cell>
          <cell r="F1081">
            <v>1.2500000000000001E-2</v>
          </cell>
        </row>
        <row r="1082">
          <cell r="A1082" t="str">
            <v>51742-10202400AALF</v>
          </cell>
          <cell r="B1082" t="str">
            <v>51742-10202400AALF PwrBlade VR</v>
          </cell>
          <cell r="C1082">
            <v>3.0000000000000001E-3</v>
          </cell>
          <cell r="D1082">
            <v>1983.3333333333333</v>
          </cell>
          <cell r="E1082">
            <v>5950</v>
          </cell>
          <cell r="F1082">
            <v>1.0991000000000001E-2</v>
          </cell>
        </row>
        <row r="1083">
          <cell r="A1083" t="str">
            <v>51742-10202400CALF</v>
          </cell>
          <cell r="B1083" t="str">
            <v>51742-10202400CALF Connector,PBVTR</v>
          </cell>
          <cell r="C1083">
            <v>3.3E-3</v>
          </cell>
          <cell r="D1083">
            <v>1803.030303030303</v>
          </cell>
          <cell r="E1083">
            <v>5409.090909090909</v>
          </cell>
          <cell r="F1083">
            <v>0.02</v>
          </cell>
        </row>
        <row r="1084">
          <cell r="A1084" t="str">
            <v>51742-10202400CCLF</v>
          </cell>
          <cell r="B1084" t="str">
            <v>51742-10202400CCLF PwrBlade VR</v>
          </cell>
          <cell r="C1084">
            <v>3.0000000000000001E-3</v>
          </cell>
          <cell r="D1084">
            <v>1983.3333333333333</v>
          </cell>
          <cell r="E1084">
            <v>5950</v>
          </cell>
          <cell r="F1084">
            <v>8.6991059999999999E-3</v>
          </cell>
        </row>
        <row r="1085">
          <cell r="A1085" t="str">
            <v>51742-10203600AALF</v>
          </cell>
          <cell r="B1085" t="str">
            <v>51742-10203600AALF Connector,PBVTR</v>
          </cell>
          <cell r="C1085">
            <v>4.0000000000000001E-3</v>
          </cell>
          <cell r="D1085">
            <v>1487.5</v>
          </cell>
          <cell r="E1085">
            <v>4462.5</v>
          </cell>
          <cell r="F1085">
            <v>2.4E-2</v>
          </cell>
        </row>
        <row r="1086">
          <cell r="A1086" t="str">
            <v>51742-10204000AALF</v>
          </cell>
          <cell r="B1086" t="str">
            <v>51742-10204000AALF Connector,PBVTR</v>
          </cell>
          <cell r="C1086">
            <v>2.8999999999999998E-3</v>
          </cell>
          <cell r="D1086">
            <v>2051.7241379310349</v>
          </cell>
          <cell r="E1086">
            <v>6155.1724137931051</v>
          </cell>
          <cell r="F1086">
            <v>2.5999999999999999E-2</v>
          </cell>
        </row>
        <row r="1087">
          <cell r="A1087" t="str">
            <v>51742-10204800CCLF</v>
          </cell>
          <cell r="B1087" t="str">
            <v>51742-10204800CCLF Connector,PBVTR</v>
          </cell>
          <cell r="C1087">
            <v>5.3E-3</v>
          </cell>
          <cell r="D1087">
            <v>1122.6415094339623</v>
          </cell>
          <cell r="E1087">
            <v>3367.9245283018868</v>
          </cell>
          <cell r="F1087">
            <v>2.0199999999999999E-2</v>
          </cell>
        </row>
        <row r="1088">
          <cell r="A1088" t="str">
            <v>51742-10207600AALF</v>
          </cell>
          <cell r="B1088" t="str">
            <v>51742-10207600AALF Connector,PBVTR</v>
          </cell>
          <cell r="C1088">
            <v>8.0000000000000002E-3</v>
          </cell>
          <cell r="D1088">
            <v>743.75</v>
          </cell>
          <cell r="E1088">
            <v>2231.25</v>
          </cell>
          <cell r="F1088">
            <v>1.9300000000000001E-2</v>
          </cell>
        </row>
        <row r="1089">
          <cell r="A1089" t="str">
            <v>51742-10214400CCLF</v>
          </cell>
          <cell r="B1089" t="str">
            <v>51742-10214400CCLF Connector,PBVTR</v>
          </cell>
          <cell r="C1089">
            <v>1.2999999999999999E-2</v>
          </cell>
          <cell r="D1089">
            <v>457.69230769230774</v>
          </cell>
          <cell r="E1089">
            <v>1373.0769230769233</v>
          </cell>
          <cell r="F1089">
            <v>6.7000000000000004E-2</v>
          </cell>
        </row>
        <row r="1090">
          <cell r="A1090" t="str">
            <v>51742-10300400AALF</v>
          </cell>
          <cell r="B1090" t="str">
            <v>51742-10300400AALF Connector,PBVTR</v>
          </cell>
          <cell r="C1090">
            <v>2E-3</v>
          </cell>
          <cell r="D1090">
            <v>2975</v>
          </cell>
          <cell r="E1090">
            <v>8925</v>
          </cell>
          <cell r="F1090">
            <v>2.4E-2</v>
          </cell>
        </row>
        <row r="1091">
          <cell r="A1091" t="str">
            <v>51742-10301600AALF</v>
          </cell>
          <cell r="B1091" t="str">
            <v>51742-10301600AALF Connector,PBVTR</v>
          </cell>
          <cell r="C1091">
            <v>3.0000000000000001E-3</v>
          </cell>
          <cell r="D1091">
            <v>1983.3333333333333</v>
          </cell>
          <cell r="E1091">
            <v>5950</v>
          </cell>
          <cell r="F1091">
            <v>2.3E-2</v>
          </cell>
        </row>
        <row r="1092">
          <cell r="A1092" t="str">
            <v>51742-10302000AALF</v>
          </cell>
          <cell r="B1092" t="str">
            <v>51742-10302000AALF Connector,PBVTR</v>
          </cell>
          <cell r="C1092">
            <v>4.0000000000000001E-3</v>
          </cell>
          <cell r="D1092">
            <v>1487.5</v>
          </cell>
          <cell r="E1092">
            <v>4462.5</v>
          </cell>
          <cell r="F1092">
            <v>2.8000000000000001E-2</v>
          </cell>
        </row>
        <row r="1093">
          <cell r="A1093" t="str">
            <v>51742-10302400CCLF</v>
          </cell>
          <cell r="B1093" t="str">
            <v>51742-10302400CCLF Connector,PBVTR</v>
          </cell>
          <cell r="C1093">
            <v>3.0000000000000001E-3</v>
          </cell>
          <cell r="D1093">
            <v>1983.3333333333333</v>
          </cell>
          <cell r="E1093">
            <v>5950</v>
          </cell>
          <cell r="F1093">
            <v>0.02</v>
          </cell>
        </row>
        <row r="1094">
          <cell r="A1094" t="str">
            <v>51742-10303200CCLF</v>
          </cell>
          <cell r="B1094" t="str">
            <v>51742-10303200CCLF Connector,PBVTR</v>
          </cell>
          <cell r="C1094">
            <v>4.0000000000000001E-3</v>
          </cell>
          <cell r="D1094">
            <v>1487.5</v>
          </cell>
          <cell r="E1094">
            <v>4462.5</v>
          </cell>
          <cell r="F1094">
            <v>1.9E-2</v>
          </cell>
        </row>
        <row r="1095">
          <cell r="A1095" t="str">
            <v>51742-10400800AALF</v>
          </cell>
          <cell r="B1095" t="str">
            <v>51742-10400800AALF Connector,PBVTR</v>
          </cell>
          <cell r="C1095">
            <v>1.9E-3</v>
          </cell>
          <cell r="D1095">
            <v>3131.5789473684213</v>
          </cell>
          <cell r="E1095">
            <v>9394.7368421052633</v>
          </cell>
          <cell r="F1095">
            <v>2.0199999999999999E-2</v>
          </cell>
        </row>
        <row r="1096">
          <cell r="A1096" t="str">
            <v>51742-10400800CCLF</v>
          </cell>
          <cell r="B1096" t="str">
            <v>51742-10400800CCLF Connector,PBVTR</v>
          </cell>
          <cell r="C1096">
            <v>3.0000000000000001E-3</v>
          </cell>
          <cell r="D1096">
            <v>1983.3333333333333</v>
          </cell>
          <cell r="E1096">
            <v>5950</v>
          </cell>
          <cell r="F1096">
            <v>2.4E-2</v>
          </cell>
        </row>
        <row r="1097">
          <cell r="A1097" t="str">
            <v>51742-10401200AALF</v>
          </cell>
          <cell r="B1097" t="str">
            <v>51742-10401200AALF Connector,PBVTR</v>
          </cell>
          <cell r="C1097">
            <v>2E-3</v>
          </cell>
          <cell r="D1097">
            <v>2975</v>
          </cell>
          <cell r="E1097">
            <v>8925</v>
          </cell>
          <cell r="F1097">
            <v>2.5999999999999999E-2</v>
          </cell>
        </row>
        <row r="1098">
          <cell r="A1098" t="str">
            <v>51742-10401200CALF</v>
          </cell>
          <cell r="B1098" t="str">
            <v>51742-10401200CALF Connector,PBVTR</v>
          </cell>
          <cell r="C1098">
            <v>2.3E-3</v>
          </cell>
          <cell r="D1098">
            <v>2586.9565217391305</v>
          </cell>
          <cell r="E1098">
            <v>7760.8695652173919</v>
          </cell>
          <cell r="F1098">
            <v>2.3900000000000001E-2</v>
          </cell>
        </row>
        <row r="1099">
          <cell r="A1099" t="str">
            <v>51742-10401600AALF</v>
          </cell>
          <cell r="B1099" t="str">
            <v>51742-10401600AALF Connector,PBVTR</v>
          </cell>
          <cell r="C1099">
            <v>3.0000000000000001E-3</v>
          </cell>
          <cell r="D1099">
            <v>1983.3333333333333</v>
          </cell>
          <cell r="E1099">
            <v>5950</v>
          </cell>
          <cell r="F1099">
            <v>2.5999999999999999E-2</v>
          </cell>
        </row>
        <row r="1100">
          <cell r="A1100" t="str">
            <v>51742-10401600CALF</v>
          </cell>
          <cell r="B1100" t="str">
            <v>51742-10401600CALF Connector,PBVTR</v>
          </cell>
          <cell r="C1100">
            <v>3.0000000000000001E-3</v>
          </cell>
          <cell r="D1100">
            <v>1983.3333333333333</v>
          </cell>
          <cell r="E1100">
            <v>5950</v>
          </cell>
          <cell r="F1100">
            <v>2.5999999999999999E-2</v>
          </cell>
        </row>
        <row r="1101">
          <cell r="A1101" t="str">
            <v>51742-10402000AALF</v>
          </cell>
          <cell r="B1101" t="str">
            <v>51742-10402000AALF PwrBlade VR STB</v>
          </cell>
          <cell r="C1101">
            <v>2.916667E-3</v>
          </cell>
          <cell r="D1101">
            <v>2039.9997668571696</v>
          </cell>
          <cell r="E1101">
            <v>6119.9993005715087</v>
          </cell>
          <cell r="F1101">
            <v>2.2283000000000001E-2</v>
          </cell>
        </row>
        <row r="1102">
          <cell r="A1102" t="str">
            <v>51742-10402000CCLF</v>
          </cell>
          <cell r="B1102" t="str">
            <v>51742-10402000CCLF Connector,PBVTR</v>
          </cell>
          <cell r="C1102">
            <v>2.8999999999999998E-3</v>
          </cell>
          <cell r="D1102">
            <v>2051.7241379310349</v>
          </cell>
          <cell r="E1102">
            <v>6155.1724137931051</v>
          </cell>
          <cell r="F1102">
            <v>9.9000000000000008E-3</v>
          </cell>
        </row>
        <row r="1103">
          <cell r="A1103" t="str">
            <v>51742-10402400AALF</v>
          </cell>
          <cell r="B1103" t="str">
            <v>51742-10402400AALF PwrBlade VR</v>
          </cell>
          <cell r="C1103">
            <v>3.2499999999999999E-3</v>
          </cell>
          <cell r="D1103">
            <v>1830.7692307692309</v>
          </cell>
          <cell r="E1103">
            <v>5492.3076923076933</v>
          </cell>
          <cell r="F1103">
            <v>1.2090999999999999E-2</v>
          </cell>
        </row>
        <row r="1104">
          <cell r="A1104" t="str">
            <v>51742-10402400CALF</v>
          </cell>
          <cell r="B1104" t="str">
            <v>51742-10402400CALF Connector,PBVTR</v>
          </cell>
          <cell r="C1104">
            <v>3.0000000000000001E-3</v>
          </cell>
          <cell r="D1104">
            <v>1983.3333333333333</v>
          </cell>
          <cell r="E1104">
            <v>5950</v>
          </cell>
          <cell r="F1104">
            <v>2.5000000000000001E-2</v>
          </cell>
        </row>
        <row r="1105">
          <cell r="A1105" t="str">
            <v>51742-10403200AALF</v>
          </cell>
          <cell r="B1105" t="str">
            <v>51742-10403200AALF PwrBlade VR STB</v>
          </cell>
          <cell r="C1105">
            <v>3.9166670000000004E-3</v>
          </cell>
          <cell r="D1105">
            <v>1519.1488068809524</v>
          </cell>
          <cell r="E1105">
            <v>4557.4464206428574</v>
          </cell>
          <cell r="F1105">
            <v>1.7018182E-2</v>
          </cell>
        </row>
        <row r="1106">
          <cell r="A1106" t="str">
            <v>51742-10403200CALF</v>
          </cell>
          <cell r="B1106" t="str">
            <v>51742-10403200CALF Connector,PBVTR</v>
          </cell>
          <cell r="C1106">
            <v>4.0000000000000001E-3</v>
          </cell>
          <cell r="D1106">
            <v>1487.5</v>
          </cell>
          <cell r="E1106">
            <v>4462.5</v>
          </cell>
          <cell r="F1106">
            <v>2.1999999999999999E-2</v>
          </cell>
        </row>
        <row r="1107">
          <cell r="A1107" t="str">
            <v>51742-10403200CCLF</v>
          </cell>
          <cell r="B1107" t="str">
            <v>51742-10403200CCLF Connector,PBVTR</v>
          </cell>
          <cell r="C1107">
            <v>4.0000000000000001E-3</v>
          </cell>
          <cell r="D1107">
            <v>1487.5</v>
          </cell>
          <cell r="E1107">
            <v>4462.5</v>
          </cell>
          <cell r="F1107">
            <v>2.1000000000000001E-2</v>
          </cell>
        </row>
        <row r="1108">
          <cell r="A1108" t="str">
            <v>51742-10404800AALF</v>
          </cell>
          <cell r="B1108" t="str">
            <v>51742-10404800AALF Connector,PBVTR</v>
          </cell>
          <cell r="C1108">
            <v>5.0000000000000001E-3</v>
          </cell>
          <cell r="D1108">
            <v>1190</v>
          </cell>
          <cell r="E1108">
            <v>3570</v>
          </cell>
          <cell r="F1108">
            <v>2.1999999999999999E-2</v>
          </cell>
        </row>
        <row r="1109">
          <cell r="A1109" t="str">
            <v>51742-10406000AALF</v>
          </cell>
          <cell r="B1109" t="str">
            <v>51742-10406000AALF Connector,PBVTR</v>
          </cell>
          <cell r="C1109">
            <v>6.3E-3</v>
          </cell>
          <cell r="D1109">
            <v>944.44444444444446</v>
          </cell>
          <cell r="E1109">
            <v>2833.3333333333335</v>
          </cell>
          <cell r="F1109">
            <v>2.9000000000000001E-2</v>
          </cell>
        </row>
        <row r="1110">
          <cell r="A1110" t="str">
            <v>51742-10501600AALF</v>
          </cell>
          <cell r="B1110" t="str">
            <v>51742-10501600AALF Connector,PBVTR</v>
          </cell>
          <cell r="C1110">
            <v>2.5999999999999999E-3</v>
          </cell>
          <cell r="D1110">
            <v>2288.4615384615386</v>
          </cell>
          <cell r="E1110">
            <v>6865.3846153846152</v>
          </cell>
          <cell r="F1110">
            <v>2.4E-2</v>
          </cell>
        </row>
        <row r="1111">
          <cell r="A1111" t="str">
            <v>51742-10502400AALF</v>
          </cell>
          <cell r="B1111" t="str">
            <v>51742-10502400AALF Connector,PBVTR</v>
          </cell>
          <cell r="C1111">
            <v>3.3E-3</v>
          </cell>
          <cell r="D1111">
            <v>1803.030303030303</v>
          </cell>
          <cell r="E1111">
            <v>5409.090909090909</v>
          </cell>
          <cell r="F1111">
            <v>2.4E-2</v>
          </cell>
        </row>
        <row r="1112">
          <cell r="A1112" t="str">
            <v>51742-10600800AALF</v>
          </cell>
          <cell r="B1112" t="str">
            <v>51742-10600800AALF Connector,PBVTR</v>
          </cell>
          <cell r="C1112">
            <v>1.9E-3</v>
          </cell>
          <cell r="D1112">
            <v>3131.5789473684213</v>
          </cell>
          <cell r="E1112">
            <v>9394.7368421052633</v>
          </cell>
          <cell r="F1112">
            <v>2.9000000000000001E-2</v>
          </cell>
        </row>
        <row r="1113">
          <cell r="A1113" t="str">
            <v>51742-10600800CCLF</v>
          </cell>
          <cell r="B1113" t="str">
            <v>51742-10600800CCLF Connector,PBVTR</v>
          </cell>
          <cell r="C1113">
            <v>1.9E-3</v>
          </cell>
          <cell r="D1113">
            <v>3131.5789473684213</v>
          </cell>
          <cell r="E1113">
            <v>9394.7368421052633</v>
          </cell>
          <cell r="F1113">
            <v>2.7E-2</v>
          </cell>
        </row>
        <row r="1114">
          <cell r="A1114" t="str">
            <v>51742-10601200AALF</v>
          </cell>
          <cell r="B1114" t="str">
            <v>51742-10601200AALF Connector,PBVTR</v>
          </cell>
          <cell r="C1114">
            <v>2E-3</v>
          </cell>
          <cell r="D1114">
            <v>2975</v>
          </cell>
          <cell r="E1114">
            <v>8925</v>
          </cell>
          <cell r="F1114">
            <v>2.8000000000000001E-2</v>
          </cell>
        </row>
        <row r="1115">
          <cell r="A1115" t="str">
            <v>51742-10601200CCLF</v>
          </cell>
          <cell r="B1115" t="str">
            <v>51742-10601200CCLF Connector,PBVTR</v>
          </cell>
          <cell r="C1115">
            <v>2E-3</v>
          </cell>
          <cell r="D1115">
            <v>2975</v>
          </cell>
          <cell r="E1115">
            <v>8925</v>
          </cell>
          <cell r="F1115">
            <v>2.8000000000000001E-2</v>
          </cell>
        </row>
        <row r="1116">
          <cell r="A1116" t="str">
            <v>51742-10601600AALF</v>
          </cell>
          <cell r="B1116" t="str">
            <v>51742-10601600AALF PwrBlade VR STB</v>
          </cell>
          <cell r="C1116">
            <v>2.5833330000000002E-3</v>
          </cell>
          <cell r="D1116">
            <v>2303.2261036420778</v>
          </cell>
          <cell r="E1116">
            <v>6909.6783109262333</v>
          </cell>
          <cell r="F1116">
            <v>1.3218524000000001E-2</v>
          </cell>
        </row>
        <row r="1117">
          <cell r="A1117" t="str">
            <v>51742-10601600CCLF</v>
          </cell>
          <cell r="B1117" t="str">
            <v>51742-10601600CCLF Connector,PBVTR</v>
          </cell>
          <cell r="C1117">
            <v>3.0000000000000001E-3</v>
          </cell>
          <cell r="D1117">
            <v>1983.3333333333333</v>
          </cell>
          <cell r="E1117">
            <v>5950</v>
          </cell>
          <cell r="F1117">
            <v>2.5999999999999999E-2</v>
          </cell>
        </row>
        <row r="1118">
          <cell r="A1118" t="str">
            <v>51742-10602000AALF</v>
          </cell>
          <cell r="B1118" t="str">
            <v>51742-10602000AALF PwrBlade VR</v>
          </cell>
          <cell r="C1118">
            <v>3.0000000000000001E-3</v>
          </cell>
          <cell r="D1118">
            <v>1983.3333333333333</v>
          </cell>
          <cell r="E1118">
            <v>5950</v>
          </cell>
          <cell r="F1118">
            <v>1.7863275000000001E-2</v>
          </cell>
        </row>
        <row r="1119">
          <cell r="A1119" t="str">
            <v>51742-10602000ACLF</v>
          </cell>
          <cell r="B1119" t="str">
            <v>51742-10602000ACLF Connector,PBVTR</v>
          </cell>
          <cell r="C1119">
            <v>7.0000000000000001E-3</v>
          </cell>
          <cell r="D1119">
            <v>850</v>
          </cell>
          <cell r="E1119">
            <v>2550</v>
          </cell>
          <cell r="F1119">
            <v>2.3E-2</v>
          </cell>
        </row>
        <row r="1120">
          <cell r="A1120" t="str">
            <v>51742-10602000CALF</v>
          </cell>
          <cell r="B1120" t="str">
            <v>51742-10602000CALF Connector,PBVTR</v>
          </cell>
          <cell r="C1120">
            <v>3.0000000000000001E-3</v>
          </cell>
          <cell r="D1120">
            <v>1983.3333333333333</v>
          </cell>
          <cell r="E1120">
            <v>5950</v>
          </cell>
          <cell r="F1120">
            <v>2.8000000000000001E-2</v>
          </cell>
        </row>
        <row r="1121">
          <cell r="A1121" t="str">
            <v>51742-10602400AALF</v>
          </cell>
          <cell r="B1121" t="str">
            <v>51742-10602400AALF Connector,PBVTR</v>
          </cell>
          <cell r="C1121">
            <v>3.3E-3</v>
          </cell>
          <cell r="D1121">
            <v>1803.030303030303</v>
          </cell>
          <cell r="E1121">
            <v>5409.090909090909</v>
          </cell>
          <cell r="F1121">
            <v>2.7E-2</v>
          </cell>
        </row>
        <row r="1122">
          <cell r="A1122" t="str">
            <v>51742-10602400ABLF</v>
          </cell>
          <cell r="B1122" t="str">
            <v>51742-10602400ABLF Connector,PBVTR</v>
          </cell>
          <cell r="C1122">
            <v>3.3E-3</v>
          </cell>
          <cell r="D1122">
            <v>1803.030303030303</v>
          </cell>
          <cell r="E1122">
            <v>5409.090909090909</v>
          </cell>
          <cell r="F1122">
            <v>2.5000000000000001E-2</v>
          </cell>
        </row>
        <row r="1123">
          <cell r="A1123" t="str">
            <v>51742-10602400ACLF</v>
          </cell>
          <cell r="B1123" t="str">
            <v>51742-10602400ACLF Connector,PBVTR</v>
          </cell>
          <cell r="C1123">
            <v>3.0000000000000001E-3</v>
          </cell>
          <cell r="D1123">
            <v>1983.3333333333333</v>
          </cell>
          <cell r="E1123">
            <v>5950</v>
          </cell>
          <cell r="F1123">
            <v>2.5000000000000001E-2</v>
          </cell>
        </row>
        <row r="1124">
          <cell r="A1124" t="str">
            <v>51742-10602400CALF</v>
          </cell>
          <cell r="B1124" t="str">
            <v>51742-10602400CALF Connector,PBVTR</v>
          </cell>
          <cell r="C1124">
            <v>3.3E-3</v>
          </cell>
          <cell r="D1124">
            <v>1803.030303030303</v>
          </cell>
          <cell r="E1124">
            <v>5409.090909090909</v>
          </cell>
          <cell r="F1124">
            <v>2.7E-2</v>
          </cell>
        </row>
        <row r="1125">
          <cell r="A1125" t="str">
            <v>51742-10603200AALF</v>
          </cell>
          <cell r="B1125" t="str">
            <v>51742-10603200AALF Connector,PBVTR</v>
          </cell>
          <cell r="C1125">
            <v>4.0000000000000001E-3</v>
          </cell>
          <cell r="D1125">
            <v>1487.5</v>
          </cell>
          <cell r="E1125">
            <v>4462.5</v>
          </cell>
          <cell r="F1125">
            <v>2.4799999999999999E-2</v>
          </cell>
        </row>
        <row r="1126">
          <cell r="A1126" t="str">
            <v>51742-10603600AALF</v>
          </cell>
          <cell r="B1126" t="str">
            <v>51742-10603600AALF Connector,PBVTR</v>
          </cell>
          <cell r="C1126">
            <v>4.0000000000000001E-3</v>
          </cell>
          <cell r="D1126">
            <v>1487.5</v>
          </cell>
          <cell r="E1126">
            <v>4462.5</v>
          </cell>
          <cell r="F1126">
            <v>2.5999999999999999E-2</v>
          </cell>
        </row>
        <row r="1127">
          <cell r="A1127" t="str">
            <v>51742-10603600CCLF</v>
          </cell>
          <cell r="B1127" t="str">
            <v>51742-10603600CCLF Connector,PBVTR</v>
          </cell>
          <cell r="C1127">
            <v>4.0000000000000001E-3</v>
          </cell>
          <cell r="D1127">
            <v>1487.5</v>
          </cell>
          <cell r="E1127">
            <v>4462.5</v>
          </cell>
          <cell r="F1127">
            <v>2.4E-2</v>
          </cell>
        </row>
        <row r="1128">
          <cell r="A1128" t="str">
            <v>51742-10604000AALF</v>
          </cell>
          <cell r="B1128" t="str">
            <v>51742-10604000AALF Connector,PBVTR</v>
          </cell>
          <cell r="C1128">
            <v>5.0000000000000001E-3</v>
          </cell>
          <cell r="D1128">
            <v>1190</v>
          </cell>
          <cell r="E1128">
            <v>3570</v>
          </cell>
          <cell r="F1128">
            <v>2.5999999999999999E-2</v>
          </cell>
        </row>
        <row r="1129">
          <cell r="A1129" t="str">
            <v>51742-10610400AALF</v>
          </cell>
          <cell r="B1129" t="str">
            <v>51742-10610400AALF Connector,PBVTR</v>
          </cell>
          <cell r="C1129">
            <v>0.01</v>
          </cell>
          <cell r="D1129">
            <v>595</v>
          </cell>
          <cell r="E1129">
            <v>1785</v>
          </cell>
          <cell r="F1129">
            <v>0.05</v>
          </cell>
        </row>
        <row r="1130">
          <cell r="A1130" t="str">
            <v>51742-10702400AALF</v>
          </cell>
          <cell r="B1130" t="str">
            <v>51742-10702400AALF Connector,PBVTR</v>
          </cell>
          <cell r="C1130">
            <v>3.3E-3</v>
          </cell>
          <cell r="D1130">
            <v>1803.030303030303</v>
          </cell>
          <cell r="E1130">
            <v>5409.090909090909</v>
          </cell>
          <cell r="F1130">
            <v>3.2000000000000001E-2</v>
          </cell>
        </row>
        <row r="1131">
          <cell r="A1131" t="str">
            <v>51742-10704000ACLF</v>
          </cell>
          <cell r="B1131" t="str">
            <v>51742-10704000ACLF Connector,PBVTR</v>
          </cell>
          <cell r="C1131">
            <v>5.0000000000000001E-3</v>
          </cell>
          <cell r="D1131">
            <v>1190</v>
          </cell>
          <cell r="E1131">
            <v>3570</v>
          </cell>
          <cell r="F1131">
            <v>2.9000000000000001E-2</v>
          </cell>
        </row>
        <row r="1132">
          <cell r="A1132" t="str">
            <v>51742-10800800AALF</v>
          </cell>
          <cell r="B1132" t="str">
            <v>51742-10800800AALF Connector,PBVTR</v>
          </cell>
          <cell r="C1132">
            <v>2E-3</v>
          </cell>
          <cell r="D1132">
            <v>2975</v>
          </cell>
          <cell r="E1132">
            <v>8925</v>
          </cell>
          <cell r="F1132">
            <v>3.1E-2</v>
          </cell>
        </row>
        <row r="1133">
          <cell r="A1133" t="str">
            <v>51742-10801200AALF</v>
          </cell>
          <cell r="B1133" t="str">
            <v>51742-10801200AALF Connector,PBVTR</v>
          </cell>
          <cell r="C1133">
            <v>2E-3</v>
          </cell>
          <cell r="D1133">
            <v>2975</v>
          </cell>
          <cell r="E1133">
            <v>8925</v>
          </cell>
          <cell r="F1133">
            <v>0.03</v>
          </cell>
        </row>
        <row r="1134">
          <cell r="A1134" t="str">
            <v>51742-10801600CALF</v>
          </cell>
          <cell r="B1134" t="str">
            <v>51742-10801600CALF Connector,PBVTR</v>
          </cell>
          <cell r="C1134">
            <v>3.0000000000000001E-3</v>
          </cell>
          <cell r="D1134">
            <v>1983.3333333333333</v>
          </cell>
          <cell r="E1134">
            <v>5950</v>
          </cell>
          <cell r="F1134">
            <v>3.2000000000000001E-2</v>
          </cell>
        </row>
        <row r="1135">
          <cell r="A1135" t="str">
            <v>51742-10801600CCLF</v>
          </cell>
          <cell r="B1135" t="str">
            <v>51742-10801600CCLF Connector,PBVTR</v>
          </cell>
          <cell r="C1135">
            <v>2E-3</v>
          </cell>
          <cell r="D1135">
            <v>2975</v>
          </cell>
          <cell r="E1135">
            <v>8925</v>
          </cell>
          <cell r="F1135">
            <v>4.4999999999999998E-2</v>
          </cell>
        </row>
        <row r="1136">
          <cell r="A1136" t="str">
            <v>51742-10802400AALF</v>
          </cell>
          <cell r="B1136" t="str">
            <v>51742-10802400AALF PwrBlade VR</v>
          </cell>
          <cell r="C1136">
            <v>3.0000000000000001E-3</v>
          </cell>
          <cell r="D1136">
            <v>1983.3333333333333</v>
          </cell>
          <cell r="E1136">
            <v>5950</v>
          </cell>
          <cell r="F1136">
            <v>2.6679999999999999E-2</v>
          </cell>
        </row>
        <row r="1137">
          <cell r="A1137" t="str">
            <v>51742-10802400ACLF</v>
          </cell>
          <cell r="B1137" t="str">
            <v>51742-10802400ACLF Connector,PBVTR</v>
          </cell>
          <cell r="C1137">
            <v>3.3E-3</v>
          </cell>
          <cell r="D1137">
            <v>1803.030303030303</v>
          </cell>
          <cell r="E1137">
            <v>5409.090909090909</v>
          </cell>
          <cell r="F1137">
            <v>2.7E-2</v>
          </cell>
        </row>
        <row r="1138">
          <cell r="A1138" t="str">
            <v>51742-10802400CALF</v>
          </cell>
          <cell r="B1138" t="str">
            <v>51742-10802400CALF Connector,PBVTR</v>
          </cell>
          <cell r="C1138">
            <v>3.0000000000000001E-3</v>
          </cell>
          <cell r="D1138">
            <v>1983.3333333333333</v>
          </cell>
          <cell r="E1138">
            <v>5950</v>
          </cell>
          <cell r="F1138">
            <v>2.9000000000000001E-2</v>
          </cell>
        </row>
        <row r="1139">
          <cell r="A1139" t="str">
            <v>51742-10802800CALF</v>
          </cell>
          <cell r="B1139" t="str">
            <v>51742-10802800CALF Connector,PBVTR</v>
          </cell>
          <cell r="C1139">
            <v>4.0000000000000001E-3</v>
          </cell>
          <cell r="D1139">
            <v>1487.5</v>
          </cell>
          <cell r="E1139">
            <v>4462.5</v>
          </cell>
          <cell r="F1139">
            <v>2.9000000000000001E-2</v>
          </cell>
        </row>
        <row r="1140">
          <cell r="A1140" t="str">
            <v>51742-10804400AALF</v>
          </cell>
          <cell r="B1140" t="str">
            <v>51742-10804400AALF Connector,PBVTR</v>
          </cell>
          <cell r="C1140">
            <v>5.0000000000000001E-3</v>
          </cell>
          <cell r="D1140">
            <v>1190</v>
          </cell>
          <cell r="E1140">
            <v>3570</v>
          </cell>
          <cell r="F1140">
            <v>2.7E-2</v>
          </cell>
        </row>
        <row r="1141">
          <cell r="A1141" t="str">
            <v>51742-10901600CCLF</v>
          </cell>
          <cell r="B1141" t="str">
            <v>51742-10901600CCLF PwrBlade VR PF</v>
          </cell>
          <cell r="C1141">
            <v>3.0000000000000001E-3</v>
          </cell>
          <cell r="D1141">
            <v>1983.3333333333333</v>
          </cell>
          <cell r="E1141">
            <v>5950</v>
          </cell>
          <cell r="F1141">
            <v>1.3075410000000001E-2</v>
          </cell>
        </row>
        <row r="1142">
          <cell r="A1142" t="str">
            <v>51742-10902000AALF</v>
          </cell>
          <cell r="B1142" t="str">
            <v>51742-10902000AALF Connector,PBVTR</v>
          </cell>
          <cell r="C1142">
            <v>3.0000000000000001E-3</v>
          </cell>
          <cell r="D1142">
            <v>1983.3333333333333</v>
          </cell>
          <cell r="E1142">
            <v>5950</v>
          </cell>
          <cell r="F1142">
            <v>2.8000000000000001E-2</v>
          </cell>
        </row>
        <row r="1143">
          <cell r="A1143" t="str">
            <v>51742-11001200AALF</v>
          </cell>
          <cell r="B1143" t="str">
            <v>51742-11001200AALF PwrBlade VR</v>
          </cell>
          <cell r="C1143">
            <v>2E-3</v>
          </cell>
          <cell r="D1143">
            <v>2975</v>
          </cell>
          <cell r="E1143">
            <v>8925</v>
          </cell>
          <cell r="F1143">
            <v>3.2000000000000001E-2</v>
          </cell>
        </row>
        <row r="1144">
          <cell r="A1144" t="str">
            <v>51742-11001600CALF</v>
          </cell>
          <cell r="B1144" t="str">
            <v>51742-11001600CALF Connector,PBVTR</v>
          </cell>
          <cell r="C1144">
            <v>3.0000000000000001E-3</v>
          </cell>
          <cell r="D1144">
            <v>1983.3333333333333</v>
          </cell>
          <cell r="E1144">
            <v>5950</v>
          </cell>
          <cell r="F1144">
            <v>1.46E-2</v>
          </cell>
        </row>
        <row r="1145">
          <cell r="A1145" t="str">
            <v>51742-11002400AALF</v>
          </cell>
          <cell r="B1145" t="str">
            <v>51742-11002400AALF Connector,PBVTR</v>
          </cell>
          <cell r="C1145">
            <v>3.0000000000000001E-3</v>
          </cell>
          <cell r="D1145">
            <v>1983.3333333333333</v>
          </cell>
          <cell r="E1145">
            <v>5950</v>
          </cell>
          <cell r="F1145">
            <v>3.1E-2</v>
          </cell>
        </row>
        <row r="1146">
          <cell r="A1146" t="str">
            <v>51742-11002400CCLF</v>
          </cell>
          <cell r="B1146" t="str">
            <v>51742-11002400CCLF Connector,PBVTR</v>
          </cell>
          <cell r="C1146">
            <v>3.0000000000000001E-3</v>
          </cell>
          <cell r="D1146">
            <v>1983.3333333333333</v>
          </cell>
          <cell r="E1146">
            <v>5950</v>
          </cell>
          <cell r="F1146">
            <v>3.1E-2</v>
          </cell>
        </row>
        <row r="1147">
          <cell r="A1147" t="str">
            <v>51742-11003200CCLF</v>
          </cell>
          <cell r="B1147" t="str">
            <v>51742-11003200CCLF Connector,PBVTR</v>
          </cell>
          <cell r="C1147">
            <v>4.0000000000000001E-3</v>
          </cell>
          <cell r="D1147">
            <v>1487.5</v>
          </cell>
          <cell r="E1147">
            <v>4462.5</v>
          </cell>
          <cell r="F1147">
            <v>2.9000000000000001E-2</v>
          </cell>
        </row>
        <row r="1148">
          <cell r="A1148" t="str">
            <v>51742-11202000AALF</v>
          </cell>
          <cell r="B1148" t="str">
            <v>51742-11202000AALF Connector,PBVTR</v>
          </cell>
          <cell r="C1148">
            <v>2.8999999999999998E-3</v>
          </cell>
          <cell r="D1148">
            <v>2051.7241379310349</v>
          </cell>
          <cell r="E1148">
            <v>6155.1724137931051</v>
          </cell>
          <cell r="F1148">
            <v>2.4299999999999999E-2</v>
          </cell>
        </row>
        <row r="1149">
          <cell r="A1149" t="str">
            <v>51742-11202000CCLF</v>
          </cell>
          <cell r="B1149" t="str">
            <v>51742-11202000CCLF PwrBlade VR</v>
          </cell>
          <cell r="C1149">
            <v>3.0000000000000001E-3</v>
          </cell>
          <cell r="D1149">
            <v>1983.3333333333333</v>
          </cell>
          <cell r="E1149">
            <v>5950</v>
          </cell>
          <cell r="F1149">
            <v>1.0869409E-2</v>
          </cell>
        </row>
        <row r="1150">
          <cell r="A1150" t="str">
            <v>51742-11202400AALF</v>
          </cell>
          <cell r="B1150" t="str">
            <v>51742-11202400AALF Connector,PBVTR</v>
          </cell>
          <cell r="C1150">
            <v>3.0000000000000001E-3</v>
          </cell>
          <cell r="D1150">
            <v>1983.3333333333333</v>
          </cell>
          <cell r="E1150">
            <v>5950</v>
          </cell>
          <cell r="F1150">
            <v>3.7999999999999999E-2</v>
          </cell>
        </row>
        <row r="1151">
          <cell r="A1151" t="str">
            <v>51742-11202400CCLF</v>
          </cell>
          <cell r="B1151" t="str">
            <v>51742-11202400CCLF Connector,PBVTR</v>
          </cell>
          <cell r="C1151">
            <v>3.0000000000000001E-3</v>
          </cell>
          <cell r="D1151">
            <v>1983.3333333333333</v>
          </cell>
          <cell r="E1151">
            <v>5950</v>
          </cell>
          <cell r="F1151">
            <v>3.5999999999999997E-2</v>
          </cell>
        </row>
        <row r="1152">
          <cell r="A1152" t="str">
            <v>51742-11301200AALF</v>
          </cell>
          <cell r="B1152" t="str">
            <v>51742-11301200AALF Connector,PBVTR</v>
          </cell>
          <cell r="C1152">
            <v>2E-3</v>
          </cell>
          <cell r="D1152">
            <v>2975</v>
          </cell>
          <cell r="E1152">
            <v>8925</v>
          </cell>
          <cell r="F1152">
            <v>4.2999999999999997E-2</v>
          </cell>
        </row>
        <row r="1153">
          <cell r="A1153" t="str">
            <v>51742-11402400AALF</v>
          </cell>
          <cell r="B1153" t="str">
            <v>51742-11402400AALF Connector,PBVTR</v>
          </cell>
          <cell r="C1153">
            <v>3.0000000000000001E-3</v>
          </cell>
          <cell r="D1153">
            <v>1983.3333333333333</v>
          </cell>
          <cell r="E1153">
            <v>5950</v>
          </cell>
          <cell r="F1153">
            <v>4.4999999999999998E-2</v>
          </cell>
        </row>
        <row r="1154">
          <cell r="A1154" t="str">
            <v>51742-11402400CCLF</v>
          </cell>
          <cell r="B1154" t="str">
            <v>51742-11402400CCLF PwrBlade VR</v>
          </cell>
          <cell r="C1154">
            <v>3.2499999999999999E-3</v>
          </cell>
          <cell r="D1154">
            <v>1830.7692307692309</v>
          </cell>
          <cell r="E1154">
            <v>5492.3076923076933</v>
          </cell>
          <cell r="F1154">
            <v>4.2000000000000003E-2</v>
          </cell>
        </row>
        <row r="1155">
          <cell r="A1155" t="str">
            <v>51742-11403200AALF</v>
          </cell>
          <cell r="B1155" t="str">
            <v>51742-11403200AALF Connector,PBVTR</v>
          </cell>
          <cell r="C1155">
            <v>3.8999999999999998E-3</v>
          </cell>
          <cell r="D1155">
            <v>1525.6410256410259</v>
          </cell>
          <cell r="E1155">
            <v>4576.923076923078</v>
          </cell>
          <cell r="F1155">
            <v>2.6800000000000001E-2</v>
          </cell>
        </row>
        <row r="1156">
          <cell r="A1156" t="str">
            <v>51742-12001200AALF</v>
          </cell>
          <cell r="B1156" t="str">
            <v>51742-12001200AALF Connector,PBVTR</v>
          </cell>
          <cell r="C1156">
            <v>2E-3</v>
          </cell>
          <cell r="D1156">
            <v>2975</v>
          </cell>
          <cell r="E1156">
            <v>8925</v>
          </cell>
          <cell r="F1156">
            <v>6.7000000000000004E-2</v>
          </cell>
        </row>
        <row r="1157">
          <cell r="A1157" t="str">
            <v>51742-12002000CCLF</v>
          </cell>
          <cell r="B1157" t="str">
            <v>51742-12002000CCLF Connector,PBVTR</v>
          </cell>
          <cell r="C1157">
            <v>2.8999999999999998E-3</v>
          </cell>
          <cell r="D1157">
            <v>2051.7241379310349</v>
          </cell>
          <cell r="E1157">
            <v>6155.1724137931051</v>
          </cell>
          <cell r="F1157">
            <v>4.5999999999999999E-2</v>
          </cell>
        </row>
        <row r="1158">
          <cell r="A1158" t="str">
            <v>51742-12002400CALF</v>
          </cell>
          <cell r="B1158" t="str">
            <v>51742-12002400CALF Connector,PBVTR</v>
          </cell>
          <cell r="C1158">
            <v>3.3E-3</v>
          </cell>
          <cell r="D1158">
            <v>1803.030303030303</v>
          </cell>
          <cell r="E1158">
            <v>5409.090909090909</v>
          </cell>
          <cell r="F1158">
            <v>5.1999999999999998E-2</v>
          </cell>
        </row>
        <row r="1159">
          <cell r="A1159" t="str">
            <v>51742-B0602400CCLF</v>
          </cell>
          <cell r="B1159" t="str">
            <v>51742-B0602400CCLF Connector,PBVTR</v>
          </cell>
          <cell r="C1159">
            <v>3.0000000000000001E-3</v>
          </cell>
          <cell r="D1159">
            <v>1983.3333333333333</v>
          </cell>
          <cell r="E1159">
            <v>5950</v>
          </cell>
          <cell r="F1159">
            <v>2.5000000000000001E-2</v>
          </cell>
        </row>
        <row r="1160">
          <cell r="A1160" t="str">
            <v>51742-B0802400AALF</v>
          </cell>
          <cell r="B1160" t="str">
            <v>51742-B0802400AALF Connector,PBVTR</v>
          </cell>
          <cell r="C1160">
            <v>3.0000000000000001E-3</v>
          </cell>
          <cell r="D1160">
            <v>1983.3333333333333</v>
          </cell>
          <cell r="E1160">
            <v>5950</v>
          </cell>
          <cell r="F1160">
            <v>2.6700000000000002E-2</v>
          </cell>
        </row>
        <row r="1161">
          <cell r="A1161" t="str">
            <v>51742-G0403200AALF</v>
          </cell>
          <cell r="B1161" t="str">
            <v>51742-G0403200AALF PwrBlade VR STB</v>
          </cell>
          <cell r="C1161">
            <v>3.9166670000000004E-3</v>
          </cell>
          <cell r="D1161">
            <v>1519.1488068809524</v>
          </cell>
          <cell r="E1161">
            <v>4557.4464206428574</v>
          </cell>
          <cell r="F1161">
            <v>2.4E-2</v>
          </cell>
        </row>
        <row r="1162">
          <cell r="A1162" t="str">
            <v>51743-10200000AALF</v>
          </cell>
          <cell r="B1162" t="str">
            <v>51743-10200000AALF PwrBlade VR</v>
          </cell>
          <cell r="C1162">
            <v>6.1000000000000004E-3</v>
          </cell>
          <cell r="D1162">
            <v>975.4098360655737</v>
          </cell>
          <cell r="E1162">
            <v>2926.2295081967213</v>
          </cell>
          <cell r="F1162">
            <v>0.02</v>
          </cell>
        </row>
        <row r="1163">
          <cell r="A1163" t="str">
            <v>51743-10200000CCLF</v>
          </cell>
          <cell r="B1163" t="str">
            <v>51743-10200000CCLF Connector,PBVTR</v>
          </cell>
          <cell r="C1163">
            <v>6.1000000000000004E-3</v>
          </cell>
          <cell r="D1163">
            <v>975.4098360655737</v>
          </cell>
          <cell r="E1163">
            <v>2926.2295081967213</v>
          </cell>
          <cell r="F1163">
            <v>1.6799999999999999E-2</v>
          </cell>
        </row>
        <row r="1164">
          <cell r="A1164" t="str">
            <v>51743-10300000AALF</v>
          </cell>
          <cell r="B1164" t="str">
            <v>51743-10300000AALF PwrBlade VR</v>
          </cell>
          <cell r="C1164">
            <v>6.1000000000000004E-3</v>
          </cell>
          <cell r="D1164">
            <v>975.4098360655737</v>
          </cell>
          <cell r="E1164">
            <v>2926.2295081967213</v>
          </cell>
          <cell r="F1164">
            <v>0.02</v>
          </cell>
        </row>
        <row r="1165">
          <cell r="A1165" t="str">
            <v>51743-10300000CCLF</v>
          </cell>
          <cell r="B1165" t="str">
            <v>51743-10300000CCLF Connector,PBVTR</v>
          </cell>
          <cell r="C1165">
            <v>6.1000000000000004E-3</v>
          </cell>
          <cell r="D1165">
            <v>975.4098360655737</v>
          </cell>
          <cell r="E1165">
            <v>2926.2295081967213</v>
          </cell>
          <cell r="F1165">
            <v>1.7999999999999999E-2</v>
          </cell>
        </row>
        <row r="1166">
          <cell r="A1166" t="str">
            <v>51743-10400000CALF</v>
          </cell>
          <cell r="B1166" t="str">
            <v>51743-10400000CALF Connector,PBVTR</v>
          </cell>
          <cell r="C1166">
            <v>6.1000000000000004E-3</v>
          </cell>
          <cell r="D1166">
            <v>975.4098360655737</v>
          </cell>
          <cell r="E1166">
            <v>2926.2295081967213</v>
          </cell>
          <cell r="F1166">
            <v>2.12E-2</v>
          </cell>
        </row>
        <row r="1167">
          <cell r="A1167" t="str">
            <v>51743-10400000CCLF</v>
          </cell>
          <cell r="B1167" t="str">
            <v>51743-10400000CCLF Connector,PBVTR</v>
          </cell>
          <cell r="C1167">
            <v>6.1000000000000004E-3</v>
          </cell>
          <cell r="D1167">
            <v>975.4098360655737</v>
          </cell>
          <cell r="E1167">
            <v>2926.2295081967213</v>
          </cell>
          <cell r="F1167">
            <v>1.1299999999999999E-2</v>
          </cell>
        </row>
        <row r="1168">
          <cell r="A1168" t="str">
            <v>51743-10500000AALF</v>
          </cell>
          <cell r="B1168" t="str">
            <v>51743-10500000AALF Connector,PBVTR</v>
          </cell>
          <cell r="C1168">
            <v>6.1000000000000004E-3</v>
          </cell>
          <cell r="D1168">
            <v>975.4098360655737</v>
          </cell>
          <cell r="E1168">
            <v>2926.2295081967213</v>
          </cell>
          <cell r="F1168">
            <v>2.8000000000000001E-2</v>
          </cell>
        </row>
        <row r="1169">
          <cell r="A1169" t="str">
            <v>51743-10500000ACLF</v>
          </cell>
          <cell r="B1169" t="str">
            <v>51743-10500000ACLF Connector,PBVTR</v>
          </cell>
          <cell r="C1169">
            <v>6.1000000000000004E-3</v>
          </cell>
          <cell r="D1169">
            <v>975.4098360655737</v>
          </cell>
          <cell r="E1169">
            <v>2926.2295081967213</v>
          </cell>
          <cell r="F1169">
            <v>2.5999999999999999E-2</v>
          </cell>
        </row>
        <row r="1170">
          <cell r="A1170" t="str">
            <v>51743-10500000CCLF</v>
          </cell>
          <cell r="B1170" t="str">
            <v>51743-10500000CCLF Connector,PBVTR</v>
          </cell>
          <cell r="C1170">
            <v>6.1000000000000004E-3</v>
          </cell>
          <cell r="D1170">
            <v>975.4098360655737</v>
          </cell>
          <cell r="E1170">
            <v>2926.2295081967213</v>
          </cell>
          <cell r="F1170">
            <v>2.5999999999999999E-2</v>
          </cell>
        </row>
        <row r="1171">
          <cell r="A1171" t="str">
            <v>51743-10600000AALF</v>
          </cell>
          <cell r="B1171" t="str">
            <v>51743-10600000AALF PwrBlade VR</v>
          </cell>
          <cell r="C1171">
            <v>6.1000000000000004E-3</v>
          </cell>
          <cell r="D1171">
            <v>975.4098360655737</v>
          </cell>
          <cell r="E1171">
            <v>2926.2295081967213</v>
          </cell>
          <cell r="F1171">
            <v>2.5000000000000001E-2</v>
          </cell>
        </row>
        <row r="1172">
          <cell r="A1172" t="str">
            <v>51743-10600000CCLF</v>
          </cell>
          <cell r="B1172" t="str">
            <v>51743-10600000CCLF Connector,PBVTR</v>
          </cell>
          <cell r="C1172">
            <v>6.1000000000000004E-3</v>
          </cell>
          <cell r="D1172">
            <v>975.4098360655737</v>
          </cell>
          <cell r="E1172">
            <v>2926.2295081967213</v>
          </cell>
          <cell r="F1172">
            <v>2.3E-2</v>
          </cell>
        </row>
        <row r="1173">
          <cell r="A1173" t="str">
            <v>51743-10700000AALF</v>
          </cell>
          <cell r="B1173" t="str">
            <v>51743-10700000AALF Connector,PBVTR</v>
          </cell>
          <cell r="C1173">
            <v>6.1000000000000004E-3</v>
          </cell>
          <cell r="D1173">
            <v>975.4098360655737</v>
          </cell>
          <cell r="E1173">
            <v>2926.2295081967213</v>
          </cell>
          <cell r="F1173">
            <v>2.9000000000000001E-2</v>
          </cell>
        </row>
        <row r="1174">
          <cell r="A1174" t="str">
            <v>51743-10700000CCLF</v>
          </cell>
          <cell r="B1174" t="str">
            <v>51743-10700000CCLF Connector,PBVTR</v>
          </cell>
          <cell r="C1174">
            <v>6.1000000000000004E-3</v>
          </cell>
          <cell r="D1174">
            <v>975.4098360655737</v>
          </cell>
          <cell r="E1174">
            <v>2926.2295081967213</v>
          </cell>
          <cell r="F1174">
            <v>1.3899999999999999E-2</v>
          </cell>
        </row>
        <row r="1175">
          <cell r="A1175" t="str">
            <v>51743-10800000AALF</v>
          </cell>
          <cell r="B1175" t="str">
            <v>51743-10800000AALF PwrBlade VR</v>
          </cell>
          <cell r="C1175" t="e">
            <v>#N/A</v>
          </cell>
          <cell r="D1175" t="e">
            <v>#N/A</v>
          </cell>
          <cell r="E1175" t="e">
            <v>#N/A</v>
          </cell>
          <cell r="F1175">
            <v>2.4E-2</v>
          </cell>
        </row>
        <row r="1176">
          <cell r="A1176" t="str">
            <v>51743-10800000CCLF</v>
          </cell>
          <cell r="B1176" t="str">
            <v>51743-10800000CCLF Connector,PBVTR</v>
          </cell>
          <cell r="C1176">
            <v>6.1000000000000004E-3</v>
          </cell>
          <cell r="D1176">
            <v>975.4098360655737</v>
          </cell>
          <cell r="E1176">
            <v>2926.2295081967213</v>
          </cell>
          <cell r="F1176">
            <v>2.5000000000000001E-2</v>
          </cell>
        </row>
        <row r="1177">
          <cell r="A1177" t="str">
            <v>51743-10900000AALF</v>
          </cell>
          <cell r="B1177" t="str">
            <v>51743-10900000AALF Connector,PBVTR</v>
          </cell>
          <cell r="C1177">
            <v>6.1000000000000004E-3</v>
          </cell>
          <cell r="D1177">
            <v>975.4098360655737</v>
          </cell>
          <cell r="E1177">
            <v>2926.2295081967213</v>
          </cell>
          <cell r="F1177">
            <v>0.03</v>
          </cell>
        </row>
        <row r="1178">
          <cell r="A1178" t="str">
            <v>51743-11000000AALF</v>
          </cell>
          <cell r="B1178" t="str">
            <v>51743-11000000AALF Connector,PBVTR</v>
          </cell>
          <cell r="C1178">
            <v>6.1000000000000004E-3</v>
          </cell>
          <cell r="D1178">
            <v>975.4098360655737</v>
          </cell>
          <cell r="E1178">
            <v>2926.2295081967213</v>
          </cell>
          <cell r="F1178">
            <v>2.6800000000000001E-2</v>
          </cell>
        </row>
        <row r="1179">
          <cell r="A1179" t="str">
            <v>51743-11000000CCLF</v>
          </cell>
          <cell r="B1179" t="str">
            <v>51743-11000000CCLF Connector,PBVTR</v>
          </cell>
          <cell r="C1179">
            <v>6.1000000000000004E-3</v>
          </cell>
          <cell r="D1179">
            <v>975.4098360655737</v>
          </cell>
          <cell r="E1179">
            <v>2926.2295081967213</v>
          </cell>
          <cell r="F1179">
            <v>1.61E-2</v>
          </cell>
        </row>
        <row r="1180">
          <cell r="A1180" t="str">
            <v>51743-11100000AALF</v>
          </cell>
          <cell r="B1180" t="str">
            <v>51743-11100000AALF Connector,PBVTR</v>
          </cell>
          <cell r="C1180">
            <v>6.1000000000000004E-3</v>
          </cell>
          <cell r="D1180">
            <v>975.4098360655737</v>
          </cell>
          <cell r="E1180">
            <v>2926.2295081967213</v>
          </cell>
          <cell r="F1180">
            <v>3.2000000000000001E-2</v>
          </cell>
        </row>
        <row r="1181">
          <cell r="A1181" t="str">
            <v>51743-11200000AALF</v>
          </cell>
          <cell r="B1181" t="str">
            <v>51743-11200000AALF PwrBlade VR STB</v>
          </cell>
          <cell r="C1181">
            <v>3.3E-3</v>
          </cell>
          <cell r="D1181">
            <v>1803.030303030303</v>
          </cell>
          <cell r="E1181">
            <v>5409.090909090909</v>
          </cell>
          <cell r="F1181">
            <v>2.8000000000000001E-2</v>
          </cell>
        </row>
        <row r="1182">
          <cell r="A1182" t="str">
            <v>51743-11200000CCLF</v>
          </cell>
          <cell r="B1182" t="str">
            <v>51743-11200000CCLF Connector,PBVTR</v>
          </cell>
          <cell r="C1182">
            <v>6.1000000000000004E-3</v>
          </cell>
          <cell r="D1182">
            <v>975.4098360655737</v>
          </cell>
          <cell r="E1182">
            <v>2926.2295081967213</v>
          </cell>
          <cell r="F1182">
            <v>3.7999999999999999E-2</v>
          </cell>
        </row>
        <row r="1183">
          <cell r="A1183" t="str">
            <v>51743-11600000AALF</v>
          </cell>
          <cell r="B1183" t="str">
            <v>51743-11600000AALF Connector,PBVTR</v>
          </cell>
          <cell r="C1183">
            <v>6.1000000000000004E-3</v>
          </cell>
          <cell r="D1183">
            <v>975.4098360655737</v>
          </cell>
          <cell r="E1183">
            <v>2926.2295081967213</v>
          </cell>
          <cell r="F1183">
            <v>4.5999999999999999E-2</v>
          </cell>
        </row>
        <row r="1184">
          <cell r="A1184" t="str">
            <v>51743-11800000CCLF</v>
          </cell>
          <cell r="B1184" t="str">
            <v>51743-11800000CCLF Connector,PBVTR</v>
          </cell>
          <cell r="C1184">
            <v>6.1000000000000004E-3</v>
          </cell>
          <cell r="D1184">
            <v>975.4098360655737</v>
          </cell>
          <cell r="E1184">
            <v>2926.2295081967213</v>
          </cell>
          <cell r="F1184">
            <v>4.8000000000000001E-2</v>
          </cell>
        </row>
        <row r="1185">
          <cell r="A1185" t="str">
            <v>51744-10104001C0LF</v>
          </cell>
          <cell r="B1185" t="str">
            <v>51744-10104001C0LF Connector,PBVTR</v>
          </cell>
          <cell r="C1185">
            <v>5.0000000000000001E-3</v>
          </cell>
          <cell r="D1185">
            <v>1190</v>
          </cell>
          <cell r="E1185">
            <v>3570</v>
          </cell>
          <cell r="F1185">
            <v>1.9E-2</v>
          </cell>
        </row>
        <row r="1186">
          <cell r="A1186" t="str">
            <v>51744-10200402A0LF</v>
          </cell>
          <cell r="B1186" t="str">
            <v>51744-10200402A0LF Connector,PBVTR</v>
          </cell>
          <cell r="C1186">
            <v>6.1000000000000004E-3</v>
          </cell>
          <cell r="D1186">
            <v>975.4098360655737</v>
          </cell>
          <cell r="E1186">
            <v>2926.2295081967213</v>
          </cell>
          <cell r="F1186">
            <v>2.7E-2</v>
          </cell>
        </row>
        <row r="1187">
          <cell r="A1187" t="str">
            <v>51744-10202402A0LF</v>
          </cell>
          <cell r="B1187" t="str">
            <v>51744-10202402A0LF Connector,PBVTR</v>
          </cell>
          <cell r="C1187">
            <v>3.3E-3</v>
          </cell>
          <cell r="D1187">
            <v>1803.030303030303</v>
          </cell>
          <cell r="E1187">
            <v>5409.090909090909</v>
          </cell>
          <cell r="F1187">
            <v>1.89E-2</v>
          </cell>
        </row>
        <row r="1188">
          <cell r="A1188" t="str">
            <v>51744-10301203A0LF</v>
          </cell>
          <cell r="B1188" t="str">
            <v>51744-10301203A0LF Connector,PBVTR</v>
          </cell>
          <cell r="C1188">
            <v>2.3E-3</v>
          </cell>
          <cell r="D1188">
            <v>2586.9565217391305</v>
          </cell>
          <cell r="E1188">
            <v>7760.8695652173919</v>
          </cell>
          <cell r="F1188">
            <v>2.5999999999999999E-2</v>
          </cell>
        </row>
        <row r="1189">
          <cell r="A1189" t="str">
            <v>51744-10301203C0LF</v>
          </cell>
          <cell r="B1189" t="str">
            <v>51744-10301203C0LF Connector,PBVTR</v>
          </cell>
          <cell r="C1189">
            <v>2.3E-3</v>
          </cell>
          <cell r="D1189">
            <v>2586.9565217391305</v>
          </cell>
          <cell r="E1189">
            <v>7760.8695652173919</v>
          </cell>
          <cell r="F1189">
            <v>2.5999999999999999E-2</v>
          </cell>
        </row>
        <row r="1190">
          <cell r="A1190" t="str">
            <v>51744-10301606A0LF</v>
          </cell>
          <cell r="B1190" t="str">
            <v>51744-10301606A0LF Connector,PBVTR</v>
          </cell>
          <cell r="C1190">
            <v>3.0000000000000001E-3</v>
          </cell>
          <cell r="D1190">
            <v>1983.3333333333333</v>
          </cell>
          <cell r="E1190">
            <v>5950</v>
          </cell>
          <cell r="F1190">
            <v>3.4000000000000002E-2</v>
          </cell>
        </row>
        <row r="1191">
          <cell r="A1191" t="str">
            <v>51744-10301608A0LF</v>
          </cell>
          <cell r="B1191" t="str">
            <v>51744-10301608A0LF Connector,PBVTR</v>
          </cell>
          <cell r="C1191">
            <v>3.0000000000000001E-3</v>
          </cell>
          <cell r="D1191">
            <v>1983.3333333333333</v>
          </cell>
          <cell r="E1191">
            <v>5950</v>
          </cell>
          <cell r="F1191">
            <v>3.3000000000000002E-2</v>
          </cell>
        </row>
        <row r="1192">
          <cell r="A1192" t="str">
            <v>51744-10301611A0LF</v>
          </cell>
          <cell r="B1192" t="str">
            <v>51744-10301611A0LF Connector,PBVTR</v>
          </cell>
          <cell r="C1192">
            <v>3.0000000000000001E-3</v>
          </cell>
          <cell r="D1192">
            <v>1983.3333333333333</v>
          </cell>
          <cell r="E1192">
            <v>5950</v>
          </cell>
          <cell r="F1192">
            <v>4.2999999999999997E-2</v>
          </cell>
        </row>
        <row r="1193">
          <cell r="A1193" t="str">
            <v>51744-10302006A0LF</v>
          </cell>
          <cell r="B1193" t="str">
            <v>51744-10302006A0LF Connector,PBVTR</v>
          </cell>
          <cell r="C1193">
            <v>3.0000000000000001E-3</v>
          </cell>
          <cell r="D1193">
            <v>1983.3333333333333</v>
          </cell>
          <cell r="E1193">
            <v>5950</v>
          </cell>
          <cell r="F1193">
            <v>3.4000000000000002E-2</v>
          </cell>
        </row>
        <row r="1194">
          <cell r="A1194" t="str">
            <v>51744-10302403C0LF</v>
          </cell>
          <cell r="B1194" t="str">
            <v>51744-10302403C0LF Connector,PBVTR</v>
          </cell>
          <cell r="C1194">
            <v>3.0000000000000001E-3</v>
          </cell>
          <cell r="D1194">
            <v>1983.3333333333333</v>
          </cell>
          <cell r="E1194">
            <v>5950</v>
          </cell>
          <cell r="F1194">
            <v>2.5000000000000001E-2</v>
          </cell>
        </row>
        <row r="1195">
          <cell r="A1195" t="str">
            <v>51744-10401604C0LF</v>
          </cell>
          <cell r="B1195" t="str">
            <v>51744-10401604C0LF Connector,PBVTR</v>
          </cell>
          <cell r="C1195">
            <v>1E-3</v>
          </cell>
          <cell r="D1195">
            <v>5950</v>
          </cell>
          <cell r="E1195">
            <v>17850</v>
          </cell>
          <cell r="F1195">
            <v>2.9000000000000001E-2</v>
          </cell>
        </row>
        <row r="1196">
          <cell r="A1196" t="str">
            <v>51744-10601204A0LF</v>
          </cell>
          <cell r="B1196" t="str">
            <v>51744-10601204A0LF Connector,PBVTR</v>
          </cell>
          <cell r="C1196">
            <v>1.9E-3</v>
          </cell>
          <cell r="D1196">
            <v>3131.5789473684213</v>
          </cell>
          <cell r="E1196">
            <v>9394.7368421052633</v>
          </cell>
          <cell r="F1196">
            <v>2.81E-2</v>
          </cell>
        </row>
        <row r="1197">
          <cell r="A1197" t="str">
            <v>51744-10601606C0LF</v>
          </cell>
          <cell r="B1197" t="str">
            <v>51744-10601606C0LF Connector,PBVTR</v>
          </cell>
          <cell r="C1197">
            <v>3.0000000000000001E-3</v>
          </cell>
          <cell r="D1197">
            <v>1983.3333333333333</v>
          </cell>
          <cell r="E1197">
            <v>5950</v>
          </cell>
          <cell r="F1197">
            <v>3.6999999999999998E-2</v>
          </cell>
        </row>
        <row r="1198">
          <cell r="A1198" t="str">
            <v>51745-10002006A0LF</v>
          </cell>
          <cell r="B1198" t="str">
            <v>51745-10002006A0LF Connector,PBVTR</v>
          </cell>
          <cell r="C1198">
            <v>3.0000000000000001E-3</v>
          </cell>
          <cell r="D1198">
            <v>1983.3333333333333</v>
          </cell>
          <cell r="E1198">
            <v>5950</v>
          </cell>
          <cell r="F1198">
            <v>0.02</v>
          </cell>
        </row>
        <row r="1199">
          <cell r="A1199" t="str">
            <v>51745-10002406A0LF</v>
          </cell>
          <cell r="B1199" t="str">
            <v>51745-10002406A0LF Connector,PBVTR</v>
          </cell>
          <cell r="C1199">
            <v>3.0000000000000001E-3</v>
          </cell>
          <cell r="D1199">
            <v>1983.3333333333333</v>
          </cell>
          <cell r="E1199">
            <v>5950</v>
          </cell>
          <cell r="F1199">
            <v>2.1000000000000001E-2</v>
          </cell>
        </row>
        <row r="1200">
          <cell r="A1200" t="str">
            <v>51745-10014804A0LF</v>
          </cell>
          <cell r="B1200" t="str">
            <v>51745-10014804A0LF Connector,PBVTR</v>
          </cell>
          <cell r="C1200">
            <v>1.4E-2</v>
          </cell>
          <cell r="D1200">
            <v>425</v>
          </cell>
          <cell r="E1200">
            <v>1275</v>
          </cell>
          <cell r="F1200">
            <v>4.1000000000000002E-2</v>
          </cell>
        </row>
        <row r="1201">
          <cell r="A1201" t="str">
            <v>51746-10200800A0LF</v>
          </cell>
          <cell r="B1201" t="str">
            <v>51746-10200800A0LF Connector,PBVTR</v>
          </cell>
          <cell r="C1201">
            <v>2E-3</v>
          </cell>
          <cell r="D1201">
            <v>2975</v>
          </cell>
          <cell r="E1201">
            <v>8925</v>
          </cell>
          <cell r="F1201">
            <v>2.1000000000000001E-2</v>
          </cell>
        </row>
        <row r="1202">
          <cell r="A1202" t="str">
            <v>51746-10201600A0LF</v>
          </cell>
          <cell r="B1202" t="str">
            <v>51746-10201600A0LF PwrBlade VR</v>
          </cell>
          <cell r="C1202">
            <v>3.0000000000000001E-3</v>
          </cell>
          <cell r="D1202">
            <v>1983.3333333333333</v>
          </cell>
          <cell r="E1202">
            <v>5950</v>
          </cell>
          <cell r="F1202">
            <v>1.2465E-2</v>
          </cell>
        </row>
        <row r="1203">
          <cell r="A1203" t="str">
            <v>51746-10207200A0LF</v>
          </cell>
          <cell r="B1203" t="str">
            <v>51746-10207200A0LF Connector,PBVTR</v>
          </cell>
          <cell r="C1203">
            <v>7.0000000000000001E-3</v>
          </cell>
          <cell r="D1203">
            <v>850</v>
          </cell>
          <cell r="E1203">
            <v>2550</v>
          </cell>
          <cell r="F1203">
            <v>3.1E-2</v>
          </cell>
        </row>
        <row r="1204">
          <cell r="A1204" t="str">
            <v>51746-10300800A0LF</v>
          </cell>
          <cell r="B1204" t="str">
            <v>51746-10300800A0LF Connector,PBVTR</v>
          </cell>
          <cell r="C1204">
            <v>2E-3</v>
          </cell>
          <cell r="D1204">
            <v>2975</v>
          </cell>
          <cell r="E1204">
            <v>8925</v>
          </cell>
          <cell r="F1204">
            <v>2.3E-2</v>
          </cell>
        </row>
        <row r="1205">
          <cell r="A1205" t="str">
            <v>51746-10400800A0LF</v>
          </cell>
          <cell r="B1205" t="str">
            <v>51746-10400800A0LF Connector,PBVTR</v>
          </cell>
          <cell r="C1205">
            <v>2E-3</v>
          </cell>
          <cell r="D1205">
            <v>2975</v>
          </cell>
          <cell r="E1205">
            <v>8925</v>
          </cell>
          <cell r="F1205">
            <v>2.5000000000000001E-2</v>
          </cell>
        </row>
        <row r="1206">
          <cell r="A1206" t="str">
            <v>51746-10402400C0LF</v>
          </cell>
          <cell r="B1206" t="str">
            <v>51746-10402400C0LF Connector,PBVTR</v>
          </cell>
          <cell r="C1206">
            <v>3.0000000000000001E-3</v>
          </cell>
          <cell r="D1206">
            <v>1983.3333333333333</v>
          </cell>
          <cell r="E1206">
            <v>5950</v>
          </cell>
          <cell r="F1206">
            <v>2.3E-2</v>
          </cell>
        </row>
        <row r="1207">
          <cell r="A1207" t="str">
            <v>51746-10501200A0LF</v>
          </cell>
          <cell r="B1207" t="str">
            <v>51746-10501200A0LF Connector,PBVTR</v>
          </cell>
          <cell r="C1207">
            <v>7.9000000000000008E-3</v>
          </cell>
          <cell r="D1207">
            <v>753.16455696202524</v>
          </cell>
          <cell r="E1207">
            <v>2259.493670886076</v>
          </cell>
          <cell r="F1207">
            <v>2.1000000000000001E-2</v>
          </cell>
        </row>
        <row r="1208">
          <cell r="A1208" t="str">
            <v>51746-10503200A0LF</v>
          </cell>
          <cell r="B1208" t="str">
            <v>51746-10503200A0LF Connector,PBVTR</v>
          </cell>
          <cell r="C1208">
            <v>2.06E-2</v>
          </cell>
          <cell r="D1208">
            <v>288.8349514563107</v>
          </cell>
          <cell r="E1208">
            <v>866.50485436893211</v>
          </cell>
          <cell r="F1208">
            <v>2.4400000000000002E-2</v>
          </cell>
        </row>
        <row r="1209">
          <cell r="A1209" t="str">
            <v>51746-10505200A0LF</v>
          </cell>
          <cell r="B1209" t="str">
            <v>51746-10505200A0LF Connector,PBVTR</v>
          </cell>
          <cell r="C1209">
            <v>6.0000000000000001E-3</v>
          </cell>
          <cell r="D1209">
            <v>991.66666666666663</v>
          </cell>
          <cell r="E1209">
            <v>2975</v>
          </cell>
          <cell r="F1209">
            <v>2.7E-2</v>
          </cell>
        </row>
        <row r="1210">
          <cell r="A1210" t="str">
            <v>51746-10703200A0LF</v>
          </cell>
          <cell r="B1210" t="str">
            <v>51746-10703200A0LF Connector,PBVTR</v>
          </cell>
          <cell r="C1210">
            <v>8.0000000000000002E-3</v>
          </cell>
          <cell r="D1210">
            <v>743.75</v>
          </cell>
          <cell r="E1210">
            <v>2231.25</v>
          </cell>
          <cell r="F1210">
            <v>2.5999999999999999E-2</v>
          </cell>
        </row>
        <row r="1211">
          <cell r="A1211" t="str">
            <v>51746-10703200C0LF</v>
          </cell>
          <cell r="B1211" t="str">
            <v>51746-10703200C0LF Connector,PBVTR</v>
          </cell>
          <cell r="C1211">
            <v>1.2999999999999999E-2</v>
          </cell>
          <cell r="D1211">
            <v>457.69230769230774</v>
          </cell>
          <cell r="E1211">
            <v>1373.0769230769233</v>
          </cell>
          <cell r="F1211">
            <v>2.9000000000000001E-2</v>
          </cell>
        </row>
        <row r="1212">
          <cell r="A1212" t="str">
            <v>51746-11001200C0LF</v>
          </cell>
          <cell r="B1212" t="str">
            <v>51746-11001200C0LF Connector,PBVTR</v>
          </cell>
          <cell r="C1212">
            <v>2E-3</v>
          </cell>
          <cell r="D1212">
            <v>2975</v>
          </cell>
          <cell r="E1212">
            <v>8925</v>
          </cell>
          <cell r="F1212">
            <v>3.2000000000000001E-2</v>
          </cell>
        </row>
        <row r="1213">
          <cell r="A1213" t="str">
            <v>51747-10200000A0LF</v>
          </cell>
          <cell r="B1213" t="str">
            <v>51747-10200000A0LF Connector,PBVTR</v>
          </cell>
          <cell r="C1213">
            <v>6.1000000000000004E-3</v>
          </cell>
          <cell r="D1213">
            <v>975.4098360655737</v>
          </cell>
          <cell r="E1213">
            <v>2926.2295081967213</v>
          </cell>
          <cell r="F1213">
            <v>1.7999999999999999E-2</v>
          </cell>
        </row>
        <row r="1214">
          <cell r="A1214" t="str">
            <v>51747-10200000C0LF</v>
          </cell>
          <cell r="B1214" t="str">
            <v>51747-10200000C0LF Connector,PBVTR</v>
          </cell>
          <cell r="C1214">
            <v>6.1000000000000004E-3</v>
          </cell>
          <cell r="D1214">
            <v>975.4098360655737</v>
          </cell>
          <cell r="E1214">
            <v>2926.2295081967213</v>
          </cell>
          <cell r="F1214">
            <v>1.17E-2</v>
          </cell>
        </row>
        <row r="1215">
          <cell r="A1215" t="str">
            <v>51747-10300000A0LF</v>
          </cell>
          <cell r="B1215" t="str">
            <v>51747-10300000A0LF Connector,PBVTR</v>
          </cell>
          <cell r="C1215">
            <v>6.1000000000000004E-3</v>
          </cell>
          <cell r="D1215">
            <v>975.4098360655737</v>
          </cell>
          <cell r="E1215">
            <v>2926.2295081967213</v>
          </cell>
          <cell r="F1215">
            <v>1.7999999999999999E-2</v>
          </cell>
        </row>
        <row r="1216">
          <cell r="A1216" t="str">
            <v>51747-10400000A0LF</v>
          </cell>
          <cell r="B1216" t="str">
            <v>51747-10400000A0LF Connector,PBVTR</v>
          </cell>
          <cell r="C1216">
            <v>6.1000000000000004E-3</v>
          </cell>
          <cell r="D1216">
            <v>975.4098360655737</v>
          </cell>
          <cell r="E1216">
            <v>2926.2295081967213</v>
          </cell>
          <cell r="F1216">
            <v>2.1999999999999999E-2</v>
          </cell>
        </row>
        <row r="1217">
          <cell r="A1217" t="str">
            <v>51747-10400000C0LF</v>
          </cell>
          <cell r="B1217" t="str">
            <v>51747-10400000C0LF Connector,PBVTR</v>
          </cell>
          <cell r="C1217">
            <v>6.1000000000000004E-3</v>
          </cell>
          <cell r="D1217">
            <v>975.4098360655737</v>
          </cell>
          <cell r="E1217">
            <v>2926.2295081967213</v>
          </cell>
          <cell r="F1217">
            <v>2.1000000000000001E-2</v>
          </cell>
        </row>
        <row r="1218">
          <cell r="A1218" t="str">
            <v>51747-10900000A0LF</v>
          </cell>
          <cell r="B1218" t="str">
            <v>51747-10900000A0LF Connector,PBVTR</v>
          </cell>
          <cell r="C1218">
            <v>6.1000000000000004E-3</v>
          </cell>
          <cell r="D1218">
            <v>975.4098360655737</v>
          </cell>
          <cell r="E1218">
            <v>2926.2295081967213</v>
          </cell>
          <cell r="F1218">
            <v>2.8000000000000001E-2</v>
          </cell>
        </row>
        <row r="1219">
          <cell r="A1219" t="str">
            <v>51747-10900000C0LF</v>
          </cell>
          <cell r="B1219" t="str">
            <v>51747-10900000C0LF Connector,PBVTR</v>
          </cell>
          <cell r="C1219">
            <v>6.1000000000000004E-3</v>
          </cell>
          <cell r="D1219">
            <v>975.4098360655737</v>
          </cell>
          <cell r="E1219">
            <v>2926.2295081967213</v>
          </cell>
          <cell r="F1219">
            <v>2.8000000000000001E-2</v>
          </cell>
        </row>
        <row r="1220">
          <cell r="A1220" t="str">
            <v>51747-11100000A0LF</v>
          </cell>
          <cell r="B1220" t="str">
            <v>51747-11100000A0LF Connector,PBVTR</v>
          </cell>
          <cell r="C1220">
            <v>6.1000000000000004E-3</v>
          </cell>
          <cell r="D1220">
            <v>975.4098360655737</v>
          </cell>
          <cell r="E1220">
            <v>2926.2295081967213</v>
          </cell>
          <cell r="F1220">
            <v>2.7099999999999999E-2</v>
          </cell>
        </row>
        <row r="1221">
          <cell r="A1221" t="str">
            <v>51747-11100000C0LF</v>
          </cell>
          <cell r="B1221" t="str">
            <v>51747-11100000C0LF Connector,PBVTR</v>
          </cell>
          <cell r="C1221">
            <v>6.1000000000000004E-3</v>
          </cell>
          <cell r="D1221">
            <v>975.4098360655737</v>
          </cell>
          <cell r="E1221">
            <v>2926.2295081967213</v>
          </cell>
          <cell r="F1221">
            <v>2.9000000000000001E-2</v>
          </cell>
        </row>
        <row r="1222">
          <cell r="A1222" t="str">
            <v>51750-002LF</v>
          </cell>
          <cell r="B1222" t="str">
            <v>51750-002LF Connector,PBVTR</v>
          </cell>
          <cell r="C1222">
            <v>3.0000000000000001E-3</v>
          </cell>
          <cell r="D1222">
            <v>1983.3333333333333</v>
          </cell>
          <cell r="E1222">
            <v>5950</v>
          </cell>
          <cell r="F1222">
            <v>1.3299999999999999E-2</v>
          </cell>
        </row>
        <row r="1223">
          <cell r="A1223" t="str">
            <v>51750-008LF</v>
          </cell>
          <cell r="B1223" t="str">
            <v>51750-008LF Connector,PBVTR</v>
          </cell>
          <cell r="C1223">
            <v>3.0000000000000001E-3</v>
          </cell>
          <cell r="D1223">
            <v>1983.3333333333333</v>
          </cell>
          <cell r="E1223">
            <v>5950</v>
          </cell>
          <cell r="F1223">
            <v>1.83E-2</v>
          </cell>
        </row>
        <row r="1224">
          <cell r="A1224" t="str">
            <v>51750-011LF</v>
          </cell>
          <cell r="B1224" t="str">
            <v>51750-011LF Connector,PBVTR</v>
          </cell>
          <cell r="C1224">
            <v>3.0000000000000001E-3</v>
          </cell>
          <cell r="D1224">
            <v>1983.3333333333333</v>
          </cell>
          <cell r="E1224">
            <v>5950</v>
          </cell>
          <cell r="F1224">
            <v>1.21E-2</v>
          </cell>
        </row>
        <row r="1225">
          <cell r="A1225" t="str">
            <v>51750-014LF</v>
          </cell>
          <cell r="B1225" t="str">
            <v>51750-014LF Connector,PBVTR</v>
          </cell>
          <cell r="C1225">
            <v>5.0000000000000001E-3</v>
          </cell>
          <cell r="D1225">
            <v>1190</v>
          </cell>
          <cell r="E1225">
            <v>3570</v>
          </cell>
          <cell r="F1225">
            <v>2.1999999999999999E-2</v>
          </cell>
        </row>
        <row r="1226">
          <cell r="A1226" t="str">
            <v>51750-022LF</v>
          </cell>
          <cell r="B1226" t="str">
            <v>51750-022LF Connector,PBVTR</v>
          </cell>
          <cell r="C1226">
            <v>2E-3</v>
          </cell>
          <cell r="D1226">
            <v>2975</v>
          </cell>
          <cell r="E1226">
            <v>8925</v>
          </cell>
          <cell r="F1226">
            <v>2.5999999999999999E-2</v>
          </cell>
        </row>
        <row r="1227">
          <cell r="A1227" t="str">
            <v>51750-028LF</v>
          </cell>
          <cell r="B1227" t="str">
            <v>51750-028LF Connector,PBVTR</v>
          </cell>
          <cell r="C1227">
            <v>3.0000000000000001E-3</v>
          </cell>
          <cell r="D1227">
            <v>1983.3333333333333</v>
          </cell>
          <cell r="E1227">
            <v>5950</v>
          </cell>
          <cell r="F1227">
            <v>1.06E-2</v>
          </cell>
        </row>
        <row r="1228">
          <cell r="A1228" t="str">
            <v>51750-028PGSALF</v>
          </cell>
          <cell r="B1228" t="str">
            <v>51750-028PGSALF Connector,PBVTR</v>
          </cell>
          <cell r="C1228">
            <v>3.0000000000000001E-3</v>
          </cell>
          <cell r="D1228">
            <v>1983.3333333333333</v>
          </cell>
          <cell r="E1228">
            <v>5950</v>
          </cell>
          <cell r="F1228">
            <v>1.06E-2</v>
          </cell>
        </row>
        <row r="1229">
          <cell r="A1229" t="str">
            <v>51750-031LF</v>
          </cell>
          <cell r="B1229" t="str">
            <v>51750-031LF Connector,PBVTR</v>
          </cell>
          <cell r="C1229">
            <v>5.0000000000000001E-3</v>
          </cell>
          <cell r="D1229">
            <v>1190</v>
          </cell>
          <cell r="E1229">
            <v>3570</v>
          </cell>
          <cell r="F1229">
            <v>1.09E-2</v>
          </cell>
        </row>
        <row r="1230">
          <cell r="A1230" t="str">
            <v>51750-033LF</v>
          </cell>
          <cell r="B1230" t="str">
            <v>51750-033LF Connector,PBVTR</v>
          </cell>
          <cell r="C1230">
            <v>8.0000000000000002E-3</v>
          </cell>
          <cell r="D1230">
            <v>743.75</v>
          </cell>
          <cell r="E1230">
            <v>2231.25</v>
          </cell>
          <cell r="F1230">
            <v>3.4000000000000002E-2</v>
          </cell>
        </row>
        <row r="1231">
          <cell r="A1231" t="str">
            <v>51750-036LF</v>
          </cell>
          <cell r="B1231" t="str">
            <v>51750-036LF PwrBlade VR</v>
          </cell>
          <cell r="C1231">
            <v>3.0000000000000001E-3</v>
          </cell>
          <cell r="D1231">
            <v>1983.3333333333333</v>
          </cell>
          <cell r="E1231">
            <v>5950</v>
          </cell>
          <cell r="F1231">
            <v>8.7589999999999994E-3</v>
          </cell>
        </row>
        <row r="1232">
          <cell r="A1232" t="str">
            <v>51750-038LF</v>
          </cell>
          <cell r="B1232" t="str">
            <v>51750-038LF PwrBlade VR</v>
          </cell>
          <cell r="C1232">
            <v>3.0000000000000001E-3</v>
          </cell>
          <cell r="D1232">
            <v>1983.3333333333333</v>
          </cell>
          <cell r="E1232">
            <v>5950</v>
          </cell>
          <cell r="F1232">
            <v>1.2214236999999999E-2</v>
          </cell>
        </row>
        <row r="1233">
          <cell r="A1233" t="str">
            <v>51750-043LF</v>
          </cell>
          <cell r="B1233" t="str">
            <v>51750-043LF Connector,PBVTR</v>
          </cell>
          <cell r="C1233">
            <v>5.0000000000000001E-3</v>
          </cell>
          <cell r="D1233">
            <v>1190</v>
          </cell>
          <cell r="E1233">
            <v>3570</v>
          </cell>
          <cell r="F1233">
            <v>2.7E-2</v>
          </cell>
        </row>
        <row r="1234">
          <cell r="A1234" t="str">
            <v>51750-044LF</v>
          </cell>
          <cell r="B1234" t="str">
            <v>51750-044LF Connector,PBVTR</v>
          </cell>
          <cell r="C1234">
            <v>5.0000000000000001E-3</v>
          </cell>
          <cell r="D1234">
            <v>1190</v>
          </cell>
          <cell r="E1234">
            <v>3570</v>
          </cell>
          <cell r="F1234">
            <v>2.4E-2</v>
          </cell>
        </row>
        <row r="1235">
          <cell r="A1235" t="str">
            <v>51750-046LF</v>
          </cell>
          <cell r="B1235" t="str">
            <v>51750-046LF Connector,PBVTR</v>
          </cell>
          <cell r="C1235">
            <v>3.0000000000000001E-3</v>
          </cell>
          <cell r="D1235">
            <v>1983.3333333333333</v>
          </cell>
          <cell r="E1235">
            <v>5950</v>
          </cell>
          <cell r="F1235">
            <v>3.7999999999999999E-2</v>
          </cell>
        </row>
        <row r="1236">
          <cell r="A1236" t="str">
            <v>51750-047LF</v>
          </cell>
          <cell r="B1236" t="str">
            <v>51750-047LF Connector,PBVTR</v>
          </cell>
          <cell r="C1236">
            <v>3.0000000000000001E-3</v>
          </cell>
          <cell r="D1236">
            <v>1983.3333333333333</v>
          </cell>
          <cell r="E1236">
            <v>5950</v>
          </cell>
          <cell r="F1236">
            <v>2.5000000000000001E-2</v>
          </cell>
        </row>
        <row r="1237">
          <cell r="A1237" t="str">
            <v>51750-048LF</v>
          </cell>
          <cell r="B1237" t="str">
            <v>51750-048LF Connector,PBVTR</v>
          </cell>
          <cell r="C1237">
            <v>2E-3</v>
          </cell>
          <cell r="D1237">
            <v>2975</v>
          </cell>
          <cell r="E1237">
            <v>8925</v>
          </cell>
          <cell r="F1237">
            <v>1.41E-2</v>
          </cell>
        </row>
        <row r="1238">
          <cell r="A1238" t="str">
            <v>51750-049LF</v>
          </cell>
          <cell r="B1238" t="str">
            <v>51750-049LF Connector,PBVTR</v>
          </cell>
          <cell r="C1238">
            <v>5.0000000000000001E-3</v>
          </cell>
          <cell r="D1238">
            <v>1190</v>
          </cell>
          <cell r="E1238">
            <v>3570</v>
          </cell>
          <cell r="F1238">
            <v>3.5999999999999997E-2</v>
          </cell>
        </row>
        <row r="1239">
          <cell r="A1239" t="str">
            <v>51750-052LF</v>
          </cell>
          <cell r="B1239" t="str">
            <v>51750-052LF Connector,PBVTR</v>
          </cell>
          <cell r="C1239">
            <v>8.0000000000000002E-3</v>
          </cell>
          <cell r="D1239">
            <v>743.75</v>
          </cell>
          <cell r="E1239">
            <v>2231.25</v>
          </cell>
          <cell r="F1239">
            <v>1.4200000000000001E-2</v>
          </cell>
        </row>
        <row r="1240">
          <cell r="A1240" t="str">
            <v>51750-056LF</v>
          </cell>
          <cell r="B1240" t="str">
            <v>51750-056LF Connector,PBVTR</v>
          </cell>
          <cell r="C1240">
            <v>6.0000000000000001E-3</v>
          </cell>
          <cell r="D1240">
            <v>991.66666666666663</v>
          </cell>
          <cell r="E1240">
            <v>2975</v>
          </cell>
          <cell r="F1240">
            <v>3.9E-2</v>
          </cell>
        </row>
        <row r="1241">
          <cell r="A1241" t="str">
            <v>51750-057LF</v>
          </cell>
          <cell r="B1241" t="str">
            <v>51750-057LF Connector,PBVTR</v>
          </cell>
          <cell r="C1241">
            <v>5.0000000000000001E-3</v>
          </cell>
          <cell r="D1241">
            <v>1190</v>
          </cell>
          <cell r="E1241">
            <v>3570</v>
          </cell>
          <cell r="F1241">
            <v>2.8000000000000001E-2</v>
          </cell>
        </row>
        <row r="1242">
          <cell r="A1242" t="str">
            <v>51750-059LF</v>
          </cell>
          <cell r="B1242" t="str">
            <v>51750-059LF Connector,PBVTR</v>
          </cell>
          <cell r="C1242">
            <v>3.0000000000000001E-3</v>
          </cell>
          <cell r="D1242">
            <v>1983.3333333333333</v>
          </cell>
          <cell r="E1242">
            <v>5950</v>
          </cell>
          <cell r="F1242">
            <v>1.2500000000000001E-2</v>
          </cell>
        </row>
        <row r="1243">
          <cell r="A1243" t="str">
            <v>51750-062LF</v>
          </cell>
          <cell r="B1243" t="str">
            <v>51750-062LF Connector,PBVTR</v>
          </cell>
          <cell r="C1243">
            <v>4.0000000000000001E-3</v>
          </cell>
          <cell r="D1243">
            <v>1487.5</v>
          </cell>
          <cell r="E1243">
            <v>4462.5</v>
          </cell>
          <cell r="F1243">
            <v>1.8100000000000002E-2</v>
          </cell>
        </row>
        <row r="1244">
          <cell r="A1244" t="str">
            <v>51750-066LF</v>
          </cell>
          <cell r="B1244" t="str">
            <v>51750-066LF PwrBlade VR PF</v>
          </cell>
          <cell r="C1244">
            <v>3.0000000000000001E-3</v>
          </cell>
          <cell r="D1244">
            <v>1983.3333333333333</v>
          </cell>
          <cell r="E1244">
            <v>5950</v>
          </cell>
          <cell r="F1244">
            <v>2.5000000000000001E-2</v>
          </cell>
        </row>
        <row r="1245">
          <cell r="A1245" t="str">
            <v>51750-067LF</v>
          </cell>
          <cell r="B1245" t="str">
            <v>51750-067LF Connector,PBVTR</v>
          </cell>
          <cell r="C1245">
            <v>3.0000000000000001E-3</v>
          </cell>
          <cell r="D1245">
            <v>1983.3333333333333</v>
          </cell>
          <cell r="E1245">
            <v>5950</v>
          </cell>
          <cell r="F1245">
            <v>2.3E-2</v>
          </cell>
        </row>
        <row r="1246">
          <cell r="A1246" t="str">
            <v>51750-070LF</v>
          </cell>
          <cell r="B1246" t="str">
            <v>51750-070LF Connector,PBVTR</v>
          </cell>
          <cell r="C1246">
            <v>4.0000000000000001E-3</v>
          </cell>
          <cell r="D1246">
            <v>1487.5</v>
          </cell>
          <cell r="E1246">
            <v>4462.5</v>
          </cell>
          <cell r="F1246">
            <v>1.21E-2</v>
          </cell>
        </row>
        <row r="1247">
          <cell r="A1247" t="str">
            <v>51750-071LF</v>
          </cell>
          <cell r="B1247" t="str">
            <v>51750-071LF Connector,PBVTR</v>
          </cell>
          <cell r="C1247">
            <v>2E-3</v>
          </cell>
          <cell r="D1247">
            <v>2975</v>
          </cell>
          <cell r="E1247">
            <v>8925</v>
          </cell>
          <cell r="F1247">
            <v>2.3E-2</v>
          </cell>
        </row>
        <row r="1248">
          <cell r="A1248" t="str">
            <v>51750-072LF</v>
          </cell>
          <cell r="B1248" t="str">
            <v>51750-072LF Connector,PBVTR</v>
          </cell>
          <cell r="C1248">
            <v>3.0000000000000001E-3</v>
          </cell>
          <cell r="D1248">
            <v>1983.3333333333333</v>
          </cell>
          <cell r="E1248">
            <v>5950</v>
          </cell>
          <cell r="F1248">
            <v>2.1999999999999999E-2</v>
          </cell>
        </row>
        <row r="1249">
          <cell r="A1249" t="str">
            <v>51750-073LF</v>
          </cell>
          <cell r="B1249" t="str">
            <v>51750-073LF Connector,PBVTR</v>
          </cell>
          <cell r="C1249">
            <v>3.0000000000000001E-3</v>
          </cell>
          <cell r="D1249">
            <v>1983.3333333333333</v>
          </cell>
          <cell r="E1249">
            <v>5950</v>
          </cell>
          <cell r="F1249">
            <v>1.3899999999999999E-2</v>
          </cell>
        </row>
        <row r="1250">
          <cell r="A1250" t="str">
            <v>51750-075LF</v>
          </cell>
          <cell r="B1250" t="str">
            <v>51750-075LF Connector,PBVTR</v>
          </cell>
          <cell r="C1250">
            <v>3.0000000000000001E-3</v>
          </cell>
          <cell r="D1250">
            <v>1983.3333333333333</v>
          </cell>
          <cell r="E1250">
            <v>5950</v>
          </cell>
          <cell r="F1250">
            <v>2.5000000000000001E-2</v>
          </cell>
        </row>
        <row r="1251">
          <cell r="A1251" t="str">
            <v>51750-077LF</v>
          </cell>
          <cell r="B1251" t="str">
            <v>51750-077LF Connector,PBVTR</v>
          </cell>
          <cell r="C1251">
            <v>3.0000000000000001E-3</v>
          </cell>
          <cell r="D1251">
            <v>1983.3333333333333</v>
          </cell>
          <cell r="E1251">
            <v>5950</v>
          </cell>
          <cell r="F1251">
            <v>7.7999999999999996E-3</v>
          </cell>
        </row>
        <row r="1252">
          <cell r="A1252" t="str">
            <v>51750-078LF</v>
          </cell>
          <cell r="B1252" t="str">
            <v>51750-078LF Connector,PBVTR</v>
          </cell>
          <cell r="C1252">
            <v>3.0000000000000001E-3</v>
          </cell>
          <cell r="D1252">
            <v>1983.3333333333333</v>
          </cell>
          <cell r="E1252">
            <v>5950</v>
          </cell>
          <cell r="F1252">
            <v>1.8800000000000001E-2</v>
          </cell>
        </row>
        <row r="1253">
          <cell r="A1253" t="str">
            <v>51750-079LF</v>
          </cell>
          <cell r="B1253" t="str">
            <v>51750-079LF Connector,PBVTR</v>
          </cell>
          <cell r="C1253">
            <v>3.0000000000000001E-3</v>
          </cell>
          <cell r="D1253">
            <v>1983.3333333333333</v>
          </cell>
          <cell r="E1253">
            <v>5950</v>
          </cell>
          <cell r="F1253">
            <v>1.2999999999999999E-2</v>
          </cell>
        </row>
        <row r="1254">
          <cell r="A1254" t="str">
            <v>51750-080LF</v>
          </cell>
          <cell r="B1254" t="str">
            <v>51750-080LF Connector,PBVTR</v>
          </cell>
          <cell r="C1254">
            <v>3.0000000000000001E-3</v>
          </cell>
          <cell r="D1254">
            <v>1983.3333333333333</v>
          </cell>
          <cell r="E1254">
            <v>5950</v>
          </cell>
          <cell r="F1254">
            <v>2.8000000000000001E-2</v>
          </cell>
        </row>
        <row r="1255">
          <cell r="A1255" t="str">
            <v>51750-081LF</v>
          </cell>
          <cell r="B1255" t="str">
            <v>51750-081LF Connector,PBVTR</v>
          </cell>
          <cell r="C1255">
            <v>4.0000000000000001E-3</v>
          </cell>
          <cell r="D1255">
            <v>1487.5</v>
          </cell>
          <cell r="E1255">
            <v>4462.5</v>
          </cell>
          <cell r="F1255">
            <v>3.1E-2</v>
          </cell>
        </row>
        <row r="1256">
          <cell r="A1256" t="str">
            <v>51750-083LF</v>
          </cell>
          <cell r="B1256" t="str">
            <v>51750-083LF Connector,PBVTR</v>
          </cell>
          <cell r="C1256">
            <v>3.0000000000000001E-3</v>
          </cell>
          <cell r="D1256">
            <v>1983.3333333333333</v>
          </cell>
          <cell r="E1256">
            <v>5950</v>
          </cell>
          <cell r="F1256">
            <v>2.12E-2</v>
          </cell>
        </row>
        <row r="1257">
          <cell r="A1257" t="str">
            <v>51750-084LF</v>
          </cell>
          <cell r="B1257" t="str">
            <v>51750-084LF PwrBlade VR</v>
          </cell>
          <cell r="C1257">
            <v>3.0000000000000001E-3</v>
          </cell>
          <cell r="D1257">
            <v>1983.3333333333333</v>
          </cell>
          <cell r="E1257">
            <v>5950</v>
          </cell>
          <cell r="F1257">
            <v>3.4000000000000002E-2</v>
          </cell>
        </row>
        <row r="1258">
          <cell r="A1258" t="str">
            <v>51750-089LF</v>
          </cell>
          <cell r="B1258" t="str">
            <v>51750-089LF Connector,PBVTR</v>
          </cell>
          <cell r="C1258">
            <v>3.0000000000000001E-3</v>
          </cell>
          <cell r="D1258">
            <v>1983.3333333333333</v>
          </cell>
          <cell r="E1258">
            <v>5950</v>
          </cell>
          <cell r="F1258">
            <v>2.4199999999999999E-2</v>
          </cell>
        </row>
        <row r="1259">
          <cell r="A1259" t="str">
            <v>51750-089PGSALF</v>
          </cell>
          <cell r="B1259" t="str">
            <v>51750-089PGSALF Connector,PBVTR</v>
          </cell>
          <cell r="C1259">
            <v>3.0000000000000001E-3</v>
          </cell>
          <cell r="D1259">
            <v>1983.3333333333333</v>
          </cell>
          <cell r="E1259">
            <v>5950</v>
          </cell>
          <cell r="F1259">
            <v>2.1999999999999999E-2</v>
          </cell>
        </row>
        <row r="1260">
          <cell r="A1260" t="str">
            <v>51750-092LF</v>
          </cell>
          <cell r="B1260" t="str">
            <v>51750-092LF Connector,PBVTR</v>
          </cell>
          <cell r="C1260">
            <v>4.0000000000000001E-3</v>
          </cell>
          <cell r="D1260">
            <v>1487.5</v>
          </cell>
          <cell r="E1260">
            <v>4462.5</v>
          </cell>
          <cell r="F1260">
            <v>2.4E-2</v>
          </cell>
        </row>
        <row r="1261">
          <cell r="A1261" t="str">
            <v>51750-095LF</v>
          </cell>
          <cell r="B1261" t="str">
            <v>51750-095LF Connector,PBVTR</v>
          </cell>
          <cell r="C1261">
            <v>3.0000000000000001E-3</v>
          </cell>
          <cell r="D1261">
            <v>1983.3333333333333</v>
          </cell>
          <cell r="E1261">
            <v>5950</v>
          </cell>
          <cell r="F1261">
            <v>2.8000000000000001E-2</v>
          </cell>
        </row>
        <row r="1262">
          <cell r="A1262" t="str">
            <v>51750-096LF</v>
          </cell>
          <cell r="B1262" t="str">
            <v>51750-096LF Connector,PBVTR</v>
          </cell>
          <cell r="C1262">
            <v>3.0000000000000001E-3</v>
          </cell>
          <cell r="D1262">
            <v>1983.3333333333333</v>
          </cell>
          <cell r="E1262">
            <v>5950</v>
          </cell>
          <cell r="F1262">
            <v>2.8000000000000001E-2</v>
          </cell>
        </row>
        <row r="1263">
          <cell r="A1263" t="str">
            <v>51750-097LF</v>
          </cell>
          <cell r="B1263" t="str">
            <v>51750-097LF Connector,PBVTR</v>
          </cell>
          <cell r="C1263">
            <v>2E-3</v>
          </cell>
          <cell r="D1263">
            <v>2975</v>
          </cell>
          <cell r="E1263">
            <v>8925</v>
          </cell>
          <cell r="F1263">
            <v>2.3E-2</v>
          </cell>
        </row>
        <row r="1264">
          <cell r="A1264" t="str">
            <v>51750-098LF</v>
          </cell>
          <cell r="B1264" t="str">
            <v>51750-098LF Connector,PBVTR</v>
          </cell>
          <cell r="C1264">
            <v>3.0000000000000001E-3</v>
          </cell>
          <cell r="D1264">
            <v>1983.3333333333333</v>
          </cell>
          <cell r="E1264">
            <v>5950</v>
          </cell>
          <cell r="F1264">
            <v>2.9000000000000001E-2</v>
          </cell>
        </row>
        <row r="1265">
          <cell r="A1265" t="str">
            <v>51750-101LF</v>
          </cell>
          <cell r="B1265" t="str">
            <v>51750-101LF Connector,PBVTR</v>
          </cell>
          <cell r="C1265">
            <v>2E-3</v>
          </cell>
          <cell r="D1265">
            <v>2975</v>
          </cell>
          <cell r="E1265">
            <v>8925</v>
          </cell>
          <cell r="F1265">
            <v>2.7E-2</v>
          </cell>
        </row>
        <row r="1266">
          <cell r="A1266" t="str">
            <v>51750-102LF</v>
          </cell>
          <cell r="B1266" t="str">
            <v>51750-102LF Connector,PBVTR</v>
          </cell>
          <cell r="C1266">
            <v>3.0000000000000001E-3</v>
          </cell>
          <cell r="D1266">
            <v>1983.3333333333333</v>
          </cell>
          <cell r="E1266">
            <v>5950</v>
          </cell>
          <cell r="F1266">
            <v>0.03</v>
          </cell>
        </row>
        <row r="1267">
          <cell r="A1267" t="str">
            <v>51750-104LF</v>
          </cell>
          <cell r="B1267" t="str">
            <v>51750-104LF PwrBlade VTR</v>
          </cell>
          <cell r="C1267">
            <v>7.0000000000000001E-3</v>
          </cell>
          <cell r="D1267">
            <v>850</v>
          </cell>
          <cell r="E1267">
            <v>2550</v>
          </cell>
          <cell r="F1267">
            <v>0.04</v>
          </cell>
        </row>
        <row r="1268">
          <cell r="A1268" t="str">
            <v>51750-105LF</v>
          </cell>
          <cell r="B1268" t="str">
            <v>51750-105LF Connector,PBVTR</v>
          </cell>
          <cell r="C1268">
            <v>3.0000000000000001E-3</v>
          </cell>
          <cell r="D1268">
            <v>1983.3333333333333</v>
          </cell>
          <cell r="E1268">
            <v>5950</v>
          </cell>
          <cell r="F1268">
            <v>2.3400000000000001E-2</v>
          </cell>
        </row>
        <row r="1269">
          <cell r="A1269" t="str">
            <v>51750-106LF</v>
          </cell>
          <cell r="B1269" t="str">
            <v>51750-106LF Connector,PBVTR</v>
          </cell>
          <cell r="C1269">
            <v>3.0000000000000001E-3</v>
          </cell>
          <cell r="D1269">
            <v>1983.3333333333333</v>
          </cell>
          <cell r="E1269">
            <v>5950</v>
          </cell>
          <cell r="F1269">
            <v>2.8000000000000001E-2</v>
          </cell>
        </row>
        <row r="1270">
          <cell r="A1270" t="str">
            <v>51750-108LF</v>
          </cell>
          <cell r="B1270" t="str">
            <v>51750-108LF Connector,PBVTR</v>
          </cell>
          <cell r="C1270">
            <v>2E-3</v>
          </cell>
          <cell r="D1270">
            <v>2975</v>
          </cell>
          <cell r="E1270">
            <v>8925</v>
          </cell>
          <cell r="F1270">
            <v>2.5999999999999999E-2</v>
          </cell>
        </row>
        <row r="1271">
          <cell r="A1271" t="str">
            <v>51750-109LF</v>
          </cell>
          <cell r="B1271" t="str">
            <v>51750-109LF Connector,PBVTR</v>
          </cell>
          <cell r="C1271">
            <v>3.0000000000000001E-3</v>
          </cell>
          <cell r="D1271">
            <v>1983.3333333333333</v>
          </cell>
          <cell r="E1271">
            <v>5950</v>
          </cell>
          <cell r="F1271">
            <v>3.3000000000000002E-2</v>
          </cell>
        </row>
        <row r="1272">
          <cell r="A1272" t="str">
            <v>51750-110LF</v>
          </cell>
          <cell r="B1272" t="str">
            <v>51750-110LF Connector,PBVTR</v>
          </cell>
          <cell r="C1272">
            <v>3.0000000000000001E-3</v>
          </cell>
          <cell r="D1272">
            <v>1983.3333333333333</v>
          </cell>
          <cell r="E1272">
            <v>5950</v>
          </cell>
          <cell r="F1272">
            <v>3.2000000000000001E-2</v>
          </cell>
        </row>
        <row r="1273">
          <cell r="A1273" t="str">
            <v>51750-111LF</v>
          </cell>
          <cell r="B1273" t="str">
            <v>51750-111LF Connector,PBVTR</v>
          </cell>
          <cell r="C1273">
            <v>4.0000000000000001E-3</v>
          </cell>
          <cell r="D1273">
            <v>1487.5</v>
          </cell>
          <cell r="E1273">
            <v>4462.5</v>
          </cell>
          <cell r="F1273">
            <v>3.3000000000000002E-2</v>
          </cell>
        </row>
        <row r="1274">
          <cell r="A1274" t="str">
            <v>51750-112LF</v>
          </cell>
          <cell r="B1274" t="str">
            <v>51750-112LF PwrBlade VR</v>
          </cell>
          <cell r="C1274">
            <v>6.0000000000000001E-3</v>
          </cell>
          <cell r="D1274">
            <v>991.66666666666663</v>
          </cell>
          <cell r="E1274">
            <v>2975</v>
          </cell>
          <cell r="F1274">
            <v>3.4000000000000002E-2</v>
          </cell>
        </row>
        <row r="1275">
          <cell r="A1275" t="str">
            <v>51750-114LF</v>
          </cell>
          <cell r="B1275" t="str">
            <v>51750-114LF Connector,PBVTR</v>
          </cell>
          <cell r="C1275">
            <v>3.0000000000000001E-3</v>
          </cell>
          <cell r="D1275">
            <v>1983.3333333333333</v>
          </cell>
          <cell r="E1275">
            <v>5950</v>
          </cell>
          <cell r="F1275">
            <v>2.4E-2</v>
          </cell>
        </row>
        <row r="1276">
          <cell r="A1276" t="str">
            <v>51750-115LF</v>
          </cell>
          <cell r="B1276" t="str">
            <v>51750-115LF PwrBlade VR</v>
          </cell>
          <cell r="C1276">
            <v>3.0000000000000001E-3</v>
          </cell>
          <cell r="D1276">
            <v>1983.3333333333333</v>
          </cell>
          <cell r="E1276">
            <v>5950</v>
          </cell>
          <cell r="F1276">
            <v>2.5999999999999999E-2</v>
          </cell>
        </row>
        <row r="1277">
          <cell r="A1277" t="str">
            <v>51750-116LF</v>
          </cell>
          <cell r="B1277" t="str">
            <v>51750-116LF Connector,PBVTR</v>
          </cell>
          <cell r="C1277">
            <v>3.0000000000000001E-3</v>
          </cell>
          <cell r="D1277">
            <v>1983.3333333333333</v>
          </cell>
          <cell r="E1277">
            <v>5950</v>
          </cell>
          <cell r="F1277">
            <v>2.5000000000000001E-2</v>
          </cell>
        </row>
        <row r="1278">
          <cell r="A1278" t="str">
            <v>51750-118LF</v>
          </cell>
          <cell r="B1278" t="str">
            <v>51750-118LF Connector,PBVTR</v>
          </cell>
          <cell r="C1278">
            <v>3.0000000000000001E-3</v>
          </cell>
          <cell r="D1278">
            <v>1983.3333333333333</v>
          </cell>
          <cell r="E1278">
            <v>5950</v>
          </cell>
          <cell r="F1278">
            <v>2.5000000000000001E-2</v>
          </cell>
        </row>
        <row r="1279">
          <cell r="A1279" t="str">
            <v>51750-119LF</v>
          </cell>
          <cell r="B1279" t="str">
            <v>51750-119LF Connector,PBVTR</v>
          </cell>
          <cell r="C1279">
            <v>5.0000000000000001E-3</v>
          </cell>
          <cell r="D1279">
            <v>1190</v>
          </cell>
          <cell r="E1279">
            <v>3570</v>
          </cell>
          <cell r="F1279">
            <v>0.06</v>
          </cell>
        </row>
        <row r="1280">
          <cell r="A1280" t="str">
            <v>51750-121LF</v>
          </cell>
          <cell r="B1280" t="str">
            <v>51750-121LF Connector,PBVTR</v>
          </cell>
          <cell r="C1280">
            <v>2E-3</v>
          </cell>
          <cell r="D1280">
            <v>2975</v>
          </cell>
          <cell r="E1280">
            <v>8925</v>
          </cell>
          <cell r="F1280">
            <v>0.03</v>
          </cell>
        </row>
        <row r="1281">
          <cell r="A1281" t="str">
            <v>51750-122LF</v>
          </cell>
          <cell r="B1281" t="str">
            <v>51750-122LF Connector,PBVTR</v>
          </cell>
          <cell r="C1281">
            <v>3.0000000000000001E-3</v>
          </cell>
          <cell r="D1281">
            <v>1983.3333333333333</v>
          </cell>
          <cell r="E1281">
            <v>5950</v>
          </cell>
          <cell r="F1281">
            <v>2.5999999999999999E-2</v>
          </cell>
        </row>
        <row r="1282">
          <cell r="A1282" t="str">
            <v>51750-133LF</v>
          </cell>
          <cell r="B1282" t="str">
            <v>51750-133LF Connector,PBVTR</v>
          </cell>
          <cell r="C1282">
            <v>2E-3</v>
          </cell>
          <cell r="D1282">
            <v>2975</v>
          </cell>
          <cell r="E1282">
            <v>8925</v>
          </cell>
          <cell r="F1282">
            <v>2.1999999999999999E-2</v>
          </cell>
        </row>
        <row r="1283">
          <cell r="A1283" t="str">
            <v>51750-134LF</v>
          </cell>
          <cell r="B1283" t="str">
            <v>51750-134LF Connector,PBVTR</v>
          </cell>
          <cell r="C1283">
            <v>5.0000000000000001E-3</v>
          </cell>
          <cell r="D1283">
            <v>1190</v>
          </cell>
          <cell r="E1283">
            <v>3570</v>
          </cell>
          <cell r="F1283">
            <v>0.03</v>
          </cell>
        </row>
        <row r="1284">
          <cell r="A1284" t="str">
            <v>51750-135LF</v>
          </cell>
          <cell r="B1284" t="str">
            <v>51750-135LF Connector,PBVTR</v>
          </cell>
          <cell r="C1284">
            <v>3.0000000000000001E-3</v>
          </cell>
          <cell r="D1284">
            <v>1983.3333333333333</v>
          </cell>
          <cell r="E1284">
            <v>5950</v>
          </cell>
          <cell r="F1284">
            <v>2.5000000000000001E-2</v>
          </cell>
        </row>
        <row r="1285">
          <cell r="A1285" t="str">
            <v>51750-136LF</v>
          </cell>
          <cell r="B1285" t="str">
            <v>51750-136LF PwrBlade VTR</v>
          </cell>
          <cell r="C1285">
            <v>2.7271999999999999E-3</v>
          </cell>
          <cell r="D1285">
            <v>2181.7248459958932</v>
          </cell>
          <cell r="E1285">
            <v>6545.1745379876793</v>
          </cell>
          <cell r="F1285">
            <v>1.0717783E-2</v>
          </cell>
        </row>
        <row r="1286">
          <cell r="A1286" t="str">
            <v>51750-137LF</v>
          </cell>
          <cell r="B1286" t="str">
            <v>51750-137LF PwrBlade VR</v>
          </cell>
          <cell r="C1286">
            <v>3.0000000000000001E-3</v>
          </cell>
          <cell r="D1286">
            <v>1983.3333333333333</v>
          </cell>
          <cell r="E1286">
            <v>5950</v>
          </cell>
          <cell r="F1286">
            <v>2.1999999999999999E-2</v>
          </cell>
        </row>
        <row r="1287">
          <cell r="A1287" t="str">
            <v>51750-141LF</v>
          </cell>
          <cell r="B1287" t="str">
            <v>51750-141LF Connector,PBVTR</v>
          </cell>
          <cell r="C1287">
            <v>6.1000000000000004E-3</v>
          </cell>
          <cell r="D1287">
            <v>975.4098360655737</v>
          </cell>
          <cell r="E1287">
            <v>2926.2295081967213</v>
          </cell>
          <cell r="F1287">
            <v>0.02</v>
          </cell>
        </row>
        <row r="1288">
          <cell r="A1288" t="str">
            <v>51750-143LF</v>
          </cell>
          <cell r="B1288" t="str">
            <v>51750-143LF Connector,PBVTR</v>
          </cell>
          <cell r="C1288">
            <v>2E-3</v>
          </cell>
          <cell r="D1288">
            <v>2975</v>
          </cell>
          <cell r="E1288">
            <v>8925</v>
          </cell>
          <cell r="F1288">
            <v>2.3E-2</v>
          </cell>
        </row>
        <row r="1289">
          <cell r="A1289" t="str">
            <v>51750-145LF</v>
          </cell>
          <cell r="B1289" t="str">
            <v>51750-145LF Connector,PBVTR</v>
          </cell>
          <cell r="C1289">
            <v>2E-3</v>
          </cell>
          <cell r="D1289">
            <v>2975</v>
          </cell>
          <cell r="E1289">
            <v>8925</v>
          </cell>
          <cell r="F1289">
            <v>2.3E-2</v>
          </cell>
        </row>
        <row r="1290">
          <cell r="A1290" t="str">
            <v>51750-146LF</v>
          </cell>
          <cell r="B1290" t="str">
            <v>51750-146LF Connector,PBVTR</v>
          </cell>
          <cell r="C1290">
            <v>2E-3</v>
          </cell>
          <cell r="D1290">
            <v>2975</v>
          </cell>
          <cell r="E1290">
            <v>8925</v>
          </cell>
          <cell r="F1290">
            <v>2.5000000000000001E-2</v>
          </cell>
        </row>
        <row r="1291">
          <cell r="A1291" t="str">
            <v>51750-147LF</v>
          </cell>
          <cell r="B1291" t="str">
            <v>51750-147LF Connector,PBVTR</v>
          </cell>
          <cell r="C1291">
            <v>2E-3</v>
          </cell>
          <cell r="D1291">
            <v>2975</v>
          </cell>
          <cell r="E1291">
            <v>8925</v>
          </cell>
          <cell r="F1291">
            <v>2.5000000000000001E-2</v>
          </cell>
        </row>
        <row r="1292">
          <cell r="A1292" t="str">
            <v>51750-148LF</v>
          </cell>
          <cell r="B1292" t="str">
            <v>51750-148LF Connector,PBVTR</v>
          </cell>
          <cell r="C1292">
            <v>2E-3</v>
          </cell>
          <cell r="D1292">
            <v>2975</v>
          </cell>
          <cell r="E1292">
            <v>8925</v>
          </cell>
          <cell r="F1292">
            <v>2.5000000000000001E-2</v>
          </cell>
        </row>
        <row r="1293">
          <cell r="A1293" t="str">
            <v>51750-149LF</v>
          </cell>
          <cell r="B1293" t="str">
            <v>51750-149LF Connector,PBVTR</v>
          </cell>
          <cell r="C1293">
            <v>6.1000000000000004E-3</v>
          </cell>
          <cell r="D1293">
            <v>975.4098360655737</v>
          </cell>
          <cell r="E1293">
            <v>2926.2295081967213</v>
          </cell>
          <cell r="F1293">
            <v>2.1000000000000001E-2</v>
          </cell>
        </row>
        <row r="1294">
          <cell r="A1294" t="str">
            <v>51750-150LF</v>
          </cell>
          <cell r="B1294" t="str">
            <v>51750-150LF Connector,PBVTR</v>
          </cell>
          <cell r="C1294">
            <v>2E-3</v>
          </cell>
          <cell r="D1294">
            <v>2975</v>
          </cell>
          <cell r="E1294">
            <v>8925</v>
          </cell>
          <cell r="F1294">
            <v>2.5000000000000001E-2</v>
          </cell>
        </row>
        <row r="1295">
          <cell r="A1295" t="str">
            <v>51750-151LF</v>
          </cell>
          <cell r="B1295" t="str">
            <v>51750-151LF Connector,PBVTR</v>
          </cell>
          <cell r="C1295">
            <v>2E-3</v>
          </cell>
          <cell r="D1295">
            <v>2975</v>
          </cell>
          <cell r="E1295">
            <v>8925</v>
          </cell>
          <cell r="F1295">
            <v>2.5000000000000001E-2</v>
          </cell>
        </row>
        <row r="1296">
          <cell r="A1296" t="str">
            <v>51750-152LF</v>
          </cell>
          <cell r="B1296" t="str">
            <v>51750-152LF Connector,PBVTR</v>
          </cell>
          <cell r="C1296">
            <v>2E-3</v>
          </cell>
          <cell r="D1296">
            <v>2975</v>
          </cell>
          <cell r="E1296">
            <v>8925</v>
          </cell>
          <cell r="F1296">
            <v>2.5000000000000001E-2</v>
          </cell>
        </row>
        <row r="1297">
          <cell r="A1297" t="str">
            <v>51751-007LF</v>
          </cell>
          <cell r="B1297" t="str">
            <v>51751-007LF Connector,PBVTR</v>
          </cell>
          <cell r="C1297">
            <v>4.0000000000000001E-3</v>
          </cell>
          <cell r="D1297">
            <v>1487.5</v>
          </cell>
          <cell r="E1297">
            <v>4462.5</v>
          </cell>
          <cell r="F1297">
            <v>3.4000000000000002E-2</v>
          </cell>
        </row>
        <row r="1298">
          <cell r="A1298" t="str">
            <v>51751-011LF</v>
          </cell>
          <cell r="B1298" t="str">
            <v>51751-011LF PwrBlade VR</v>
          </cell>
          <cell r="C1298">
            <v>4.0000000000000001E-3</v>
          </cell>
          <cell r="D1298">
            <v>1487.5</v>
          </cell>
          <cell r="E1298">
            <v>4462.5</v>
          </cell>
          <cell r="F1298">
            <v>1.8270999999999999E-2</v>
          </cell>
        </row>
        <row r="1299">
          <cell r="A1299" t="str">
            <v>51751-016LF</v>
          </cell>
          <cell r="B1299" t="str">
            <v>51751-016LF PwrBlade VR</v>
          </cell>
          <cell r="C1299">
            <v>4.0000000000000001E-3</v>
          </cell>
          <cell r="D1299">
            <v>1487.5</v>
          </cell>
          <cell r="E1299">
            <v>4462.5</v>
          </cell>
          <cell r="F1299">
            <v>2.1568E-2</v>
          </cell>
        </row>
        <row r="1300">
          <cell r="A1300" t="str">
            <v>51751-017LF</v>
          </cell>
          <cell r="B1300" t="str">
            <v>51751-017LF Connector,PBVTR</v>
          </cell>
          <cell r="C1300">
            <v>2E-3</v>
          </cell>
          <cell r="D1300">
            <v>2975</v>
          </cell>
          <cell r="E1300">
            <v>8925</v>
          </cell>
          <cell r="F1300">
            <v>2.7300000000000001E-2</v>
          </cell>
        </row>
        <row r="1301">
          <cell r="A1301" t="str">
            <v>51751-018LF</v>
          </cell>
          <cell r="B1301" t="str">
            <v>51751-018LF Connector,PBVTR</v>
          </cell>
          <cell r="C1301">
            <v>3.0000000000000001E-3</v>
          </cell>
          <cell r="D1301">
            <v>1983.3333333333333</v>
          </cell>
          <cell r="E1301">
            <v>5950</v>
          </cell>
          <cell r="F1301">
            <v>8.6999999999999994E-3</v>
          </cell>
        </row>
        <row r="1302">
          <cell r="A1302" t="str">
            <v>51751-018PGSALF</v>
          </cell>
          <cell r="B1302" t="str">
            <v>51751-018PGSALF Connector,PBVTR</v>
          </cell>
          <cell r="C1302">
            <v>3.0000000000000001E-3</v>
          </cell>
          <cell r="D1302">
            <v>1983.3333333333333</v>
          </cell>
          <cell r="E1302">
            <v>5950</v>
          </cell>
          <cell r="F1302">
            <v>8.6999999999999994E-3</v>
          </cell>
        </row>
        <row r="1303">
          <cell r="A1303" t="str">
            <v>51751-019LF</v>
          </cell>
          <cell r="B1303" t="str">
            <v>51751-019LF Connector,PBVTR</v>
          </cell>
          <cell r="C1303">
            <v>3.0000000000000001E-3</v>
          </cell>
          <cell r="D1303">
            <v>1983.3333333333333</v>
          </cell>
          <cell r="E1303">
            <v>5950</v>
          </cell>
          <cell r="F1303">
            <v>1.0699999999999999E-2</v>
          </cell>
        </row>
        <row r="1304">
          <cell r="A1304" t="str">
            <v>51751-020LF</v>
          </cell>
          <cell r="B1304" t="str">
            <v>51751-020LF Connector,PBVTR</v>
          </cell>
          <cell r="C1304">
            <v>3.0000000000000001E-3</v>
          </cell>
          <cell r="D1304">
            <v>1983.3333333333333</v>
          </cell>
          <cell r="E1304">
            <v>5950</v>
          </cell>
          <cell r="F1304">
            <v>3.2000000000000001E-2</v>
          </cell>
        </row>
        <row r="1305">
          <cell r="A1305" t="str">
            <v>51751-023LF</v>
          </cell>
          <cell r="B1305" t="str">
            <v>51751-023LF Connector,PBVTR</v>
          </cell>
          <cell r="C1305">
            <v>3.0000000000000001E-3</v>
          </cell>
          <cell r="D1305">
            <v>1983.3333333333333</v>
          </cell>
          <cell r="E1305">
            <v>5950</v>
          </cell>
          <cell r="F1305">
            <v>2.3E-2</v>
          </cell>
        </row>
        <row r="1306">
          <cell r="A1306" t="str">
            <v>51751-024LF</v>
          </cell>
          <cell r="B1306" t="str">
            <v>51751-024LF Connector,PBVTR</v>
          </cell>
          <cell r="C1306">
            <v>2E-3</v>
          </cell>
          <cell r="D1306">
            <v>2975</v>
          </cell>
          <cell r="E1306">
            <v>8925</v>
          </cell>
          <cell r="F1306">
            <v>3.4000000000000002E-2</v>
          </cell>
        </row>
        <row r="1307">
          <cell r="A1307" t="str">
            <v>51751-028LF</v>
          </cell>
          <cell r="B1307" t="str">
            <v>51751-028LF Connector,PBVTR</v>
          </cell>
          <cell r="C1307">
            <v>2E-3</v>
          </cell>
          <cell r="D1307">
            <v>2975</v>
          </cell>
          <cell r="E1307">
            <v>8925</v>
          </cell>
          <cell r="F1307">
            <v>2.5000000000000001E-2</v>
          </cell>
        </row>
        <row r="1308">
          <cell r="A1308" t="str">
            <v>51751-029LF</v>
          </cell>
          <cell r="B1308" t="str">
            <v>51751-029LF PwrBlade VR</v>
          </cell>
          <cell r="C1308">
            <v>3.0000000000000001E-3</v>
          </cell>
          <cell r="D1308">
            <v>1983.3333333333333</v>
          </cell>
          <cell r="E1308">
            <v>5950</v>
          </cell>
          <cell r="F1308">
            <v>2.4E-2</v>
          </cell>
        </row>
        <row r="1309">
          <cell r="A1309" t="str">
            <v>51751-031LF</v>
          </cell>
          <cell r="B1309" t="str">
            <v>51751-031LF Connector,PBVTR</v>
          </cell>
          <cell r="C1309">
            <v>5.0000000000000001E-3</v>
          </cell>
          <cell r="D1309">
            <v>1190</v>
          </cell>
          <cell r="E1309">
            <v>3570</v>
          </cell>
          <cell r="F1309">
            <v>2.3E-2</v>
          </cell>
        </row>
        <row r="1310">
          <cell r="A1310" t="str">
            <v>51751-034LF</v>
          </cell>
          <cell r="B1310" t="str">
            <v>51751-034LF Connector,PBVTR</v>
          </cell>
          <cell r="C1310">
            <v>4.0000000000000001E-3</v>
          </cell>
          <cell r="D1310">
            <v>1487.5</v>
          </cell>
          <cell r="E1310">
            <v>4462.5</v>
          </cell>
          <cell r="F1310">
            <v>4.2000000000000003E-2</v>
          </cell>
        </row>
        <row r="1311">
          <cell r="A1311" t="str">
            <v>51751-037LF</v>
          </cell>
          <cell r="B1311" t="str">
            <v>51751-037LF Connector,PBVTR</v>
          </cell>
          <cell r="C1311">
            <v>3.0000000000000001E-3</v>
          </cell>
          <cell r="D1311">
            <v>1983.3333333333333</v>
          </cell>
          <cell r="E1311">
            <v>5950</v>
          </cell>
          <cell r="F1311">
            <v>2.4E-2</v>
          </cell>
        </row>
        <row r="1312">
          <cell r="A1312" t="str">
            <v>51751-038LF</v>
          </cell>
          <cell r="B1312" t="str">
            <v>51751-038LF PwrBlade VR</v>
          </cell>
          <cell r="C1312">
            <v>4.0000000000000001E-3</v>
          </cell>
          <cell r="D1312">
            <v>1487.5</v>
          </cell>
          <cell r="E1312">
            <v>4462.5</v>
          </cell>
          <cell r="F1312">
            <v>4.4999999999999998E-2</v>
          </cell>
        </row>
        <row r="1313">
          <cell r="A1313" t="str">
            <v>51751-039LF</v>
          </cell>
          <cell r="B1313" t="str">
            <v>51751-039LF Connector,PBVTR</v>
          </cell>
          <cell r="C1313">
            <v>8.0000000000000002E-3</v>
          </cell>
          <cell r="D1313">
            <v>743.75</v>
          </cell>
          <cell r="E1313">
            <v>2231.25</v>
          </cell>
          <cell r="F1313">
            <v>3.4000000000000002E-2</v>
          </cell>
        </row>
        <row r="1314">
          <cell r="A1314" t="str">
            <v>51751-041LF</v>
          </cell>
          <cell r="B1314" t="str">
            <v>51751-041LF Connector,PBVTR</v>
          </cell>
          <cell r="C1314">
            <v>6.1000000000000004E-3</v>
          </cell>
          <cell r="D1314">
            <v>975.4098360655737</v>
          </cell>
          <cell r="E1314">
            <v>2926.2295081967213</v>
          </cell>
          <cell r="F1314">
            <v>3.9E-2</v>
          </cell>
        </row>
        <row r="1315">
          <cell r="A1315" t="str">
            <v>51751-042LF</v>
          </cell>
          <cell r="B1315" t="str">
            <v>51751-042LF Connector,PBVTR</v>
          </cell>
          <cell r="C1315">
            <v>6.1000000000000004E-3</v>
          </cell>
          <cell r="D1315">
            <v>975.4098360655737</v>
          </cell>
          <cell r="E1315">
            <v>2926.2295081967213</v>
          </cell>
          <cell r="F1315">
            <v>4.2000000000000003E-2</v>
          </cell>
        </row>
        <row r="1316">
          <cell r="A1316" t="str">
            <v>51751-043LF</v>
          </cell>
          <cell r="B1316" t="str">
            <v>51751-043LF Connector,PBVTR</v>
          </cell>
          <cell r="C1316">
            <v>9.4000000000000004E-3</v>
          </cell>
          <cell r="D1316">
            <v>632.97872340425533</v>
          </cell>
          <cell r="E1316">
            <v>1898.936170212766</v>
          </cell>
          <cell r="F1316">
            <v>3.4000000000000002E-2</v>
          </cell>
        </row>
        <row r="1317">
          <cell r="A1317" t="str">
            <v>51751-044LF</v>
          </cell>
          <cell r="B1317" t="str">
            <v>51751-044LF Connector,PBVTR</v>
          </cell>
          <cell r="C1317">
            <v>9.4000000000000004E-3</v>
          </cell>
          <cell r="D1317">
            <v>632.97872340425533</v>
          </cell>
          <cell r="E1317">
            <v>1898.936170212766</v>
          </cell>
          <cell r="F1317">
            <v>3.4000000000000002E-2</v>
          </cell>
        </row>
        <row r="1318">
          <cell r="A1318" t="str">
            <v>51751-045LF</v>
          </cell>
          <cell r="B1318" t="str">
            <v>51751-045LF PwrBlade VR STB</v>
          </cell>
          <cell r="C1318">
            <v>8.9999999999999993E-3</v>
          </cell>
          <cell r="D1318">
            <v>661.1111111111112</v>
          </cell>
          <cell r="E1318">
            <v>1983.3333333333335</v>
          </cell>
          <cell r="F1318">
            <v>2.3E-2</v>
          </cell>
        </row>
        <row r="1319">
          <cell r="A1319" t="str">
            <v>51752-004LF</v>
          </cell>
          <cell r="B1319" t="str">
            <v>51752-004LF Connector,PBVTR</v>
          </cell>
          <cell r="C1319">
            <v>4.0000000000000001E-3</v>
          </cell>
          <cell r="D1319">
            <v>1487.5</v>
          </cell>
          <cell r="E1319">
            <v>4462.5</v>
          </cell>
          <cell r="F1319">
            <v>3.9E-2</v>
          </cell>
        </row>
        <row r="1320">
          <cell r="A1320" t="str">
            <v>51752-006LF</v>
          </cell>
          <cell r="B1320" t="str">
            <v>51752-006LF PwrBlade VR</v>
          </cell>
          <cell r="C1320">
            <v>3.0000000000000001E-3</v>
          </cell>
          <cell r="D1320">
            <v>1983.3333333333333</v>
          </cell>
          <cell r="E1320">
            <v>5950</v>
          </cell>
          <cell r="F1320">
            <v>2.7E-2</v>
          </cell>
        </row>
        <row r="1321">
          <cell r="A1321" t="str">
            <v>51752-006PGSALF</v>
          </cell>
          <cell r="B1321" t="str">
            <v>51752-006PGSALF Connector,PBVTR</v>
          </cell>
          <cell r="C1321">
            <v>3.0000000000000001E-3</v>
          </cell>
          <cell r="D1321">
            <v>1983.3333333333333</v>
          </cell>
          <cell r="E1321">
            <v>5950</v>
          </cell>
          <cell r="F1321">
            <v>2.7E-2</v>
          </cell>
        </row>
        <row r="1322">
          <cell r="A1322" t="str">
            <v>51752-010LF</v>
          </cell>
          <cell r="B1322" t="str">
            <v>51752-010LF Connector,PBVTR</v>
          </cell>
          <cell r="C1322">
            <v>8.9999999999999993E-3</v>
          </cell>
          <cell r="D1322">
            <v>661.1111111111112</v>
          </cell>
          <cell r="E1322">
            <v>1983.3333333333335</v>
          </cell>
          <cell r="F1322">
            <v>2.0799999999999999E-2</v>
          </cell>
        </row>
        <row r="1323">
          <cell r="A1323" t="str">
            <v>51752-011LF</v>
          </cell>
          <cell r="B1323" t="str">
            <v>51752-011LF Connector,PBVTR</v>
          </cell>
          <cell r="C1323">
            <v>6.3E-3</v>
          </cell>
          <cell r="D1323">
            <v>944.44444444444446</v>
          </cell>
          <cell r="E1323">
            <v>2833.3333333333335</v>
          </cell>
          <cell r="F1323">
            <v>9.7000000000000003E-3</v>
          </cell>
        </row>
        <row r="1324">
          <cell r="A1324" t="str">
            <v>51752-012LF</v>
          </cell>
          <cell r="B1324" t="str">
            <v>51752-012LF Connector,PBVTR</v>
          </cell>
          <cell r="C1324">
            <v>4.0000000000000001E-3</v>
          </cell>
          <cell r="D1324">
            <v>1487.5</v>
          </cell>
          <cell r="E1324">
            <v>4462.5</v>
          </cell>
          <cell r="F1324">
            <v>1.9E-2</v>
          </cell>
        </row>
        <row r="1325">
          <cell r="A1325" t="str">
            <v>51752-013LF</v>
          </cell>
          <cell r="B1325" t="str">
            <v>51752-013LF PwrBlade VR PF</v>
          </cell>
          <cell r="C1325">
            <v>4.0000000000000001E-3</v>
          </cell>
          <cell r="D1325">
            <v>1487.5</v>
          </cell>
          <cell r="E1325">
            <v>4462.5</v>
          </cell>
          <cell r="F1325">
            <v>1.5312846E-2</v>
          </cell>
        </row>
        <row r="1326">
          <cell r="A1326" t="str">
            <v>51752-017LF</v>
          </cell>
          <cell r="B1326" t="str">
            <v>51752-017LF Connector,PBVTR</v>
          </cell>
          <cell r="C1326">
            <v>3.0000000000000001E-3</v>
          </cell>
          <cell r="D1326">
            <v>1983.3333333333333</v>
          </cell>
          <cell r="E1326">
            <v>5950</v>
          </cell>
          <cell r="F1326">
            <v>3.1E-2</v>
          </cell>
        </row>
        <row r="1327">
          <cell r="A1327" t="str">
            <v>51752-017PGSALF</v>
          </cell>
          <cell r="B1327" t="str">
            <v>51752-017PGSALF Connector,PBVTR</v>
          </cell>
          <cell r="C1327">
            <v>3.0000000000000001E-3</v>
          </cell>
          <cell r="D1327">
            <v>1983.3333333333333</v>
          </cell>
          <cell r="E1327">
            <v>5950</v>
          </cell>
          <cell r="F1327">
            <v>3.1E-2</v>
          </cell>
        </row>
        <row r="1328">
          <cell r="A1328" t="str">
            <v>51752-018LF</v>
          </cell>
          <cell r="B1328" t="str">
            <v>51752-018LF Connector,PBVTR</v>
          </cell>
          <cell r="C1328">
            <v>3.0000000000000001E-3</v>
          </cell>
          <cell r="D1328">
            <v>1983.3333333333333</v>
          </cell>
          <cell r="E1328">
            <v>5950</v>
          </cell>
          <cell r="F1328">
            <v>2.1999999999999999E-2</v>
          </cell>
        </row>
        <row r="1329">
          <cell r="A1329" t="str">
            <v>51752-020LF</v>
          </cell>
          <cell r="B1329" t="str">
            <v>51752-020LF PwrBlade VR PF</v>
          </cell>
          <cell r="C1329">
            <v>3.0000000000000001E-3</v>
          </cell>
          <cell r="D1329">
            <v>1983.3333333333333</v>
          </cell>
          <cell r="E1329">
            <v>5950</v>
          </cell>
          <cell r="F1329">
            <v>2.7E-2</v>
          </cell>
        </row>
        <row r="1330">
          <cell r="A1330" t="str">
            <v>51752-021LF</v>
          </cell>
          <cell r="B1330" t="str">
            <v>51752-021LF Connector,PBVTR</v>
          </cell>
          <cell r="C1330">
            <v>3.0000000000000001E-3</v>
          </cell>
          <cell r="D1330">
            <v>1983.3333333333333</v>
          </cell>
          <cell r="E1330">
            <v>5950</v>
          </cell>
          <cell r="F1330">
            <v>2.1999999999999999E-2</v>
          </cell>
        </row>
        <row r="1331">
          <cell r="A1331" t="str">
            <v>51752-022LF</v>
          </cell>
          <cell r="B1331" t="str">
            <v>51752-022LF Connector,PBVTR</v>
          </cell>
          <cell r="C1331">
            <v>3.0000000000000001E-3</v>
          </cell>
          <cell r="D1331">
            <v>1983.3333333333333</v>
          </cell>
          <cell r="E1331">
            <v>5950</v>
          </cell>
          <cell r="F1331">
            <v>5.1999999999999998E-2</v>
          </cell>
        </row>
        <row r="1332">
          <cell r="A1332" t="str">
            <v>51752-024LF</v>
          </cell>
          <cell r="B1332" t="str">
            <v>51752-024LF Connector,PBVTR</v>
          </cell>
          <cell r="C1332">
            <v>3.0000000000000001E-3</v>
          </cell>
          <cell r="D1332">
            <v>1983.3333333333333</v>
          </cell>
          <cell r="E1332">
            <v>5950</v>
          </cell>
          <cell r="F1332">
            <v>3.3000000000000002E-2</v>
          </cell>
        </row>
        <row r="1333">
          <cell r="A1333" t="str">
            <v>51752-025LF</v>
          </cell>
          <cell r="B1333" t="str">
            <v>51752-025LF Connector,PBVTR</v>
          </cell>
          <cell r="C1333">
            <v>3.0000000000000001E-3</v>
          </cell>
          <cell r="D1333">
            <v>1983.3333333333333</v>
          </cell>
          <cell r="E1333">
            <v>5950</v>
          </cell>
          <cell r="F1333">
            <v>1.35E-2</v>
          </cell>
        </row>
        <row r="1334">
          <cell r="A1334" t="str">
            <v>51752-026LF</v>
          </cell>
          <cell r="B1334" t="str">
            <v>51752-026LF Connector,PBVTR</v>
          </cell>
          <cell r="C1334">
            <v>2E-3</v>
          </cell>
          <cell r="D1334">
            <v>2975</v>
          </cell>
          <cell r="E1334">
            <v>8925</v>
          </cell>
          <cell r="F1334">
            <v>2.1000000000000001E-2</v>
          </cell>
        </row>
        <row r="1335">
          <cell r="A1335" t="str">
            <v>51752-027LF</v>
          </cell>
          <cell r="B1335" t="str">
            <v>51752-027LF Connector,PBVTR</v>
          </cell>
          <cell r="C1335">
            <v>2E-3</v>
          </cell>
          <cell r="D1335">
            <v>2975</v>
          </cell>
          <cell r="E1335">
            <v>8925</v>
          </cell>
          <cell r="F1335">
            <v>2.3E-2</v>
          </cell>
        </row>
        <row r="1336">
          <cell r="A1336" t="str">
            <v>51752-028ELF</v>
          </cell>
          <cell r="B1336" t="str">
            <v>51752-028ELF Connector,PBVTR</v>
          </cell>
          <cell r="C1336">
            <v>3.0000000000000001E-3</v>
          </cell>
          <cell r="D1336">
            <v>1983.3333333333333</v>
          </cell>
          <cell r="E1336">
            <v>5950</v>
          </cell>
          <cell r="F1336">
            <v>2.1999999999999999E-2</v>
          </cell>
        </row>
        <row r="1337">
          <cell r="A1337" t="str">
            <v>51752-028LF</v>
          </cell>
          <cell r="B1337" t="str">
            <v>51752-028LF PwrBlade VR</v>
          </cell>
          <cell r="C1337">
            <v>3.0000000000000001E-3</v>
          </cell>
          <cell r="D1337">
            <v>1983.3333333333333</v>
          </cell>
          <cell r="E1337">
            <v>5950</v>
          </cell>
          <cell r="F1337">
            <v>2.2273000000000001E-2</v>
          </cell>
        </row>
        <row r="1338">
          <cell r="A1338" t="str">
            <v>51752-029LF</v>
          </cell>
          <cell r="B1338" t="str">
            <v>51752-029LF Connector,PBVTR</v>
          </cell>
          <cell r="C1338">
            <v>4.0000000000000001E-3</v>
          </cell>
          <cell r="D1338">
            <v>1487.5</v>
          </cell>
          <cell r="E1338">
            <v>4462.5</v>
          </cell>
          <cell r="F1338">
            <v>2.58E-2</v>
          </cell>
        </row>
        <row r="1339">
          <cell r="A1339" t="str">
            <v>51752-030LF</v>
          </cell>
          <cell r="B1339" t="str">
            <v>51752-030LF Connector,PBVTR</v>
          </cell>
          <cell r="C1339">
            <v>2E-3</v>
          </cell>
          <cell r="D1339">
            <v>2975</v>
          </cell>
          <cell r="E1339">
            <v>8925</v>
          </cell>
          <cell r="F1339">
            <v>2.1000000000000001E-2</v>
          </cell>
        </row>
        <row r="1340">
          <cell r="A1340" t="str">
            <v>51752-032LF</v>
          </cell>
          <cell r="B1340" t="str">
            <v>51752-032LF Connector,PBVTR</v>
          </cell>
          <cell r="C1340">
            <v>3.0000000000000001E-3</v>
          </cell>
          <cell r="D1340">
            <v>1983.3333333333333</v>
          </cell>
          <cell r="E1340">
            <v>5950</v>
          </cell>
          <cell r="F1340">
            <v>2.5999999999999999E-2</v>
          </cell>
        </row>
        <row r="1341">
          <cell r="A1341" t="str">
            <v>51752-033LF</v>
          </cell>
          <cell r="B1341" t="str">
            <v>51752-033LF Connector,PBVTR</v>
          </cell>
          <cell r="C1341">
            <v>3.0000000000000001E-3</v>
          </cell>
          <cell r="D1341">
            <v>1983.3333333333333</v>
          </cell>
          <cell r="E1341">
            <v>5950</v>
          </cell>
          <cell r="F1341">
            <v>3.1E-2</v>
          </cell>
        </row>
        <row r="1342">
          <cell r="A1342" t="str">
            <v>51752-034LF</v>
          </cell>
          <cell r="B1342" t="str">
            <v>51752-034LF Connector,PBVTR</v>
          </cell>
          <cell r="C1342">
            <v>2E-3</v>
          </cell>
          <cell r="D1342">
            <v>2975</v>
          </cell>
          <cell r="E1342">
            <v>8925</v>
          </cell>
          <cell r="F1342">
            <v>2.7E-2</v>
          </cell>
        </row>
        <row r="1343">
          <cell r="A1343" t="str">
            <v>51752-035LF</v>
          </cell>
          <cell r="B1343" t="str">
            <v>51752-035LF Connector,PBVTR</v>
          </cell>
          <cell r="C1343">
            <v>4.0000000000000001E-3</v>
          </cell>
          <cell r="D1343">
            <v>1487.5</v>
          </cell>
          <cell r="E1343">
            <v>4462.5</v>
          </cell>
          <cell r="F1343">
            <v>2.5999999999999999E-2</v>
          </cell>
        </row>
        <row r="1344">
          <cell r="A1344" t="str">
            <v>51752-037LF</v>
          </cell>
          <cell r="B1344" t="str">
            <v>51752-037LF Connector,PBVTR</v>
          </cell>
          <cell r="C1344">
            <v>3.0000000000000001E-3</v>
          </cell>
          <cell r="D1344">
            <v>1983.3333333333333</v>
          </cell>
          <cell r="E1344">
            <v>5950</v>
          </cell>
          <cell r="F1344">
            <v>2.8000000000000001E-2</v>
          </cell>
        </row>
        <row r="1345">
          <cell r="A1345" t="str">
            <v>51752-038LF</v>
          </cell>
          <cell r="B1345" t="str">
            <v>51752-038LF PwrBlade VR</v>
          </cell>
          <cell r="C1345">
            <v>3.0000000000000001E-3</v>
          </cell>
          <cell r="D1345">
            <v>1983.3333333333333</v>
          </cell>
          <cell r="E1345">
            <v>5950</v>
          </cell>
          <cell r="F1345">
            <v>2.5999999999999999E-2</v>
          </cell>
        </row>
        <row r="1346">
          <cell r="A1346" t="str">
            <v>51752-039LF</v>
          </cell>
          <cell r="B1346" t="str">
            <v>51752-039LF PwrBlade VR</v>
          </cell>
          <cell r="C1346">
            <v>2E-3</v>
          </cell>
          <cell r="D1346">
            <v>2975</v>
          </cell>
          <cell r="E1346">
            <v>8925</v>
          </cell>
          <cell r="F1346">
            <v>2.8000000000000001E-2</v>
          </cell>
        </row>
        <row r="1347">
          <cell r="A1347" t="str">
            <v>51752-040LF</v>
          </cell>
          <cell r="B1347" t="str">
            <v>51752-040LF Connector,PBVTR</v>
          </cell>
          <cell r="C1347">
            <v>2E-3</v>
          </cell>
          <cell r="D1347">
            <v>2975</v>
          </cell>
          <cell r="E1347">
            <v>8925</v>
          </cell>
          <cell r="F1347">
            <v>2.8000000000000001E-2</v>
          </cell>
        </row>
        <row r="1348">
          <cell r="A1348" t="str">
            <v>51752-042LF</v>
          </cell>
          <cell r="B1348" t="str">
            <v>51752-042LF Connector,PBVTR</v>
          </cell>
          <cell r="C1348">
            <v>8.0000000000000002E-3</v>
          </cell>
          <cell r="D1348">
            <v>743.75</v>
          </cell>
          <cell r="E1348">
            <v>2231.25</v>
          </cell>
          <cell r="F1348">
            <v>3.5000000000000003E-2</v>
          </cell>
        </row>
        <row r="1349">
          <cell r="A1349" t="str">
            <v>51753-002LF</v>
          </cell>
          <cell r="B1349" t="str">
            <v>51753-002LF Connector,PBVTR</v>
          </cell>
          <cell r="C1349">
            <v>6.1000000000000004E-3</v>
          </cell>
          <cell r="D1349">
            <v>975.4098360655737</v>
          </cell>
          <cell r="E1349">
            <v>2926.2295081967213</v>
          </cell>
          <cell r="F1349">
            <v>0.02</v>
          </cell>
        </row>
        <row r="1350">
          <cell r="A1350" t="str">
            <v>51753-003LF</v>
          </cell>
          <cell r="B1350" t="str">
            <v>51753-003LF PwrBlade VR</v>
          </cell>
          <cell r="C1350">
            <v>6.1000000000000004E-3</v>
          </cell>
          <cell r="D1350">
            <v>975.4098360655737</v>
          </cell>
          <cell r="E1350">
            <v>2926.2295081967213</v>
          </cell>
          <cell r="F1350">
            <v>1.1933314E-2</v>
          </cell>
        </row>
        <row r="1351">
          <cell r="A1351" t="str">
            <v>51753-004LF</v>
          </cell>
          <cell r="B1351" t="str">
            <v>51753-004LF Connector,PBVTR</v>
          </cell>
          <cell r="C1351">
            <v>6.1000000000000004E-3</v>
          </cell>
          <cell r="D1351">
            <v>975.4098360655737</v>
          </cell>
          <cell r="E1351">
            <v>2926.2295081967213</v>
          </cell>
          <cell r="F1351">
            <v>0.03</v>
          </cell>
        </row>
        <row r="1352">
          <cell r="A1352" t="str">
            <v>51753-005LF</v>
          </cell>
          <cell r="B1352" t="str">
            <v>51753-005LF Connector,PBVTR</v>
          </cell>
          <cell r="C1352">
            <v>6.1000000000000004E-3</v>
          </cell>
          <cell r="D1352">
            <v>975.4098360655737</v>
          </cell>
          <cell r="E1352">
            <v>2926.2295081967213</v>
          </cell>
          <cell r="F1352">
            <v>0.03</v>
          </cell>
        </row>
        <row r="1353">
          <cell r="A1353" t="str">
            <v>51753-010LF</v>
          </cell>
          <cell r="B1353" t="str">
            <v>51753-010LF PwrBlade VR</v>
          </cell>
          <cell r="C1353">
            <v>2.2222000000000001E-3</v>
          </cell>
          <cell r="D1353">
            <v>2677.5267752677528</v>
          </cell>
          <cell r="E1353">
            <v>8032.5803258032583</v>
          </cell>
          <cell r="F1353">
            <v>0.02</v>
          </cell>
        </row>
        <row r="1354">
          <cell r="A1354" t="str">
            <v>51754-002LF</v>
          </cell>
          <cell r="B1354" t="str">
            <v>51754-002LF Connector,PBVTR</v>
          </cell>
          <cell r="C1354">
            <v>6.0000000000000001E-3</v>
          </cell>
          <cell r="D1354">
            <v>991.66666666666663</v>
          </cell>
          <cell r="E1354">
            <v>2975</v>
          </cell>
          <cell r="F1354">
            <v>9.9000000000000008E-3</v>
          </cell>
        </row>
        <row r="1355">
          <cell r="A1355" t="str">
            <v>51756-001LF</v>
          </cell>
          <cell r="B1355" t="str">
            <v>51756-001LF Connector,PBVTR</v>
          </cell>
          <cell r="C1355">
            <v>3.0000000000000001E-3</v>
          </cell>
          <cell r="D1355">
            <v>1983.3333333333333</v>
          </cell>
          <cell r="E1355">
            <v>5950</v>
          </cell>
          <cell r="F1355">
            <v>2.3E-2</v>
          </cell>
        </row>
        <row r="1356">
          <cell r="A1356" t="str">
            <v>51783-001LF</v>
          </cell>
          <cell r="B1356" t="str">
            <v>51783-001LF Connector,PBRAH</v>
          </cell>
          <cell r="C1356">
            <v>2.0999999999999999E-3</v>
          </cell>
          <cell r="D1356">
            <v>2833.3333333333335</v>
          </cell>
          <cell r="E1356">
            <v>8500</v>
          </cell>
          <cell r="F1356">
            <v>3.6499999999999998E-2</v>
          </cell>
        </row>
        <row r="1357">
          <cell r="A1357" t="str">
            <v>51783-002LF</v>
          </cell>
          <cell r="B1357" t="str">
            <v>51783-002LF PwrBlade RAH</v>
          </cell>
          <cell r="C1357">
            <v>1.9E-3</v>
          </cell>
          <cell r="D1357">
            <v>3131.5789473684213</v>
          </cell>
          <cell r="E1357">
            <v>9394.7368421052633</v>
          </cell>
          <cell r="F1357">
            <v>1.8700000000000001E-2</v>
          </cell>
        </row>
        <row r="1358">
          <cell r="A1358" t="str">
            <v>51784-002LF</v>
          </cell>
          <cell r="B1358" t="str">
            <v>51784-002LF PwrBlade VR PF</v>
          </cell>
          <cell r="C1358">
            <v>2E-3</v>
          </cell>
          <cell r="D1358">
            <v>2975</v>
          </cell>
          <cell r="E1358">
            <v>8925</v>
          </cell>
          <cell r="F1358">
            <v>1.0994118000000001E-2</v>
          </cell>
        </row>
        <row r="1359">
          <cell r="A1359" t="str">
            <v>51786-001LF</v>
          </cell>
          <cell r="B1359" t="str">
            <v>51786-001LF Connector,PBRAH</v>
          </cell>
          <cell r="C1359">
            <v>1.6000000000000001E-3</v>
          </cell>
          <cell r="D1359">
            <v>3718.75</v>
          </cell>
          <cell r="E1359">
            <v>11156.25</v>
          </cell>
          <cell r="F1359">
            <v>3.09E-2</v>
          </cell>
        </row>
        <row r="1360">
          <cell r="A1360" t="str">
            <v>51786-003LF</v>
          </cell>
          <cell r="B1360" t="str">
            <v>51786-003LF Connector,PBRAH</v>
          </cell>
          <cell r="C1360">
            <v>1.9E-3</v>
          </cell>
          <cell r="D1360">
            <v>3131.5789473684213</v>
          </cell>
          <cell r="E1360">
            <v>9394.7368421052633</v>
          </cell>
          <cell r="F1360">
            <v>2.9899999999999999E-2</v>
          </cell>
        </row>
        <row r="1361">
          <cell r="A1361" t="str">
            <v>51792-001LF</v>
          </cell>
          <cell r="B1361" t="str">
            <v>51792-001LF PwrBlade RAH</v>
          </cell>
          <cell r="C1361">
            <v>1.9E-3</v>
          </cell>
          <cell r="D1361">
            <v>3131.5789473684213</v>
          </cell>
          <cell r="E1361">
            <v>9394.7368421052633</v>
          </cell>
          <cell r="F1361">
            <v>3.0700000000000002E-2</v>
          </cell>
        </row>
        <row r="1362">
          <cell r="A1362" t="str">
            <v>51796-001LF</v>
          </cell>
          <cell r="B1362" t="str">
            <v>51796-001LF PwrBlade RAH</v>
          </cell>
          <cell r="C1362">
            <v>1.6000000000000001E-3</v>
          </cell>
          <cell r="D1362">
            <v>3718.75</v>
          </cell>
          <cell r="E1362">
            <v>11156.25</v>
          </cell>
          <cell r="F1362">
            <v>3.0200000000000001E-2</v>
          </cell>
        </row>
        <row r="1363">
          <cell r="A1363" t="str">
            <v>51797-001LF</v>
          </cell>
          <cell r="B1363" t="str">
            <v>51797-001LF PwrBlade VR</v>
          </cell>
          <cell r="C1363">
            <v>3.0000000000000001E-3</v>
          </cell>
          <cell r="D1363">
            <v>1983.3333333333333</v>
          </cell>
          <cell r="E1363">
            <v>5950</v>
          </cell>
          <cell r="F1363">
            <v>8.6728499999999993E-3</v>
          </cell>
        </row>
        <row r="1364">
          <cell r="A1364" t="str">
            <v>51812-001LF</v>
          </cell>
          <cell r="B1364" t="str">
            <v>51812-001LF PwrBlade RAH</v>
          </cell>
          <cell r="C1364">
            <v>6.1000000000000004E-3</v>
          </cell>
          <cell r="D1364">
            <v>975.4098360655737</v>
          </cell>
          <cell r="E1364">
            <v>2926.2295081967213</v>
          </cell>
          <cell r="F1364">
            <v>1.061995E-2</v>
          </cell>
        </row>
        <row r="1365">
          <cell r="A1365" t="str">
            <v>51812-002LF</v>
          </cell>
          <cell r="B1365" t="str">
            <v>51812-002LF Connector,PBRAH</v>
          </cell>
          <cell r="C1365">
            <v>6.1000000000000004E-3</v>
          </cell>
          <cell r="D1365">
            <v>975.4098360655737</v>
          </cell>
          <cell r="E1365">
            <v>2926.2295081967213</v>
          </cell>
          <cell r="F1365">
            <v>0.02</v>
          </cell>
        </row>
        <row r="1366">
          <cell r="A1366" t="str">
            <v>51812-003LF</v>
          </cell>
          <cell r="B1366" t="str">
            <v>51812-003LF Connector,PBRAH</v>
          </cell>
          <cell r="C1366">
            <v>6.1000000000000004E-3</v>
          </cell>
          <cell r="D1366">
            <v>975.4098360655737</v>
          </cell>
          <cell r="E1366">
            <v>2926.2295081967213</v>
          </cell>
          <cell r="F1366">
            <v>0.02</v>
          </cell>
        </row>
        <row r="1367">
          <cell r="A1367" t="str">
            <v>51812-004LHLF</v>
          </cell>
          <cell r="B1367" t="str">
            <v>51812-004LHLF Connector,PBRAH</v>
          </cell>
          <cell r="C1367">
            <v>6.1000000000000004E-3</v>
          </cell>
          <cell r="D1367">
            <v>975.4098360655737</v>
          </cell>
          <cell r="E1367">
            <v>2926.2295081967213</v>
          </cell>
          <cell r="F1367">
            <v>1.4999999999999999E-2</v>
          </cell>
        </row>
        <row r="1368">
          <cell r="A1368" t="str">
            <v>51812-10300000AALF</v>
          </cell>
          <cell r="B1368" t="str">
            <v>51812-10300000AALF Connector,PBRAH</v>
          </cell>
          <cell r="C1368">
            <v>6.1000000000000004E-3</v>
          </cell>
          <cell r="D1368">
            <v>975.4098360655737</v>
          </cell>
          <cell r="E1368">
            <v>2926.2295081967213</v>
          </cell>
          <cell r="F1368">
            <v>1.5900000000000001E-2</v>
          </cell>
        </row>
        <row r="1369">
          <cell r="A1369" t="str">
            <v>51812-10400000AALF</v>
          </cell>
          <cell r="B1369" t="str">
            <v>51812-10400000AALF Connector,PBRAH</v>
          </cell>
          <cell r="C1369">
            <v>6.1000000000000004E-3</v>
          </cell>
          <cell r="D1369">
            <v>975.4098360655737</v>
          </cell>
          <cell r="E1369">
            <v>2926.2295081967213</v>
          </cell>
          <cell r="F1369">
            <v>1.8700000000000001E-2</v>
          </cell>
        </row>
        <row r="1370">
          <cell r="A1370" t="str">
            <v>51812-10800000ABLF</v>
          </cell>
          <cell r="B1370" t="str">
            <v>51812-10800000ABLF Connector,PBRAH</v>
          </cell>
          <cell r="C1370">
            <v>6.1000000000000004E-3</v>
          </cell>
          <cell r="D1370">
            <v>975.4098360655737</v>
          </cell>
          <cell r="E1370">
            <v>2926.2295081967213</v>
          </cell>
          <cell r="F1370">
            <v>1.9599999999999999E-2</v>
          </cell>
        </row>
        <row r="1371">
          <cell r="A1371" t="str">
            <v>51812-10900000AALF</v>
          </cell>
          <cell r="B1371" t="str">
            <v>51812-10900000AALF PwrBlade RAH</v>
          </cell>
          <cell r="C1371">
            <v>6.1000000000000004E-3</v>
          </cell>
          <cell r="D1371">
            <v>975.4098360655737</v>
          </cell>
          <cell r="E1371">
            <v>2926.2295081967213</v>
          </cell>
          <cell r="F1371">
            <v>1.3849432E-2</v>
          </cell>
        </row>
        <row r="1372">
          <cell r="A1372" t="str">
            <v>51816-001LF</v>
          </cell>
          <cell r="B1372" t="str">
            <v>51816-001LF Connector,PBVTR</v>
          </cell>
          <cell r="C1372">
            <v>6.1000000000000004E-3</v>
          </cell>
          <cell r="D1372">
            <v>975.4098360655737</v>
          </cell>
          <cell r="E1372">
            <v>2926.2295081967213</v>
          </cell>
          <cell r="F1372">
            <v>1.7600000000000001E-2</v>
          </cell>
        </row>
        <row r="1373">
          <cell r="A1373" t="str">
            <v>51816-10300000AALF</v>
          </cell>
          <cell r="B1373" t="str">
            <v>51816-10300000AALF Connector,PBVTR</v>
          </cell>
          <cell r="C1373">
            <v>6.1000000000000004E-3</v>
          </cell>
          <cell r="D1373">
            <v>975.4098360655737</v>
          </cell>
          <cell r="E1373">
            <v>2926.2295081967213</v>
          </cell>
          <cell r="F1373">
            <v>2.3E-2</v>
          </cell>
        </row>
        <row r="1374">
          <cell r="A1374" t="str">
            <v>51816-10400000AALF</v>
          </cell>
          <cell r="B1374" t="str">
            <v>51816-10400000AALF Connector,PBVTR</v>
          </cell>
          <cell r="C1374">
            <v>6.1000000000000004E-3</v>
          </cell>
          <cell r="D1374">
            <v>975.4098360655737</v>
          </cell>
          <cell r="E1374">
            <v>2926.2295081967213</v>
          </cell>
          <cell r="F1374">
            <v>2.3E-2</v>
          </cell>
        </row>
        <row r="1375">
          <cell r="A1375" t="str">
            <v>51824-002LF</v>
          </cell>
          <cell r="B1375" t="str">
            <v>51824-002LF Connector,PBRAH</v>
          </cell>
          <cell r="C1375">
            <v>1.6000000000000001E-3</v>
          </cell>
          <cell r="D1375">
            <v>3718.75</v>
          </cell>
          <cell r="E1375">
            <v>11156.25</v>
          </cell>
          <cell r="F1375">
            <v>2.6200000000000001E-2</v>
          </cell>
        </row>
        <row r="1376">
          <cell r="A1376" t="str">
            <v>51824-003LF</v>
          </cell>
          <cell r="B1376" t="str">
            <v>51824-003LF PwrBlade RAH</v>
          </cell>
          <cell r="C1376">
            <v>2.8E-3</v>
          </cell>
          <cell r="D1376">
            <v>2125</v>
          </cell>
          <cell r="E1376">
            <v>6375</v>
          </cell>
          <cell r="F1376">
            <v>1.5896172E-2</v>
          </cell>
        </row>
        <row r="1377">
          <cell r="A1377" t="str">
            <v>51824-004LF</v>
          </cell>
          <cell r="B1377" t="str">
            <v>51824-004LF Connector,PBRAH</v>
          </cell>
          <cell r="C1377">
            <v>1.9E-3</v>
          </cell>
          <cell r="D1377">
            <v>3131.5789473684213</v>
          </cell>
          <cell r="E1377">
            <v>9394.7368421052633</v>
          </cell>
          <cell r="F1377">
            <v>8.2400000000000001E-2</v>
          </cell>
        </row>
        <row r="1378">
          <cell r="A1378" t="str">
            <v>51824-005LF</v>
          </cell>
          <cell r="B1378" t="str">
            <v>51824-005LF Connector,PBRAH</v>
          </cell>
          <cell r="C1378">
            <v>1.9E-3</v>
          </cell>
          <cell r="D1378">
            <v>3131.5789473684213</v>
          </cell>
          <cell r="E1378">
            <v>9394.7368421052633</v>
          </cell>
          <cell r="F1378">
            <v>2.01E-2</v>
          </cell>
        </row>
        <row r="1379">
          <cell r="A1379" t="str">
            <v>51856-001LF-SA</v>
          </cell>
          <cell r="B1379" t="str">
            <v>51856-001LF-SA Connector,PBRAH</v>
          </cell>
          <cell r="C1379">
            <v>3.7000000000000002E-3</v>
          </cell>
          <cell r="D1379">
            <v>1608.1081081081081</v>
          </cell>
          <cell r="E1379">
            <v>4824.3243243243242</v>
          </cell>
          <cell r="F1379">
            <v>2.6800000000000001E-2</v>
          </cell>
        </row>
        <row r="1380">
          <cell r="A1380" t="str">
            <v>51856-001PGSALF</v>
          </cell>
          <cell r="B1380" t="str">
            <v>51856-001PGSALF Connector,PBRAH</v>
          </cell>
          <cell r="C1380">
            <v>3.7000000000000002E-3</v>
          </cell>
          <cell r="D1380">
            <v>1608.1081081081081</v>
          </cell>
          <cell r="E1380">
            <v>4824.3243243243242</v>
          </cell>
          <cell r="F1380">
            <v>2.98E-2</v>
          </cell>
        </row>
        <row r="1381">
          <cell r="A1381" t="str">
            <v>51857-001LF</v>
          </cell>
          <cell r="B1381" t="str">
            <v>51857-001LF Connector,PBVTR</v>
          </cell>
          <cell r="C1381">
            <v>3.0000000000000001E-3</v>
          </cell>
          <cell r="D1381">
            <v>1983.3333333333333</v>
          </cell>
          <cell r="E1381">
            <v>5950</v>
          </cell>
          <cell r="F1381">
            <v>1.5699999999999999E-2</v>
          </cell>
        </row>
        <row r="1382">
          <cell r="A1382" t="str">
            <v>51857-002LF</v>
          </cell>
          <cell r="B1382" t="str">
            <v>51857-002LF PwrBlade VR</v>
          </cell>
          <cell r="C1382">
            <v>3.0000000000000001E-3</v>
          </cell>
          <cell r="D1382">
            <v>1983.3333333333333</v>
          </cell>
          <cell r="E1382">
            <v>5950</v>
          </cell>
          <cell r="F1382">
            <v>1.8249999999999999E-2</v>
          </cell>
        </row>
        <row r="1383">
          <cell r="A1383" t="str">
            <v>51862-001LF</v>
          </cell>
          <cell r="B1383" t="str">
            <v>51862-001LF Connector,PBRAH</v>
          </cell>
          <cell r="C1383">
            <v>2E-3</v>
          </cell>
          <cell r="D1383">
            <v>2975</v>
          </cell>
          <cell r="E1383">
            <v>8925</v>
          </cell>
          <cell r="F1383">
            <v>3.1E-2</v>
          </cell>
        </row>
        <row r="1384">
          <cell r="A1384" t="str">
            <v>51862-002LF</v>
          </cell>
          <cell r="B1384" t="str">
            <v>51862-002LF Connector,PBRAH</v>
          </cell>
          <cell r="C1384">
            <v>1.6000000000000001E-3</v>
          </cell>
          <cell r="D1384">
            <v>3718.75</v>
          </cell>
          <cell r="E1384">
            <v>11156.25</v>
          </cell>
          <cell r="F1384">
            <v>3.1800000000000002E-2</v>
          </cell>
        </row>
        <row r="1385">
          <cell r="A1385" t="str">
            <v>51863-001LF</v>
          </cell>
          <cell r="B1385" t="str">
            <v>51863-001LF PwrBlade VR</v>
          </cell>
          <cell r="C1385">
            <v>3.0599999999999998E-3</v>
          </cell>
          <cell r="D1385">
            <v>1944.4444444444446</v>
          </cell>
          <cell r="E1385">
            <v>5833.3333333333339</v>
          </cell>
          <cell r="F1385">
            <v>2.4625749999999998E-2</v>
          </cell>
        </row>
        <row r="1386">
          <cell r="A1386" t="str">
            <v>51870-001LF</v>
          </cell>
          <cell r="B1386" t="str">
            <v>51870-001LF Connector,PBRAH</v>
          </cell>
          <cell r="C1386">
            <v>6.1000000000000004E-3</v>
          </cell>
          <cell r="D1386">
            <v>975.4098360655737</v>
          </cell>
          <cell r="E1386">
            <v>2926.2295081967213</v>
          </cell>
          <cell r="F1386">
            <v>1.8700000000000001E-2</v>
          </cell>
        </row>
        <row r="1387">
          <cell r="A1387" t="str">
            <v>51874-001LF</v>
          </cell>
          <cell r="B1387" t="str">
            <v>51874-001LF Connector,PBRAH</v>
          </cell>
          <cell r="C1387">
            <v>1.6000000000000001E-3</v>
          </cell>
          <cell r="D1387">
            <v>3718.75</v>
          </cell>
          <cell r="E1387">
            <v>11156.25</v>
          </cell>
          <cell r="F1387">
            <v>2.52E-2</v>
          </cell>
        </row>
        <row r="1388">
          <cell r="A1388" t="str">
            <v>51882-001LF</v>
          </cell>
          <cell r="B1388" t="str">
            <v>51882-001LF Connector,PBRAH</v>
          </cell>
          <cell r="C1388">
            <v>1.9E-3</v>
          </cell>
          <cell r="D1388">
            <v>3131.5789473684213</v>
          </cell>
          <cell r="E1388">
            <v>9394.7368421052633</v>
          </cell>
          <cell r="F1388">
            <v>2.4299999999999999E-2</v>
          </cell>
        </row>
        <row r="1389">
          <cell r="A1389" t="str">
            <v>51890-002LF</v>
          </cell>
          <cell r="B1389" t="str">
            <v>51890-002LF Connector,PBRAH</v>
          </cell>
          <cell r="C1389">
            <v>2.0999999999999999E-3</v>
          </cell>
          <cell r="D1389">
            <v>2833.3333333333335</v>
          </cell>
          <cell r="E1389">
            <v>8500</v>
          </cell>
          <cell r="F1389">
            <v>3.9300000000000002E-2</v>
          </cell>
        </row>
        <row r="1390">
          <cell r="A1390" t="str">
            <v>51897-003LF</v>
          </cell>
          <cell r="B1390" t="str">
            <v>51897-003LF Connector,PBVTR</v>
          </cell>
          <cell r="C1390">
            <v>3.0000000000000001E-3</v>
          </cell>
          <cell r="D1390">
            <v>1983.3333333333333</v>
          </cell>
          <cell r="E1390">
            <v>5950</v>
          </cell>
          <cell r="F1390">
            <v>0.04</v>
          </cell>
        </row>
        <row r="1391">
          <cell r="A1391" t="str">
            <v>51897-005LF</v>
          </cell>
          <cell r="B1391" t="str">
            <v>51897-005LF Connector,PBVTR</v>
          </cell>
          <cell r="C1391">
            <v>3.0000000000000001E-3</v>
          </cell>
          <cell r="D1391">
            <v>1983.3333333333333</v>
          </cell>
          <cell r="E1391">
            <v>5950</v>
          </cell>
          <cell r="F1391">
            <v>3.2000000000000001E-2</v>
          </cell>
        </row>
        <row r="1392">
          <cell r="A1392" t="str">
            <v>51897-014LF</v>
          </cell>
          <cell r="B1392" t="str">
            <v>51897-014LF Connector,PBVTR</v>
          </cell>
          <cell r="C1392">
            <v>4.0000000000000001E-3</v>
          </cell>
          <cell r="D1392">
            <v>1487.5</v>
          </cell>
          <cell r="E1392">
            <v>4462.5</v>
          </cell>
          <cell r="F1392">
            <v>5.3999999999999999E-2</v>
          </cell>
        </row>
        <row r="1393">
          <cell r="A1393" t="str">
            <v>51897-016LF</v>
          </cell>
          <cell r="B1393" t="str">
            <v>51897-016LF Connector,PBVTR</v>
          </cell>
          <cell r="C1393">
            <v>9.4000000000000004E-3</v>
          </cell>
          <cell r="D1393">
            <v>632.97872340425533</v>
          </cell>
          <cell r="E1393">
            <v>1898.936170212766</v>
          </cell>
          <cell r="F1393">
            <v>3.7999999999999999E-2</v>
          </cell>
        </row>
        <row r="1394">
          <cell r="A1394" t="str">
            <v>51897-017LF</v>
          </cell>
          <cell r="B1394" t="str">
            <v>51897-017LF Connector,PBVTR</v>
          </cell>
          <cell r="C1394">
            <v>3.0000000000000001E-3</v>
          </cell>
          <cell r="D1394">
            <v>1983.3333333333333</v>
          </cell>
          <cell r="E1394">
            <v>5950</v>
          </cell>
          <cell r="F1394">
            <v>1.41E-2</v>
          </cell>
        </row>
        <row r="1395">
          <cell r="A1395" t="str">
            <v>51907-001LF</v>
          </cell>
          <cell r="B1395" t="str">
            <v>51907-001LF PwrBlade RAH</v>
          </cell>
          <cell r="C1395">
            <v>1.9E-3</v>
          </cell>
          <cell r="D1395">
            <v>3131.5789473684213</v>
          </cell>
          <cell r="E1395">
            <v>9394.7368421052633</v>
          </cell>
          <cell r="F1395">
            <v>3.5799999999999998E-2</v>
          </cell>
        </row>
        <row r="1396">
          <cell r="A1396" t="str">
            <v>51907-002LF</v>
          </cell>
          <cell r="B1396" t="str">
            <v>51907-002LF Connector,PBRAH</v>
          </cell>
          <cell r="C1396">
            <v>1.6000000000000001E-3</v>
          </cell>
          <cell r="D1396">
            <v>3718.75</v>
          </cell>
          <cell r="E1396">
            <v>11156.25</v>
          </cell>
          <cell r="F1396">
            <v>2.7099999999999999E-2</v>
          </cell>
        </row>
        <row r="1397">
          <cell r="A1397" t="str">
            <v>51907-003LF</v>
          </cell>
          <cell r="B1397" t="str">
            <v>51907-003LF Connector,PBRAH</v>
          </cell>
          <cell r="C1397">
            <v>1.9E-3</v>
          </cell>
          <cell r="D1397">
            <v>3131.5789473684213</v>
          </cell>
          <cell r="E1397">
            <v>9394.7368421052633</v>
          </cell>
          <cell r="F1397">
            <v>3.4299999999999997E-2</v>
          </cell>
        </row>
        <row r="1398">
          <cell r="A1398" t="str">
            <v>51907-004LF</v>
          </cell>
          <cell r="B1398" t="str">
            <v>51907-004LF Connector,PBRAH</v>
          </cell>
          <cell r="C1398">
            <v>1.9E-3</v>
          </cell>
          <cell r="D1398">
            <v>3131.5789473684213</v>
          </cell>
          <cell r="E1398">
            <v>9394.7368421052633</v>
          </cell>
          <cell r="F1398">
            <v>4.4900000000000002E-2</v>
          </cell>
        </row>
        <row r="1399">
          <cell r="A1399" t="str">
            <v>51907-005LF</v>
          </cell>
          <cell r="B1399" t="str">
            <v>51907-005LF Connector,PBRAH</v>
          </cell>
          <cell r="C1399">
            <v>1.9E-3</v>
          </cell>
          <cell r="D1399">
            <v>3131.5789473684213</v>
          </cell>
          <cell r="E1399">
            <v>9394.7368421052633</v>
          </cell>
          <cell r="F1399">
            <v>2.6200000000000001E-2</v>
          </cell>
        </row>
        <row r="1400">
          <cell r="A1400" t="str">
            <v>51907-006LF</v>
          </cell>
          <cell r="B1400" t="str">
            <v>51907-006LF Connector,PBRAH</v>
          </cell>
          <cell r="C1400">
            <v>6.1000000000000004E-3</v>
          </cell>
          <cell r="D1400">
            <v>975.4098360655737</v>
          </cell>
          <cell r="E1400">
            <v>2926.2295081967213</v>
          </cell>
          <cell r="F1400">
            <v>5.6000000000000001E-2</v>
          </cell>
        </row>
        <row r="1401">
          <cell r="A1401" t="str">
            <v>51908-006LF</v>
          </cell>
          <cell r="B1401" t="str">
            <v>51908-006LF Connector,PBVTR</v>
          </cell>
          <cell r="C1401">
            <v>6.1000000000000004E-3</v>
          </cell>
          <cell r="D1401">
            <v>975.4098360655737</v>
          </cell>
          <cell r="E1401">
            <v>2926.2295081967213</v>
          </cell>
          <cell r="F1401">
            <v>1.7999999999999999E-2</v>
          </cell>
        </row>
        <row r="1402">
          <cell r="A1402" t="str">
            <v>51925-001LF</v>
          </cell>
          <cell r="B1402" t="str">
            <v>51925-001LF Connector,PBVTR</v>
          </cell>
          <cell r="C1402">
            <v>6.1000000000000004E-3</v>
          </cell>
          <cell r="D1402">
            <v>975.4098360655737</v>
          </cell>
          <cell r="E1402">
            <v>2926.2295081967213</v>
          </cell>
          <cell r="F1402">
            <v>1.4999999999999999E-2</v>
          </cell>
        </row>
        <row r="1403">
          <cell r="A1403" t="str">
            <v>51927-002LF</v>
          </cell>
          <cell r="B1403" t="str">
            <v>51927-002LF Connector,PBVTR</v>
          </cell>
          <cell r="C1403">
            <v>3.0000000000000001E-3</v>
          </cell>
          <cell r="D1403">
            <v>1983.3333333333333</v>
          </cell>
          <cell r="E1403">
            <v>5950</v>
          </cell>
          <cell r="F1403">
            <v>1.6500000000000001E-2</v>
          </cell>
        </row>
        <row r="1404">
          <cell r="A1404" t="str">
            <v>51927-007LF</v>
          </cell>
          <cell r="B1404" t="str">
            <v>51927-007LF Connector,PBVTR</v>
          </cell>
          <cell r="C1404">
            <v>3.0000000000000001E-3</v>
          </cell>
          <cell r="D1404">
            <v>1983.3333333333333</v>
          </cell>
          <cell r="E1404">
            <v>5950</v>
          </cell>
          <cell r="F1404">
            <v>0.02</v>
          </cell>
        </row>
        <row r="1405">
          <cell r="A1405" t="str">
            <v>51927-008LF</v>
          </cell>
          <cell r="B1405" t="str">
            <v>51927-008LF Connector,PBVTR</v>
          </cell>
          <cell r="C1405">
            <v>3.0000000000000001E-3</v>
          </cell>
          <cell r="D1405">
            <v>1983.3333333333333</v>
          </cell>
          <cell r="E1405">
            <v>5950</v>
          </cell>
          <cell r="F1405">
            <v>3.1300000000000001E-2</v>
          </cell>
        </row>
        <row r="1406">
          <cell r="A1406" t="str">
            <v>51927-009LF</v>
          </cell>
          <cell r="B1406" t="str">
            <v>51927-009LF Connector,PBVTR</v>
          </cell>
          <cell r="C1406">
            <v>3.0000000000000001E-3</v>
          </cell>
          <cell r="D1406">
            <v>1983.3333333333333</v>
          </cell>
          <cell r="E1406">
            <v>5950</v>
          </cell>
          <cell r="F1406">
            <v>3.2000000000000001E-2</v>
          </cell>
        </row>
        <row r="1407">
          <cell r="A1407" t="str">
            <v>51927-009PGSALF</v>
          </cell>
          <cell r="B1407" t="str">
            <v>51927-009PGSALF Connector,PBVTR</v>
          </cell>
          <cell r="C1407">
            <v>3.0000000000000001E-3</v>
          </cell>
          <cell r="D1407">
            <v>1983.3333333333333</v>
          </cell>
          <cell r="E1407">
            <v>5950</v>
          </cell>
          <cell r="F1407">
            <v>3.2000000000000001E-2</v>
          </cell>
        </row>
        <row r="1408">
          <cell r="A1408" t="str">
            <v>51929-001LF</v>
          </cell>
          <cell r="B1408" t="str">
            <v>51929-001LF Connector,PBVTR</v>
          </cell>
          <cell r="C1408">
            <v>6.4000000000000003E-3</v>
          </cell>
          <cell r="D1408">
            <v>929.6875</v>
          </cell>
          <cell r="E1408">
            <v>2789.0625</v>
          </cell>
          <cell r="F1408">
            <v>1.4999999999999999E-2</v>
          </cell>
        </row>
        <row r="1409">
          <cell r="A1409" t="str">
            <v>51929-003LF</v>
          </cell>
          <cell r="B1409" t="str">
            <v>51929-003LF PwrBlade VR PF</v>
          </cell>
          <cell r="C1409">
            <v>7.0000000000000001E-3</v>
          </cell>
          <cell r="D1409">
            <v>850</v>
          </cell>
          <cell r="E1409">
            <v>2550</v>
          </cell>
          <cell r="F1409">
            <v>1.2299549999999999E-2</v>
          </cell>
        </row>
        <row r="1410">
          <cell r="A1410" t="str">
            <v>51929-005LF</v>
          </cell>
          <cell r="B1410" t="str">
            <v>51929-005LF Connector,PBVTR</v>
          </cell>
          <cell r="C1410">
            <v>3.0000000000000001E-3</v>
          </cell>
          <cell r="D1410">
            <v>1983.3333333333333</v>
          </cell>
          <cell r="E1410">
            <v>5950</v>
          </cell>
          <cell r="F1410">
            <v>0.03</v>
          </cell>
        </row>
        <row r="1411">
          <cell r="A1411" t="str">
            <v>51935-002LF</v>
          </cell>
          <cell r="B1411" t="str">
            <v>51935-002LF PwrBlade RAH</v>
          </cell>
          <cell r="C1411">
            <v>2.0999999999999999E-3</v>
          </cell>
          <cell r="D1411">
            <v>2833.3333333333335</v>
          </cell>
          <cell r="E1411">
            <v>8500</v>
          </cell>
          <cell r="F1411">
            <v>2.8000000000000001E-2</v>
          </cell>
        </row>
        <row r="1412">
          <cell r="A1412" t="str">
            <v>51935-003LF</v>
          </cell>
          <cell r="B1412" t="str">
            <v>51935-003LF Connector,PBRAH</v>
          </cell>
          <cell r="C1412">
            <v>2E-3</v>
          </cell>
          <cell r="D1412">
            <v>2975</v>
          </cell>
          <cell r="E1412">
            <v>8925</v>
          </cell>
          <cell r="F1412">
            <v>4.2000000000000003E-2</v>
          </cell>
        </row>
        <row r="1413">
          <cell r="A1413" t="str">
            <v>51936-002LF</v>
          </cell>
          <cell r="B1413" t="str">
            <v>51936-002LF Connector,PBVTR</v>
          </cell>
          <cell r="C1413">
            <v>3.0000000000000001E-3</v>
          </cell>
          <cell r="D1413">
            <v>1983.3333333333333</v>
          </cell>
          <cell r="E1413">
            <v>5950</v>
          </cell>
          <cell r="F1413">
            <v>1.7500000000000002E-2</v>
          </cell>
        </row>
        <row r="1414">
          <cell r="A1414" t="str">
            <v>51936-003LF</v>
          </cell>
          <cell r="B1414" t="str">
            <v>51936-003LF Connector,PBVTR</v>
          </cell>
          <cell r="C1414">
            <v>3.0000000000000001E-3</v>
          </cell>
          <cell r="D1414">
            <v>1983.3333333333333</v>
          </cell>
          <cell r="E1414">
            <v>5950</v>
          </cell>
          <cell r="F1414">
            <v>2.9399999999999999E-2</v>
          </cell>
        </row>
        <row r="1415">
          <cell r="A1415" t="str">
            <v>51939-002LF</v>
          </cell>
          <cell r="B1415" t="str">
            <v>51939-002LF Connector,PBRAH</v>
          </cell>
          <cell r="C1415">
            <v>2E-3</v>
          </cell>
          <cell r="D1415">
            <v>2975</v>
          </cell>
          <cell r="E1415">
            <v>8925</v>
          </cell>
          <cell r="F1415">
            <v>4.1099999999999998E-2</v>
          </cell>
        </row>
        <row r="1416">
          <cell r="A1416" t="str">
            <v>51939-003LF</v>
          </cell>
          <cell r="B1416" t="str">
            <v>51939-003LF Connector,PBRAH</v>
          </cell>
          <cell r="C1416">
            <v>2E-3</v>
          </cell>
          <cell r="D1416">
            <v>2975</v>
          </cell>
          <cell r="E1416">
            <v>8925</v>
          </cell>
          <cell r="F1416">
            <v>4.5600000000000002E-2</v>
          </cell>
        </row>
        <row r="1417">
          <cell r="A1417" t="str">
            <v>51939-004LF</v>
          </cell>
          <cell r="B1417" t="str">
            <v>51939-004LF Connector,PBRAH</v>
          </cell>
          <cell r="C1417">
            <v>1.6000000000000001E-3</v>
          </cell>
          <cell r="D1417">
            <v>3718.75</v>
          </cell>
          <cell r="E1417">
            <v>11156.25</v>
          </cell>
          <cell r="F1417">
            <v>2.9000000000000001E-2</v>
          </cell>
        </row>
        <row r="1418">
          <cell r="A1418" t="str">
            <v>51939-005LF</v>
          </cell>
          <cell r="B1418" t="str">
            <v>51939-005LF PwrBlade RAH Special</v>
          </cell>
          <cell r="C1418">
            <v>2.0999999999999999E-3</v>
          </cell>
          <cell r="D1418">
            <v>2833.3333333333335</v>
          </cell>
          <cell r="E1418">
            <v>8500</v>
          </cell>
          <cell r="F1418">
            <v>1.6234999999999999E-2</v>
          </cell>
        </row>
        <row r="1419">
          <cell r="A1419" t="str">
            <v>51939-006LF</v>
          </cell>
          <cell r="B1419" t="str">
            <v>51939-006LF Connector,PBRAH</v>
          </cell>
          <cell r="C1419">
            <v>2E-3</v>
          </cell>
          <cell r="D1419">
            <v>2975</v>
          </cell>
          <cell r="E1419">
            <v>8925</v>
          </cell>
          <cell r="F1419">
            <v>4.58E-2</v>
          </cell>
        </row>
        <row r="1420">
          <cell r="A1420" t="str">
            <v>51939-011LF</v>
          </cell>
          <cell r="B1420" t="str">
            <v>51939-011LF Connector,PBRAH</v>
          </cell>
          <cell r="C1420">
            <v>1.9E-3</v>
          </cell>
          <cell r="D1420">
            <v>3131.5789473684213</v>
          </cell>
          <cell r="E1420">
            <v>9394.7368421052633</v>
          </cell>
          <cell r="F1420">
            <v>3.1800000000000002E-2</v>
          </cell>
        </row>
        <row r="1421">
          <cell r="A1421" t="str">
            <v>51939-012LF</v>
          </cell>
          <cell r="B1421" t="str">
            <v>51939-012LF Connector,PBRAH</v>
          </cell>
          <cell r="C1421">
            <v>1.6000000000000001E-3</v>
          </cell>
          <cell r="D1421">
            <v>3718.75</v>
          </cell>
          <cell r="E1421">
            <v>11156.25</v>
          </cell>
          <cell r="F1421">
            <v>2.7099999999999999E-2</v>
          </cell>
        </row>
        <row r="1422">
          <cell r="A1422" t="str">
            <v>51939-014LF</v>
          </cell>
          <cell r="B1422" t="str">
            <v>51939-014LF Connector,PBRAH</v>
          </cell>
          <cell r="C1422">
            <v>2E-3</v>
          </cell>
          <cell r="D1422">
            <v>2975</v>
          </cell>
          <cell r="E1422">
            <v>8925</v>
          </cell>
          <cell r="F1422">
            <v>3.7100000000000001E-2</v>
          </cell>
        </row>
        <row r="1423">
          <cell r="A1423" t="str">
            <v>51939-015LF</v>
          </cell>
          <cell r="B1423" t="str">
            <v>51939-015LF Connector,PBRAH</v>
          </cell>
          <cell r="C1423">
            <v>2.2000000000000001E-3</v>
          </cell>
          <cell r="D1423">
            <v>2704.5454545454545</v>
          </cell>
          <cell r="E1423">
            <v>8113.636363636364</v>
          </cell>
          <cell r="F1423">
            <v>4.2099999999999999E-2</v>
          </cell>
        </row>
        <row r="1424">
          <cell r="A1424" t="str">
            <v>51939-016LF</v>
          </cell>
          <cell r="B1424" t="str">
            <v>51939-016LF PwrBlade RAH</v>
          </cell>
          <cell r="C1424">
            <v>1.9E-3</v>
          </cell>
          <cell r="D1424">
            <v>3131.5789473684213</v>
          </cell>
          <cell r="E1424">
            <v>9394.7368421052633</v>
          </cell>
          <cell r="F1424">
            <v>2.1171221E-2</v>
          </cell>
        </row>
        <row r="1425">
          <cell r="A1425" t="str">
            <v>51939-021LF</v>
          </cell>
          <cell r="B1425" t="str">
            <v>51939-021LF Connector,PBRAH</v>
          </cell>
          <cell r="C1425">
            <v>6.1000000000000004E-3</v>
          </cell>
          <cell r="D1425">
            <v>975.4098360655737</v>
          </cell>
          <cell r="E1425">
            <v>2926.2295081967213</v>
          </cell>
          <cell r="F1425">
            <v>1.67E-2</v>
          </cell>
        </row>
        <row r="1426">
          <cell r="A1426" t="str">
            <v>51939-022LF</v>
          </cell>
          <cell r="B1426" t="str">
            <v>51939-022LF Connector,PBRAH</v>
          </cell>
          <cell r="C1426">
            <v>1.9E-3</v>
          </cell>
          <cell r="D1426">
            <v>3131.5789473684213</v>
          </cell>
          <cell r="E1426">
            <v>9394.7368421052633</v>
          </cell>
          <cell r="F1426">
            <v>1.6199999999999999E-2</v>
          </cell>
        </row>
        <row r="1427">
          <cell r="A1427" t="str">
            <v>51939-023LF</v>
          </cell>
          <cell r="B1427" t="str">
            <v>51939-023LF Connector,PBRAH</v>
          </cell>
          <cell r="C1427">
            <v>1.6000000000000001E-3</v>
          </cell>
          <cell r="D1427">
            <v>3718.75</v>
          </cell>
          <cell r="E1427">
            <v>11156.25</v>
          </cell>
          <cell r="F1427">
            <v>3.15E-2</v>
          </cell>
        </row>
        <row r="1428">
          <cell r="A1428" t="str">
            <v>51939-025LF</v>
          </cell>
          <cell r="B1428" t="str">
            <v>51939-025LF Connector,PBRAH</v>
          </cell>
          <cell r="C1428">
            <v>2E-3</v>
          </cell>
          <cell r="D1428">
            <v>2975</v>
          </cell>
          <cell r="E1428">
            <v>8925</v>
          </cell>
          <cell r="F1428">
            <v>3.9300000000000002E-2</v>
          </cell>
        </row>
        <row r="1429">
          <cell r="A1429" t="str">
            <v>51939-026LF</v>
          </cell>
          <cell r="B1429" t="str">
            <v>51939-026LF Connector,PBRAH</v>
          </cell>
          <cell r="C1429">
            <v>2E-3</v>
          </cell>
          <cell r="D1429">
            <v>2975</v>
          </cell>
          <cell r="E1429">
            <v>8925</v>
          </cell>
          <cell r="F1429">
            <v>4.2999999999999997E-2</v>
          </cell>
        </row>
        <row r="1430">
          <cell r="A1430" t="str">
            <v>51939-030LF</v>
          </cell>
          <cell r="B1430" t="str">
            <v>51939-030LF PwrBlade RAH</v>
          </cell>
          <cell r="C1430">
            <v>1.6000000000000001E-3</v>
          </cell>
          <cell r="D1430">
            <v>3718.75</v>
          </cell>
          <cell r="E1430">
            <v>11156.25</v>
          </cell>
          <cell r="F1430">
            <v>2.8645E-2</v>
          </cell>
        </row>
        <row r="1431">
          <cell r="A1431" t="str">
            <v>51939-031LF</v>
          </cell>
          <cell r="B1431" t="str">
            <v>51939-031LF Connector,PBRAH</v>
          </cell>
          <cell r="C1431">
            <v>3.3E-3</v>
          </cell>
          <cell r="D1431">
            <v>1803.030303030303</v>
          </cell>
          <cell r="E1431">
            <v>5409.090909090909</v>
          </cell>
          <cell r="F1431">
            <v>6.3600000000000004E-2</v>
          </cell>
        </row>
        <row r="1432">
          <cell r="A1432" t="str">
            <v>51939-037LF</v>
          </cell>
          <cell r="B1432" t="str">
            <v>51939-037LF Connector,PBRAH</v>
          </cell>
          <cell r="C1432">
            <v>1.9E-3</v>
          </cell>
          <cell r="D1432">
            <v>3131.5789473684213</v>
          </cell>
          <cell r="E1432">
            <v>9394.7368421052633</v>
          </cell>
          <cell r="F1432">
            <v>3.6499999999999998E-2</v>
          </cell>
        </row>
        <row r="1433">
          <cell r="A1433" t="str">
            <v>51939-040LF</v>
          </cell>
          <cell r="B1433" t="str">
            <v>51939-040LF PwrBlade RAH</v>
          </cell>
          <cell r="C1433">
            <v>6.1000000000000004E-3</v>
          </cell>
          <cell r="D1433">
            <v>975.4098360655737</v>
          </cell>
          <cell r="E1433">
            <v>2926.2295081967213</v>
          </cell>
          <cell r="F1433">
            <v>1.77E-2</v>
          </cell>
        </row>
        <row r="1434">
          <cell r="A1434" t="str">
            <v>51939-041LF</v>
          </cell>
          <cell r="B1434" t="str">
            <v>51939-041LF Connector,PBRAH</v>
          </cell>
          <cell r="C1434">
            <v>1.9E-3</v>
          </cell>
          <cell r="D1434">
            <v>3131.5789473684213</v>
          </cell>
          <cell r="E1434">
            <v>9394.7368421052633</v>
          </cell>
          <cell r="F1434">
            <v>2.1700000000000001E-2</v>
          </cell>
        </row>
        <row r="1435">
          <cell r="A1435" t="str">
            <v>51939-042LF</v>
          </cell>
          <cell r="B1435" t="str">
            <v>51939-042LF Connector,PBRAH</v>
          </cell>
          <cell r="C1435">
            <v>1.6000000000000001E-3</v>
          </cell>
          <cell r="D1435">
            <v>3718.75</v>
          </cell>
          <cell r="E1435">
            <v>11156.25</v>
          </cell>
          <cell r="F1435">
            <v>3.3700000000000001E-2</v>
          </cell>
        </row>
        <row r="1436">
          <cell r="A1436" t="str">
            <v>51939-043LF</v>
          </cell>
          <cell r="B1436" t="str">
            <v>51939-043LF Connector,PBRAH</v>
          </cell>
          <cell r="C1436">
            <v>1.6000000000000001E-3</v>
          </cell>
          <cell r="D1436">
            <v>3718.75</v>
          </cell>
          <cell r="E1436">
            <v>11156.25</v>
          </cell>
          <cell r="F1436">
            <v>2.24E-2</v>
          </cell>
        </row>
        <row r="1437">
          <cell r="A1437" t="str">
            <v>51939-044LF</v>
          </cell>
          <cell r="B1437" t="str">
            <v>51939-044LF Connector,PBRAH</v>
          </cell>
          <cell r="C1437">
            <v>1.9E-3</v>
          </cell>
          <cell r="D1437">
            <v>3131.5789473684213</v>
          </cell>
          <cell r="E1437">
            <v>9394.7368421052633</v>
          </cell>
          <cell r="F1437">
            <v>3.9300000000000002E-2</v>
          </cell>
        </row>
        <row r="1438">
          <cell r="A1438" t="str">
            <v>51939-045LF</v>
          </cell>
          <cell r="B1438" t="str">
            <v>51939-045LF Connector,PBRAH</v>
          </cell>
          <cell r="C1438">
            <v>2E-3</v>
          </cell>
          <cell r="D1438">
            <v>2975</v>
          </cell>
          <cell r="E1438">
            <v>8925</v>
          </cell>
          <cell r="F1438">
            <v>4.1099999999999998E-2</v>
          </cell>
        </row>
        <row r="1439">
          <cell r="A1439" t="str">
            <v>51939-046LF</v>
          </cell>
          <cell r="B1439" t="str">
            <v>51939-046LF Connector,PBRAH</v>
          </cell>
          <cell r="C1439">
            <v>2E-3</v>
          </cell>
          <cell r="D1439">
            <v>2975</v>
          </cell>
          <cell r="E1439">
            <v>8925</v>
          </cell>
          <cell r="F1439">
            <v>5.0500000000000003E-2</v>
          </cell>
        </row>
        <row r="1440">
          <cell r="A1440" t="str">
            <v>51939-049LF</v>
          </cell>
          <cell r="B1440" t="str">
            <v>51939-049LF Connector,PBRAH</v>
          </cell>
          <cell r="C1440">
            <v>1.9E-3</v>
          </cell>
          <cell r="D1440">
            <v>3131.5789473684213</v>
          </cell>
          <cell r="E1440">
            <v>9394.7368421052633</v>
          </cell>
          <cell r="F1440">
            <v>4.9599999999999998E-2</v>
          </cell>
        </row>
        <row r="1441">
          <cell r="A1441" t="str">
            <v>51939-052LF</v>
          </cell>
          <cell r="B1441" t="str">
            <v>51939-052LF PwrBlade RAH</v>
          </cell>
          <cell r="C1441">
            <v>1.9E-3</v>
          </cell>
          <cell r="D1441">
            <v>3131.5789473684213</v>
          </cell>
          <cell r="E1441">
            <v>9394.7368421052633</v>
          </cell>
          <cell r="F1441">
            <v>3.6499999999999998E-2</v>
          </cell>
        </row>
        <row r="1442">
          <cell r="A1442" t="str">
            <v>51939-055LF</v>
          </cell>
          <cell r="B1442" t="str">
            <v>51939-055LF Connector,PBRAH</v>
          </cell>
          <cell r="C1442">
            <v>1.9E-3</v>
          </cell>
          <cell r="D1442">
            <v>3131.5789473684213</v>
          </cell>
          <cell r="E1442">
            <v>9394.7368421052633</v>
          </cell>
          <cell r="F1442">
            <v>2.9000000000000001E-2</v>
          </cell>
        </row>
        <row r="1443">
          <cell r="A1443" t="str">
            <v>51939-056LF</v>
          </cell>
          <cell r="B1443" t="str">
            <v>51939-056LF Connector,PBRAH</v>
          </cell>
          <cell r="C1443">
            <v>1.9E-3</v>
          </cell>
          <cell r="D1443">
            <v>3131.5789473684213</v>
          </cell>
          <cell r="E1443">
            <v>9394.7368421052633</v>
          </cell>
          <cell r="F1443">
            <v>3.2000000000000001E-2</v>
          </cell>
        </row>
        <row r="1444">
          <cell r="A1444" t="str">
            <v>51939-059LF</v>
          </cell>
          <cell r="B1444" t="str">
            <v>51939-059LF PwrBlade RAH</v>
          </cell>
          <cell r="C1444">
            <v>6.1000000000000004E-3</v>
          </cell>
          <cell r="D1444">
            <v>975.4098360655737</v>
          </cell>
          <cell r="E1444">
            <v>2926.2295081967213</v>
          </cell>
          <cell r="F1444">
            <v>0.01</v>
          </cell>
        </row>
        <row r="1445">
          <cell r="A1445" t="str">
            <v>51939-059LF-SHD</v>
          </cell>
          <cell r="B1445" t="str">
            <v>51939-059LF-SHD PwrBlade RAH STB</v>
          </cell>
          <cell r="C1445">
            <v>6.1000000000000004E-3</v>
          </cell>
          <cell r="D1445">
            <v>975.4098360655737</v>
          </cell>
          <cell r="E1445">
            <v>2926.2295081967213</v>
          </cell>
          <cell r="F1445">
            <v>1.0950413000000001E-2</v>
          </cell>
        </row>
        <row r="1446">
          <cell r="A1446" t="str">
            <v>51939-060LF</v>
          </cell>
          <cell r="B1446" t="str">
            <v>51939-060LF Connector,PBRAH</v>
          </cell>
          <cell r="C1446">
            <v>1.9E-3</v>
          </cell>
          <cell r="D1446">
            <v>3131.5789473684213</v>
          </cell>
          <cell r="E1446">
            <v>9394.7368421052633</v>
          </cell>
          <cell r="F1446">
            <v>2.9000000000000001E-2</v>
          </cell>
        </row>
        <row r="1447">
          <cell r="A1447" t="str">
            <v>51939-061LF</v>
          </cell>
          <cell r="B1447" t="str">
            <v>51939-061LF Connector,PBRAH</v>
          </cell>
          <cell r="C1447">
            <v>2E-3</v>
          </cell>
          <cell r="D1447">
            <v>2975</v>
          </cell>
          <cell r="E1447">
            <v>8925</v>
          </cell>
          <cell r="F1447">
            <v>3.5999999999999997E-2</v>
          </cell>
        </row>
        <row r="1448">
          <cell r="A1448" t="str">
            <v>51939-062LF</v>
          </cell>
          <cell r="B1448" t="str">
            <v>51939-062LF Connector,PBRAH</v>
          </cell>
          <cell r="C1448">
            <v>1.9E-3</v>
          </cell>
          <cell r="D1448">
            <v>3131.5789473684213</v>
          </cell>
          <cell r="E1448">
            <v>9394.7368421052633</v>
          </cell>
          <cell r="F1448">
            <v>4.58E-2</v>
          </cell>
        </row>
        <row r="1449">
          <cell r="A1449" t="str">
            <v>51939-065LF</v>
          </cell>
          <cell r="B1449" t="str">
            <v>51939-065LF Connector,PBRAH</v>
          </cell>
          <cell r="C1449">
            <v>1.9E-3</v>
          </cell>
          <cell r="D1449">
            <v>3131.5789473684213</v>
          </cell>
          <cell r="E1449">
            <v>9394.7368421052633</v>
          </cell>
          <cell r="F1449">
            <v>2.92E-2</v>
          </cell>
        </row>
        <row r="1450">
          <cell r="A1450" t="str">
            <v>51939-066LF</v>
          </cell>
          <cell r="B1450" t="str">
            <v>51939-066LF Connector,PBRAH</v>
          </cell>
          <cell r="C1450">
            <v>1.9E-3</v>
          </cell>
          <cell r="D1450">
            <v>3131.5789473684213</v>
          </cell>
          <cell r="E1450">
            <v>9394.7368421052633</v>
          </cell>
          <cell r="F1450">
            <v>2.7699999999999999E-2</v>
          </cell>
        </row>
        <row r="1451">
          <cell r="A1451" t="str">
            <v>51939-067LF</v>
          </cell>
          <cell r="B1451" t="str">
            <v>51939-067LF Connector,PBRAH</v>
          </cell>
          <cell r="C1451">
            <v>1.6000000000000001E-3</v>
          </cell>
          <cell r="D1451">
            <v>3718.75</v>
          </cell>
          <cell r="E1451">
            <v>11156.25</v>
          </cell>
          <cell r="F1451">
            <v>2.06E-2</v>
          </cell>
        </row>
        <row r="1452">
          <cell r="A1452" t="str">
            <v>51939-069LF</v>
          </cell>
          <cell r="B1452" t="str">
            <v>51939-069LF Connector,PBRAH</v>
          </cell>
          <cell r="C1452">
            <v>2E-3</v>
          </cell>
          <cell r="D1452">
            <v>2975</v>
          </cell>
          <cell r="E1452">
            <v>8925</v>
          </cell>
          <cell r="F1452">
            <v>4.2999999999999997E-2</v>
          </cell>
        </row>
        <row r="1453">
          <cell r="A1453" t="str">
            <v>51939-070LF</v>
          </cell>
          <cell r="B1453" t="str">
            <v>51939-070LF Connector,PBRAH</v>
          </cell>
          <cell r="C1453">
            <v>1.9E-3</v>
          </cell>
          <cell r="D1453">
            <v>3131.5789473684213</v>
          </cell>
          <cell r="E1453">
            <v>9394.7368421052633</v>
          </cell>
          <cell r="F1453">
            <v>2.7699999999999999E-2</v>
          </cell>
        </row>
        <row r="1454">
          <cell r="A1454" t="str">
            <v>51939-072LF</v>
          </cell>
          <cell r="B1454" t="str">
            <v>51939-072LF Connector,PBRAH</v>
          </cell>
          <cell r="C1454">
            <v>1.9E-3</v>
          </cell>
          <cell r="D1454">
            <v>3131.5789473684213</v>
          </cell>
          <cell r="E1454">
            <v>9394.7368421052633</v>
          </cell>
          <cell r="F1454">
            <v>2.9899999999999999E-2</v>
          </cell>
        </row>
        <row r="1455">
          <cell r="A1455" t="str">
            <v>51939-074LF</v>
          </cell>
          <cell r="B1455" t="str">
            <v>51939-074LF Connector,PBRAH</v>
          </cell>
          <cell r="C1455">
            <v>2E-3</v>
          </cell>
          <cell r="D1455">
            <v>2975</v>
          </cell>
          <cell r="E1455">
            <v>8925</v>
          </cell>
          <cell r="F1455">
            <v>3.9300000000000002E-2</v>
          </cell>
        </row>
        <row r="1456">
          <cell r="A1456" t="str">
            <v>51939-077LF</v>
          </cell>
          <cell r="B1456" t="str">
            <v>51939-077LF Connector,PBRAH</v>
          </cell>
          <cell r="C1456">
            <v>6.1000000000000004E-3</v>
          </cell>
          <cell r="D1456">
            <v>975.4098360655737</v>
          </cell>
          <cell r="E1456">
            <v>2926.2295081967213</v>
          </cell>
          <cell r="F1456">
            <v>1.4E-2</v>
          </cell>
        </row>
        <row r="1457">
          <cell r="A1457" t="str">
            <v>51939-079LF</v>
          </cell>
          <cell r="B1457" t="str">
            <v>51939-079LF Connector,PBRAH</v>
          </cell>
          <cell r="C1457">
            <v>1.6000000000000001E-3</v>
          </cell>
          <cell r="D1457">
            <v>3718.75</v>
          </cell>
          <cell r="E1457">
            <v>11156.25</v>
          </cell>
          <cell r="F1457">
            <v>2.9000000000000001E-2</v>
          </cell>
        </row>
        <row r="1458">
          <cell r="A1458" t="str">
            <v>51939-081LF</v>
          </cell>
          <cell r="B1458" t="str">
            <v>51939-081LF Connector,PBRAH</v>
          </cell>
          <cell r="C1458">
            <v>6.1000000000000004E-3</v>
          </cell>
          <cell r="D1458">
            <v>975.4098360655737</v>
          </cell>
          <cell r="E1458">
            <v>2926.2295081967213</v>
          </cell>
          <cell r="F1458">
            <v>1.5900000000000001E-2</v>
          </cell>
        </row>
        <row r="1459">
          <cell r="A1459" t="str">
            <v>51939-083LF</v>
          </cell>
          <cell r="B1459" t="str">
            <v>51939-083LF Connector,PBRAH</v>
          </cell>
          <cell r="C1459">
            <v>3.1800000000000002E-2</v>
          </cell>
          <cell r="D1459">
            <v>187.1069182389937</v>
          </cell>
          <cell r="E1459">
            <v>561.32075471698113</v>
          </cell>
          <cell r="F1459">
            <v>3.1600000000000003E-2</v>
          </cell>
        </row>
        <row r="1460">
          <cell r="A1460" t="str">
            <v>51939-084LF</v>
          </cell>
          <cell r="B1460" t="str">
            <v>51939-084LF Connector,PBRAH</v>
          </cell>
          <cell r="C1460">
            <v>1.9E-3</v>
          </cell>
          <cell r="D1460">
            <v>3131.5789473684213</v>
          </cell>
          <cell r="E1460">
            <v>9394.7368421052633</v>
          </cell>
          <cell r="F1460">
            <v>3.9300000000000002E-2</v>
          </cell>
        </row>
        <row r="1461">
          <cell r="A1461" t="str">
            <v>51939-086LF</v>
          </cell>
          <cell r="B1461" t="str">
            <v>51939-086LF Connector,PBRAH</v>
          </cell>
          <cell r="C1461">
            <v>1.9E-3</v>
          </cell>
          <cell r="D1461">
            <v>3131.5789473684213</v>
          </cell>
          <cell r="E1461">
            <v>9394.7368421052633</v>
          </cell>
          <cell r="F1461">
            <v>4.4900000000000002E-2</v>
          </cell>
        </row>
        <row r="1462">
          <cell r="A1462" t="str">
            <v>51939-090LF</v>
          </cell>
          <cell r="B1462" t="str">
            <v>51939-090LF Connector,PBRAH</v>
          </cell>
          <cell r="C1462">
            <v>1.6000000000000001E-3</v>
          </cell>
          <cell r="D1462">
            <v>3718.75</v>
          </cell>
          <cell r="E1462">
            <v>11156.25</v>
          </cell>
          <cell r="F1462">
            <v>2.9899999999999999E-2</v>
          </cell>
        </row>
        <row r="1463">
          <cell r="A1463" t="str">
            <v>51939-096LF</v>
          </cell>
          <cell r="B1463" t="str">
            <v>51939-096LF Connector,PBRAH</v>
          </cell>
          <cell r="C1463">
            <v>1.9E-3</v>
          </cell>
          <cell r="D1463">
            <v>3131.5789473684213</v>
          </cell>
          <cell r="E1463">
            <v>9394.7368421052633</v>
          </cell>
          <cell r="F1463">
            <v>2.52E-2</v>
          </cell>
        </row>
        <row r="1464">
          <cell r="A1464" t="str">
            <v>51939-098LF</v>
          </cell>
          <cell r="B1464" t="str">
            <v>51939-098LF Connector,PBRAH</v>
          </cell>
          <cell r="C1464">
            <v>2E-3</v>
          </cell>
          <cell r="D1464">
            <v>2975</v>
          </cell>
          <cell r="E1464">
            <v>8925</v>
          </cell>
          <cell r="F1464">
            <v>3.6499999999999998E-2</v>
          </cell>
        </row>
        <row r="1465">
          <cell r="A1465" t="str">
            <v>51939-1001LF</v>
          </cell>
          <cell r="B1465" t="str">
            <v>51939-1001LF Connector,PBRAH</v>
          </cell>
          <cell r="C1465">
            <v>6.1000000000000004E-3</v>
          </cell>
          <cell r="D1465">
            <v>975.4098360655737</v>
          </cell>
          <cell r="E1465">
            <v>2926.2295081967213</v>
          </cell>
          <cell r="F1465">
            <v>1.4999999999999999E-2</v>
          </cell>
        </row>
        <row r="1466">
          <cell r="A1466" t="str">
            <v>51939-1002LF</v>
          </cell>
          <cell r="B1466" t="str">
            <v>51939-1002LF Connector,PBRAH</v>
          </cell>
          <cell r="C1466">
            <v>6.1000000000000004E-3</v>
          </cell>
          <cell r="D1466">
            <v>975.4098360655737</v>
          </cell>
          <cell r="E1466">
            <v>2926.2295081967213</v>
          </cell>
          <cell r="F1466">
            <v>0.02</v>
          </cell>
        </row>
        <row r="1467">
          <cell r="A1467" t="str">
            <v>51939-1004LF</v>
          </cell>
          <cell r="B1467" t="str">
            <v>51939-1004LF Connector,PBRAH</v>
          </cell>
          <cell r="C1467">
            <v>2E-3</v>
          </cell>
          <cell r="D1467">
            <v>2975</v>
          </cell>
          <cell r="E1467">
            <v>8925</v>
          </cell>
          <cell r="F1467">
            <v>2.8000000000000001E-2</v>
          </cell>
        </row>
        <row r="1468">
          <cell r="A1468" t="str">
            <v>51939-1006LF</v>
          </cell>
          <cell r="B1468" t="str">
            <v>51939-1006LF PwrBlade RAH STB</v>
          </cell>
          <cell r="C1468">
            <v>6.7000000000000002E-3</v>
          </cell>
          <cell r="D1468">
            <v>888.05970149253733</v>
          </cell>
          <cell r="E1468">
            <v>2664.1791044776119</v>
          </cell>
          <cell r="F1468">
            <v>4.4999999999999998E-2</v>
          </cell>
        </row>
        <row r="1469">
          <cell r="A1469" t="str">
            <v>51939-1007LF</v>
          </cell>
          <cell r="B1469" t="str">
            <v>51939-1007LF Connector,PBRAH</v>
          </cell>
          <cell r="C1469">
            <v>2E-3</v>
          </cell>
          <cell r="D1469">
            <v>2975</v>
          </cell>
          <cell r="E1469">
            <v>8925</v>
          </cell>
          <cell r="F1469">
            <v>2.5999999999999999E-2</v>
          </cell>
        </row>
        <row r="1470">
          <cell r="A1470" t="str">
            <v>51939-1008LF</v>
          </cell>
          <cell r="B1470" t="str">
            <v>51939-1008LF Connector,PBRAH</v>
          </cell>
          <cell r="C1470">
            <v>3.3E-3</v>
          </cell>
          <cell r="D1470">
            <v>1803.030303030303</v>
          </cell>
          <cell r="E1470">
            <v>5409.090909090909</v>
          </cell>
          <cell r="F1470">
            <v>3.3000000000000002E-2</v>
          </cell>
        </row>
        <row r="1471">
          <cell r="A1471" t="str">
            <v>51939-1011LF</v>
          </cell>
          <cell r="B1471" t="str">
            <v>51939-1011LF Connector,PBRAH</v>
          </cell>
          <cell r="C1471">
            <v>4.0000000000000001E-3</v>
          </cell>
          <cell r="D1471">
            <v>1487.5</v>
          </cell>
          <cell r="E1471">
            <v>4462.5</v>
          </cell>
          <cell r="F1471">
            <v>6.0999999999999999E-2</v>
          </cell>
        </row>
        <row r="1472">
          <cell r="A1472" t="str">
            <v>51939-1012LF</v>
          </cell>
          <cell r="B1472" t="str">
            <v>51939-1012LF Connector,PBRAH</v>
          </cell>
          <cell r="C1472">
            <v>2E-3</v>
          </cell>
          <cell r="D1472">
            <v>2975</v>
          </cell>
          <cell r="E1472">
            <v>8925</v>
          </cell>
          <cell r="F1472">
            <v>3.2000000000000001E-2</v>
          </cell>
        </row>
        <row r="1473">
          <cell r="A1473" t="str">
            <v>51939-1014LF</v>
          </cell>
          <cell r="B1473" t="str">
            <v>51939-1014LF Connector,PBRAH</v>
          </cell>
          <cell r="C1473">
            <v>2E-3</v>
          </cell>
          <cell r="D1473">
            <v>2975</v>
          </cell>
          <cell r="E1473">
            <v>8925</v>
          </cell>
          <cell r="F1473">
            <v>3.5000000000000003E-2</v>
          </cell>
        </row>
        <row r="1474">
          <cell r="A1474" t="str">
            <v>51939-1016LF</v>
          </cell>
          <cell r="B1474" t="str">
            <v>51939-1016LF Connector,PBRAH</v>
          </cell>
          <cell r="C1474">
            <v>2E-3</v>
          </cell>
          <cell r="D1474">
            <v>2975</v>
          </cell>
          <cell r="E1474">
            <v>8925</v>
          </cell>
          <cell r="F1474">
            <v>2.8000000000000001E-2</v>
          </cell>
        </row>
        <row r="1475">
          <cell r="A1475" t="str">
            <v>51939-1017LF</v>
          </cell>
          <cell r="B1475" t="str">
            <v>51939-1017LF Connector,PBRAH</v>
          </cell>
          <cell r="C1475">
            <v>6.1000000000000004E-3</v>
          </cell>
          <cell r="D1475">
            <v>975.4098360655737</v>
          </cell>
          <cell r="E1475">
            <v>2926.2295081967213</v>
          </cell>
          <cell r="F1475">
            <v>0.02</v>
          </cell>
        </row>
        <row r="1476">
          <cell r="A1476" t="str">
            <v>51939-1018PLF</v>
          </cell>
          <cell r="B1476" t="str">
            <v>51939-1018PLF Connector,PBRAH</v>
          </cell>
          <cell r="C1476">
            <v>6.7000000000000002E-3</v>
          </cell>
          <cell r="D1476">
            <v>888.05970149253733</v>
          </cell>
          <cell r="E1476">
            <v>2664.1791044776119</v>
          </cell>
          <cell r="F1476">
            <v>5.0999999999999997E-2</v>
          </cell>
        </row>
        <row r="1477">
          <cell r="A1477" t="str">
            <v>51939-1019LF</v>
          </cell>
          <cell r="B1477" t="str">
            <v>51939-1019LF Connector,PBRAH</v>
          </cell>
          <cell r="C1477">
            <v>6.7000000000000002E-3</v>
          </cell>
          <cell r="D1477">
            <v>888.05970149253733</v>
          </cell>
          <cell r="E1477">
            <v>2664.1791044776119</v>
          </cell>
          <cell r="F1477">
            <v>4.2000000000000003E-2</v>
          </cell>
        </row>
        <row r="1478">
          <cell r="A1478" t="str">
            <v>51939-1020LF</v>
          </cell>
          <cell r="B1478" t="str">
            <v>51939-1020LF Connector,PBRAH</v>
          </cell>
          <cell r="C1478">
            <v>6.7000000000000002E-3</v>
          </cell>
          <cell r="D1478">
            <v>888.05970149253733</v>
          </cell>
          <cell r="E1478">
            <v>2664.1791044776119</v>
          </cell>
          <cell r="F1478">
            <v>3.7999999999999999E-2</v>
          </cell>
        </row>
        <row r="1479">
          <cell r="A1479" t="str">
            <v>51939-1021LF</v>
          </cell>
          <cell r="B1479" t="str">
            <v>51939-1021LF Connector,PBRAH</v>
          </cell>
          <cell r="C1479">
            <v>2E-3</v>
          </cell>
          <cell r="D1479">
            <v>2975</v>
          </cell>
          <cell r="E1479">
            <v>8925</v>
          </cell>
          <cell r="F1479">
            <v>2.9000000000000001E-2</v>
          </cell>
        </row>
        <row r="1480">
          <cell r="A1480" t="str">
            <v>51939-1030LF</v>
          </cell>
          <cell r="B1480" t="str">
            <v>51939-1030LF Connector,PBRAH</v>
          </cell>
          <cell r="C1480">
            <v>2E-3</v>
          </cell>
          <cell r="D1480">
            <v>2975</v>
          </cell>
          <cell r="E1480">
            <v>8925</v>
          </cell>
          <cell r="F1480">
            <v>2.8000000000000001E-2</v>
          </cell>
        </row>
        <row r="1481">
          <cell r="A1481" t="str">
            <v>51939-1032LF</v>
          </cell>
          <cell r="B1481" t="str">
            <v>51939-1032LF Connector,PBRAH</v>
          </cell>
          <cell r="C1481">
            <v>2E-3</v>
          </cell>
          <cell r="D1481">
            <v>2975</v>
          </cell>
          <cell r="E1481">
            <v>8925</v>
          </cell>
          <cell r="F1481">
            <v>2.8000000000000001E-2</v>
          </cell>
        </row>
        <row r="1482">
          <cell r="A1482" t="str">
            <v>51939-1033LF</v>
          </cell>
          <cell r="B1482" t="str">
            <v>51939-1033LF Connector,PBRAH</v>
          </cell>
          <cell r="C1482">
            <v>2E-3</v>
          </cell>
          <cell r="D1482">
            <v>2975</v>
          </cell>
          <cell r="E1482">
            <v>8925</v>
          </cell>
          <cell r="F1482">
            <v>2.4E-2</v>
          </cell>
        </row>
        <row r="1483">
          <cell r="A1483" t="str">
            <v>51939-1035LF</v>
          </cell>
          <cell r="B1483" t="str">
            <v>51939-1035LF Connector,PBRAH</v>
          </cell>
          <cell r="C1483">
            <v>6.1000000000000004E-3</v>
          </cell>
          <cell r="D1483">
            <v>975.4098360655737</v>
          </cell>
          <cell r="E1483">
            <v>2926.2295081967213</v>
          </cell>
          <cell r="F1483">
            <v>3.5999999999999997E-2</v>
          </cell>
        </row>
        <row r="1484">
          <cell r="A1484" t="str">
            <v>51939-1036LF</v>
          </cell>
          <cell r="B1484" t="str">
            <v>51939-1036LF Connector,PBRAH</v>
          </cell>
          <cell r="C1484">
            <v>3.3E-3</v>
          </cell>
          <cell r="D1484">
            <v>1803.030303030303</v>
          </cell>
          <cell r="E1484">
            <v>5409.090909090909</v>
          </cell>
          <cell r="F1484">
            <v>3.9E-2</v>
          </cell>
        </row>
        <row r="1485">
          <cell r="A1485" t="str">
            <v>51939-1037LF</v>
          </cell>
          <cell r="B1485" t="str">
            <v>51939-1037LF Connector,PBRAH</v>
          </cell>
          <cell r="C1485">
            <v>2E-3</v>
          </cell>
          <cell r="D1485">
            <v>2975</v>
          </cell>
          <cell r="E1485">
            <v>8925</v>
          </cell>
          <cell r="F1485">
            <v>2.5999999999999999E-2</v>
          </cell>
        </row>
        <row r="1486">
          <cell r="A1486" t="str">
            <v>51939-1039LF</v>
          </cell>
          <cell r="B1486" t="str">
            <v>51939-1039LF PwrBlade RAH STB</v>
          </cell>
          <cell r="C1486">
            <v>6.1000000000000004E-3</v>
          </cell>
          <cell r="D1486">
            <v>975.4098360655737</v>
          </cell>
          <cell r="E1486">
            <v>2926.2295081967213</v>
          </cell>
          <cell r="F1486">
            <v>3.6999999999999998E-2</v>
          </cell>
        </row>
        <row r="1487">
          <cell r="A1487" t="str">
            <v>51939-103LF</v>
          </cell>
          <cell r="B1487" t="str">
            <v>51939-103LF PwrBlade RAH</v>
          </cell>
          <cell r="C1487">
            <v>1.9E-3</v>
          </cell>
          <cell r="D1487">
            <v>3131.5789473684213</v>
          </cell>
          <cell r="E1487">
            <v>9394.7368421052633</v>
          </cell>
          <cell r="F1487">
            <v>1.4999999999999999E-2</v>
          </cell>
        </row>
        <row r="1488">
          <cell r="A1488" t="str">
            <v>51939-1042LF</v>
          </cell>
          <cell r="B1488" t="str">
            <v>51939-1042LF Connector,PBRAH</v>
          </cell>
          <cell r="C1488">
            <v>3.3E-3</v>
          </cell>
          <cell r="D1488">
            <v>1803.030303030303</v>
          </cell>
          <cell r="E1488">
            <v>5409.090909090909</v>
          </cell>
          <cell r="F1488">
            <v>0.04</v>
          </cell>
        </row>
        <row r="1489">
          <cell r="A1489" t="str">
            <v>51939-1043LF</v>
          </cell>
          <cell r="B1489" t="str">
            <v>51939-1043LF Connector,PBRAH</v>
          </cell>
          <cell r="C1489">
            <v>3.3E-3</v>
          </cell>
          <cell r="D1489">
            <v>1803.030303030303</v>
          </cell>
          <cell r="E1489">
            <v>5409.090909090909</v>
          </cell>
          <cell r="F1489">
            <v>0.04</v>
          </cell>
        </row>
        <row r="1490">
          <cell r="A1490" t="str">
            <v>51939-1044LF</v>
          </cell>
          <cell r="B1490" t="str">
            <v>51939-1044LF Connector,PBRAH</v>
          </cell>
          <cell r="C1490">
            <v>2E-3</v>
          </cell>
          <cell r="D1490">
            <v>2975</v>
          </cell>
          <cell r="E1490">
            <v>8925</v>
          </cell>
          <cell r="F1490">
            <v>2.9000000000000001E-2</v>
          </cell>
        </row>
        <row r="1491">
          <cell r="A1491" t="str">
            <v>51939-104LF</v>
          </cell>
          <cell r="B1491" t="str">
            <v>51939-104LF Connector,PBRAH</v>
          </cell>
          <cell r="C1491">
            <v>1.9E-3</v>
          </cell>
          <cell r="D1491">
            <v>3131.5789473684213</v>
          </cell>
          <cell r="E1491">
            <v>9394.7368421052633</v>
          </cell>
          <cell r="F1491">
            <v>2.75E-2</v>
          </cell>
        </row>
        <row r="1492">
          <cell r="A1492" t="str">
            <v>51939-1050LF</v>
          </cell>
          <cell r="B1492" t="str">
            <v>51939-1050LF PwrBlade RAH STB</v>
          </cell>
          <cell r="C1492">
            <v>3.3E-3</v>
          </cell>
          <cell r="D1492">
            <v>1803.030303030303</v>
          </cell>
          <cell r="E1492">
            <v>5409.090909090909</v>
          </cell>
          <cell r="F1492">
            <v>2.6700000000000002E-2</v>
          </cell>
        </row>
        <row r="1493">
          <cell r="A1493" t="str">
            <v>51939-1054LF</v>
          </cell>
          <cell r="B1493" t="str">
            <v>51939-1054LF Connector,PBRAH</v>
          </cell>
          <cell r="C1493">
            <v>3.3E-3</v>
          </cell>
          <cell r="D1493">
            <v>1803.030303030303</v>
          </cell>
          <cell r="E1493">
            <v>5409.090909090909</v>
          </cell>
          <cell r="F1493">
            <v>4.5999999999999999E-2</v>
          </cell>
        </row>
        <row r="1494">
          <cell r="A1494" t="str">
            <v>51939-1055LF</v>
          </cell>
          <cell r="B1494" t="str">
            <v>51939-1055LF Connector,PBRAH</v>
          </cell>
          <cell r="C1494">
            <v>2E-3</v>
          </cell>
          <cell r="D1494">
            <v>2975</v>
          </cell>
          <cell r="E1494">
            <v>8925</v>
          </cell>
          <cell r="F1494">
            <v>2.7E-2</v>
          </cell>
        </row>
        <row r="1495">
          <cell r="A1495" t="str">
            <v>51939-1056LF</v>
          </cell>
          <cell r="B1495" t="str">
            <v>51939-1056LF Connector,PBRAH</v>
          </cell>
          <cell r="C1495">
            <v>3.3E-3</v>
          </cell>
          <cell r="D1495">
            <v>1803.030303030303</v>
          </cell>
          <cell r="E1495">
            <v>5409.090909090909</v>
          </cell>
          <cell r="F1495">
            <v>3.6999999999999998E-2</v>
          </cell>
        </row>
        <row r="1496">
          <cell r="A1496" t="str">
            <v>51939-1058LF</v>
          </cell>
          <cell r="B1496" t="str">
            <v>51939-1058LF Connector,PBRAH</v>
          </cell>
          <cell r="C1496">
            <v>3.3E-3</v>
          </cell>
          <cell r="D1496">
            <v>1803.030303030303</v>
          </cell>
          <cell r="E1496">
            <v>5409.090909090909</v>
          </cell>
          <cell r="F1496">
            <v>3.7999999999999999E-2</v>
          </cell>
        </row>
        <row r="1497">
          <cell r="A1497" t="str">
            <v>51939-1059LF</v>
          </cell>
          <cell r="B1497" t="str">
            <v>51939-1059LF Connector,PBRAH</v>
          </cell>
          <cell r="C1497">
            <v>3.3E-3</v>
          </cell>
          <cell r="D1497">
            <v>1803.030303030303</v>
          </cell>
          <cell r="E1497">
            <v>5409.090909090909</v>
          </cell>
          <cell r="F1497">
            <v>3.5999999999999997E-2</v>
          </cell>
        </row>
        <row r="1498">
          <cell r="A1498" t="str">
            <v>51939-105LF</v>
          </cell>
          <cell r="B1498" t="str">
            <v>51939-105LF Connector,PBRAH</v>
          </cell>
          <cell r="C1498">
            <v>1.9E-3</v>
          </cell>
          <cell r="D1498">
            <v>3131.5789473684213</v>
          </cell>
          <cell r="E1498">
            <v>9394.7368421052633</v>
          </cell>
          <cell r="F1498">
            <v>4.2999999999999997E-2</v>
          </cell>
        </row>
        <row r="1499">
          <cell r="A1499" t="str">
            <v>51939-1061LF</v>
          </cell>
          <cell r="B1499" t="str">
            <v>51939-1061LF Connector,PBRAH</v>
          </cell>
          <cell r="C1499">
            <v>3.3E-3</v>
          </cell>
          <cell r="D1499">
            <v>1803.030303030303</v>
          </cell>
          <cell r="E1499">
            <v>5409.090909090909</v>
          </cell>
          <cell r="F1499">
            <v>3.2000000000000001E-2</v>
          </cell>
        </row>
        <row r="1500">
          <cell r="A1500" t="str">
            <v>51939-1062LF</v>
          </cell>
          <cell r="B1500" t="str">
            <v>51939-1062LF PwrBlade RAH STB</v>
          </cell>
          <cell r="C1500">
            <v>3.3E-3</v>
          </cell>
          <cell r="D1500">
            <v>1803.030303030303</v>
          </cell>
          <cell r="E1500">
            <v>5409.090909090909</v>
          </cell>
          <cell r="F1500">
            <v>3.7999999999999999E-2</v>
          </cell>
        </row>
        <row r="1501">
          <cell r="A1501" t="str">
            <v>51939-1064LF</v>
          </cell>
          <cell r="B1501" t="str">
            <v>51939-1064LF Connector,PBRAH</v>
          </cell>
          <cell r="C1501">
            <v>3.3E-3</v>
          </cell>
          <cell r="D1501">
            <v>1803.030303030303</v>
          </cell>
          <cell r="E1501">
            <v>5409.090909090909</v>
          </cell>
          <cell r="F1501">
            <v>3.5999999999999997E-2</v>
          </cell>
        </row>
        <row r="1502">
          <cell r="A1502" t="str">
            <v>51939-1065LF</v>
          </cell>
          <cell r="B1502" t="str">
            <v>51939-1065LF Connector,PBRAH</v>
          </cell>
          <cell r="C1502">
            <v>6.1000000000000004E-3</v>
          </cell>
          <cell r="D1502">
            <v>975.4098360655737</v>
          </cell>
          <cell r="E1502">
            <v>2926.2295081967213</v>
          </cell>
          <cell r="F1502">
            <v>3.1E-2</v>
          </cell>
        </row>
        <row r="1503">
          <cell r="A1503" t="str">
            <v>51939-1066LF</v>
          </cell>
          <cell r="B1503" t="str">
            <v>51939-1066LF Connector,PBRAH</v>
          </cell>
          <cell r="C1503">
            <v>3.3E-3</v>
          </cell>
          <cell r="D1503">
            <v>1803.030303030303</v>
          </cell>
          <cell r="E1503">
            <v>5409.090909090909</v>
          </cell>
          <cell r="F1503">
            <v>3.7999999999999999E-2</v>
          </cell>
        </row>
        <row r="1504">
          <cell r="A1504" t="str">
            <v>51939-1067LF</v>
          </cell>
          <cell r="B1504" t="str">
            <v>51939-1067LF Connector,PBRAH</v>
          </cell>
          <cell r="C1504">
            <v>3.3E-3</v>
          </cell>
          <cell r="D1504">
            <v>1803.030303030303</v>
          </cell>
          <cell r="E1504">
            <v>5409.090909090909</v>
          </cell>
          <cell r="F1504">
            <v>3.5999999999999997E-2</v>
          </cell>
        </row>
        <row r="1505">
          <cell r="A1505" t="str">
            <v>51939-1068LF</v>
          </cell>
          <cell r="B1505" t="str">
            <v>51939-1068LF Connector,PBRAH</v>
          </cell>
          <cell r="C1505">
            <v>3.3E-3</v>
          </cell>
          <cell r="D1505">
            <v>1803.030303030303</v>
          </cell>
          <cell r="E1505">
            <v>5409.090909090909</v>
          </cell>
          <cell r="F1505">
            <v>3.2000000000000001E-2</v>
          </cell>
        </row>
        <row r="1506">
          <cell r="A1506" t="str">
            <v>51939-1071LF</v>
          </cell>
          <cell r="B1506" t="str">
            <v>51939-1071LF Connector,PBRAH</v>
          </cell>
          <cell r="C1506">
            <v>6.1000000000000004E-3</v>
          </cell>
          <cell r="D1506">
            <v>975.4098360655737</v>
          </cell>
          <cell r="E1506">
            <v>2926.2295081967213</v>
          </cell>
          <cell r="F1506">
            <v>2.6800000000000001E-2</v>
          </cell>
        </row>
        <row r="1507">
          <cell r="A1507" t="str">
            <v>51939-1073LF</v>
          </cell>
          <cell r="B1507" t="str">
            <v>51939-1073LF PwrBlade RAH STB</v>
          </cell>
          <cell r="C1507">
            <v>3.3E-3</v>
          </cell>
          <cell r="D1507">
            <v>1803.030303030303</v>
          </cell>
          <cell r="E1507">
            <v>5409.090909090909</v>
          </cell>
          <cell r="F1507">
            <v>3.7999999999999999E-2</v>
          </cell>
        </row>
        <row r="1508">
          <cell r="A1508" t="str">
            <v>51939-1074LF</v>
          </cell>
          <cell r="B1508" t="str">
            <v>51939-1074LF PwrBlade RAH STB</v>
          </cell>
          <cell r="C1508">
            <v>3.3E-3</v>
          </cell>
          <cell r="D1508">
            <v>1803.030303030303</v>
          </cell>
          <cell r="E1508">
            <v>5409.090909090909</v>
          </cell>
          <cell r="F1508">
            <v>3.1E-2</v>
          </cell>
        </row>
        <row r="1509">
          <cell r="A1509" t="str">
            <v>51939-107LF</v>
          </cell>
          <cell r="B1509" t="str">
            <v>51939-107LF Connector,PBRAH</v>
          </cell>
          <cell r="C1509">
            <v>1.6000000000000001E-3</v>
          </cell>
          <cell r="D1509">
            <v>3718.75</v>
          </cell>
          <cell r="E1509">
            <v>11156.25</v>
          </cell>
          <cell r="F1509">
            <v>3.3700000000000001E-2</v>
          </cell>
        </row>
        <row r="1510">
          <cell r="A1510" t="str">
            <v>51939-1082LF</v>
          </cell>
          <cell r="B1510" t="str">
            <v>51939-1082LF Connector,PBRAH</v>
          </cell>
          <cell r="C1510">
            <v>3.3E-3</v>
          </cell>
          <cell r="D1510">
            <v>1803.030303030303</v>
          </cell>
          <cell r="E1510">
            <v>5409.090909090909</v>
          </cell>
          <cell r="F1510">
            <v>5.0999999999999997E-2</v>
          </cell>
        </row>
        <row r="1511">
          <cell r="A1511" t="str">
            <v>51939-1084LF</v>
          </cell>
          <cell r="B1511" t="str">
            <v>51939-1084LF PwrBlade RAH STB</v>
          </cell>
          <cell r="C1511">
            <v>3.3E-3</v>
          </cell>
          <cell r="D1511">
            <v>1803.030303030303</v>
          </cell>
          <cell r="E1511">
            <v>5409.090909090909</v>
          </cell>
          <cell r="F1511">
            <v>2.9624241999999999E-2</v>
          </cell>
        </row>
        <row r="1512">
          <cell r="A1512" t="str">
            <v>51939-1086LF</v>
          </cell>
          <cell r="B1512" t="str">
            <v>51939-1086LF Connector,PBRAH</v>
          </cell>
          <cell r="C1512">
            <v>3.3E-3</v>
          </cell>
          <cell r="D1512">
            <v>1803.030303030303</v>
          </cell>
          <cell r="E1512">
            <v>5409.090909090909</v>
          </cell>
          <cell r="F1512">
            <v>3.1E-2</v>
          </cell>
        </row>
        <row r="1513">
          <cell r="A1513" t="str">
            <v>51939-1089LF</v>
          </cell>
          <cell r="B1513" t="str">
            <v>51939-1089LF Connector,PBRAH</v>
          </cell>
          <cell r="C1513">
            <v>3.3E-3</v>
          </cell>
          <cell r="D1513">
            <v>1803.030303030303</v>
          </cell>
          <cell r="E1513">
            <v>5409.090909090909</v>
          </cell>
          <cell r="F1513">
            <v>3.4000000000000002E-2</v>
          </cell>
        </row>
        <row r="1514">
          <cell r="A1514" t="str">
            <v>51939-1091MLLF</v>
          </cell>
          <cell r="B1514" t="str">
            <v>51939-1091MLLF Connector,PBRAH</v>
          </cell>
          <cell r="C1514">
            <v>3.3E-3</v>
          </cell>
          <cell r="D1514">
            <v>1803.030303030303</v>
          </cell>
          <cell r="E1514">
            <v>5409.090909090909</v>
          </cell>
          <cell r="F1514">
            <v>3.4000000000000002E-2</v>
          </cell>
        </row>
        <row r="1515">
          <cell r="A1515" t="str">
            <v>51939-1096LF</v>
          </cell>
          <cell r="B1515" t="str">
            <v>51939-1096LF Connector,PBRAH</v>
          </cell>
          <cell r="C1515">
            <v>6.1000000000000004E-3</v>
          </cell>
          <cell r="D1515">
            <v>975.4098360655737</v>
          </cell>
          <cell r="E1515">
            <v>2926.2295081967213</v>
          </cell>
          <cell r="F1515">
            <v>1.6E-2</v>
          </cell>
        </row>
        <row r="1516">
          <cell r="A1516" t="str">
            <v>51939-1097LF</v>
          </cell>
          <cell r="B1516" t="str">
            <v>51939-1097LF Connector,PBRAH</v>
          </cell>
          <cell r="C1516">
            <v>6.1000000000000004E-3</v>
          </cell>
          <cell r="D1516">
            <v>975.4098360655737</v>
          </cell>
          <cell r="E1516">
            <v>2926.2295081967213</v>
          </cell>
          <cell r="F1516">
            <v>1.6E-2</v>
          </cell>
        </row>
        <row r="1517">
          <cell r="A1517" t="str">
            <v>51939-1100LF</v>
          </cell>
          <cell r="B1517" t="str">
            <v>51939-1100LF Connector,PBRAH</v>
          </cell>
          <cell r="C1517">
            <v>6.1000000000000004E-3</v>
          </cell>
          <cell r="D1517">
            <v>975.4098360655737</v>
          </cell>
          <cell r="E1517">
            <v>2926.2295081967213</v>
          </cell>
          <cell r="F1517">
            <v>2.1999999999999999E-2</v>
          </cell>
        </row>
        <row r="1518">
          <cell r="A1518" t="str">
            <v>51939-1101LF</v>
          </cell>
          <cell r="B1518" t="str">
            <v>51939-1101LF Connector,PBRAH</v>
          </cell>
          <cell r="C1518">
            <v>3.3E-3</v>
          </cell>
          <cell r="D1518">
            <v>1803.030303030303</v>
          </cell>
          <cell r="E1518">
            <v>5409.090909090909</v>
          </cell>
          <cell r="F1518">
            <v>3.1E-2</v>
          </cell>
        </row>
        <row r="1519">
          <cell r="A1519" t="str">
            <v>51939-1102LF</v>
          </cell>
          <cell r="B1519" t="str">
            <v>51939-1102LF Connector,PBRAH</v>
          </cell>
          <cell r="C1519">
            <v>6.1000000000000004E-3</v>
          </cell>
          <cell r="D1519">
            <v>975.4098360655737</v>
          </cell>
          <cell r="E1519">
            <v>2926.2295081967213</v>
          </cell>
          <cell r="F1519">
            <v>2.1999999999999999E-2</v>
          </cell>
        </row>
        <row r="1520">
          <cell r="A1520" t="str">
            <v>51939-1105LF</v>
          </cell>
          <cell r="B1520" t="str">
            <v>51939-1105LF Connector,PBRAH</v>
          </cell>
          <cell r="C1520">
            <v>0.01</v>
          </cell>
          <cell r="D1520">
            <v>595</v>
          </cell>
          <cell r="E1520">
            <v>1785</v>
          </cell>
          <cell r="F1520">
            <v>2.8000000000000001E-2</v>
          </cell>
        </row>
        <row r="1521">
          <cell r="A1521" t="str">
            <v>51939-1106LF</v>
          </cell>
          <cell r="B1521" t="str">
            <v>51939-1106LF Connector,PBRAH</v>
          </cell>
          <cell r="C1521">
            <v>3.3E-3</v>
          </cell>
          <cell r="D1521">
            <v>1803.030303030303</v>
          </cell>
          <cell r="E1521">
            <v>5409.090909090909</v>
          </cell>
          <cell r="F1521">
            <v>2.6100000000000002E-2</v>
          </cell>
        </row>
        <row r="1522">
          <cell r="A1522" t="str">
            <v>51939-1108LF</v>
          </cell>
          <cell r="B1522" t="str">
            <v>51939-1108LF Connector,PBRAH</v>
          </cell>
          <cell r="C1522">
            <v>6.6E-3</v>
          </cell>
          <cell r="D1522">
            <v>901.5151515151515</v>
          </cell>
          <cell r="E1522">
            <v>2704.5454545454545</v>
          </cell>
          <cell r="F1522">
            <v>3.5000000000000003E-2</v>
          </cell>
        </row>
        <row r="1523">
          <cell r="A1523" t="str">
            <v>51939-1109LF</v>
          </cell>
          <cell r="B1523" t="str">
            <v>51939-1109LF Connector,PBRAH</v>
          </cell>
          <cell r="C1523">
            <v>6.6E-3</v>
          </cell>
          <cell r="D1523">
            <v>901.5151515151515</v>
          </cell>
          <cell r="E1523">
            <v>2704.5454545454545</v>
          </cell>
          <cell r="F1523">
            <v>3.7999999999999999E-2</v>
          </cell>
        </row>
        <row r="1524">
          <cell r="A1524" t="str">
            <v>51939-1110LF</v>
          </cell>
          <cell r="B1524" t="str">
            <v>51939-1110LF Connector,PBRAH</v>
          </cell>
          <cell r="C1524">
            <v>8.9999999999999993E-3</v>
          </cell>
          <cell r="D1524">
            <v>661.1111111111112</v>
          </cell>
          <cell r="E1524">
            <v>1983.3333333333335</v>
          </cell>
          <cell r="F1524">
            <v>3.7999999999999999E-2</v>
          </cell>
        </row>
        <row r="1525">
          <cell r="A1525" t="str">
            <v>51939-1113LF</v>
          </cell>
          <cell r="B1525" t="str">
            <v>51939-1113LF Connector,PBRAH</v>
          </cell>
          <cell r="C1525">
            <v>6.4000000000000003E-3</v>
          </cell>
          <cell r="D1525">
            <v>929.6875</v>
          </cell>
          <cell r="E1525">
            <v>2789.0625</v>
          </cell>
          <cell r="F1525">
            <v>1.4E-2</v>
          </cell>
        </row>
        <row r="1526">
          <cell r="A1526" t="str">
            <v>51939-1114LF</v>
          </cell>
          <cell r="B1526" t="str">
            <v>51939-1114LF Connector,PBRAH</v>
          </cell>
          <cell r="C1526">
            <v>3.3E-3</v>
          </cell>
          <cell r="D1526">
            <v>1803.030303030303</v>
          </cell>
          <cell r="E1526">
            <v>5409.090909090909</v>
          </cell>
          <cell r="F1526">
            <v>2.8000000000000001E-2</v>
          </cell>
        </row>
        <row r="1527">
          <cell r="A1527" t="str">
            <v>51939-1117LF</v>
          </cell>
          <cell r="B1527" t="str">
            <v>51939-1117LF Connector,PBRAH</v>
          </cell>
          <cell r="C1527">
            <v>3.3E-3</v>
          </cell>
          <cell r="D1527">
            <v>1803.030303030303</v>
          </cell>
          <cell r="E1527">
            <v>5409.090909090909</v>
          </cell>
          <cell r="F1527">
            <v>3.5999999999999997E-2</v>
          </cell>
        </row>
        <row r="1528">
          <cell r="A1528" t="str">
            <v>51939-1118LF</v>
          </cell>
          <cell r="B1528" t="str">
            <v>51939-1118LF Connector,PBRAH</v>
          </cell>
          <cell r="C1528">
            <v>6.1000000000000004E-3</v>
          </cell>
          <cell r="D1528">
            <v>975.4098360655737</v>
          </cell>
          <cell r="E1528">
            <v>2926.2295081967213</v>
          </cell>
          <cell r="F1528">
            <v>2.5999999999999999E-2</v>
          </cell>
        </row>
        <row r="1529">
          <cell r="A1529" t="str">
            <v>51939-1119LF</v>
          </cell>
          <cell r="B1529" t="str">
            <v>51939-1119LF Connector,PBRAH</v>
          </cell>
          <cell r="C1529">
            <v>3.3E-3</v>
          </cell>
          <cell r="D1529">
            <v>1803.030303030303</v>
          </cell>
          <cell r="E1529">
            <v>5409.090909090909</v>
          </cell>
          <cell r="F1529">
            <v>2.8000000000000001E-2</v>
          </cell>
        </row>
        <row r="1530">
          <cell r="A1530" t="str">
            <v>51939-1121LF</v>
          </cell>
          <cell r="B1530" t="str">
            <v>51939-1121LF Connector,PBRAH</v>
          </cell>
          <cell r="C1530">
            <v>0.01</v>
          </cell>
          <cell r="D1530">
            <v>595</v>
          </cell>
          <cell r="E1530">
            <v>1785</v>
          </cell>
          <cell r="F1530">
            <v>3.2000000000000001E-2</v>
          </cell>
        </row>
        <row r="1531">
          <cell r="A1531" t="str">
            <v>51939-1122LF</v>
          </cell>
          <cell r="B1531" t="str">
            <v>51939-1122LF Connector,PBRAH</v>
          </cell>
          <cell r="C1531">
            <v>2.3E-3</v>
          </cell>
          <cell r="D1531">
            <v>2586.9565217391305</v>
          </cell>
          <cell r="E1531">
            <v>7760.8695652173919</v>
          </cell>
          <cell r="F1531">
            <v>2.4E-2</v>
          </cell>
        </row>
        <row r="1532">
          <cell r="A1532" t="str">
            <v>51939-1125LF</v>
          </cell>
          <cell r="B1532" t="str">
            <v>51939-1125LF Connector,PBRAH</v>
          </cell>
          <cell r="C1532">
            <v>3.9E-2</v>
          </cell>
          <cell r="D1532">
            <v>152.56410256410257</v>
          </cell>
          <cell r="E1532">
            <v>457.69230769230774</v>
          </cell>
          <cell r="F1532">
            <v>2.5000000000000001E-2</v>
          </cell>
        </row>
        <row r="1533">
          <cell r="A1533" t="str">
            <v>51939-1126LF</v>
          </cell>
          <cell r="B1533" t="str">
            <v>51939-1126LF Connector,PBRAH</v>
          </cell>
          <cell r="C1533">
            <v>2.3800000000000002E-2</v>
          </cell>
          <cell r="D1533">
            <v>250</v>
          </cell>
          <cell r="E1533">
            <v>750</v>
          </cell>
          <cell r="F1533">
            <v>1.9300000000000001E-2</v>
          </cell>
        </row>
        <row r="1534">
          <cell r="A1534" t="str">
            <v>51939-1127LF</v>
          </cell>
          <cell r="B1534" t="str">
            <v>51939-1127LF Connector,PBRAH</v>
          </cell>
          <cell r="C1534">
            <v>3.3E-3</v>
          </cell>
          <cell r="D1534">
            <v>1803.030303030303</v>
          </cell>
          <cell r="E1534">
            <v>5409.090909090909</v>
          </cell>
          <cell r="F1534">
            <v>2.5999999999999999E-2</v>
          </cell>
        </row>
        <row r="1535">
          <cell r="A1535" t="str">
            <v>51939-1128LF</v>
          </cell>
          <cell r="B1535" t="str">
            <v>51939-1128LF Connector,PBRAH</v>
          </cell>
          <cell r="C1535">
            <v>0.01</v>
          </cell>
          <cell r="D1535">
            <v>595</v>
          </cell>
          <cell r="E1535">
            <v>1785</v>
          </cell>
          <cell r="F1535">
            <v>2.9000000000000001E-2</v>
          </cell>
        </row>
        <row r="1536">
          <cell r="A1536" t="str">
            <v>51939-1129LF</v>
          </cell>
          <cell r="B1536" t="str">
            <v>51939-1129LF Connector,PBRAH</v>
          </cell>
          <cell r="C1536">
            <v>0.01</v>
          </cell>
          <cell r="D1536">
            <v>595</v>
          </cell>
          <cell r="E1536">
            <v>1785</v>
          </cell>
          <cell r="F1536">
            <v>3.1E-2</v>
          </cell>
        </row>
        <row r="1537">
          <cell r="A1537" t="str">
            <v>51939-112LF</v>
          </cell>
          <cell r="B1537" t="str">
            <v>51939-112LF Connector,PBRAH</v>
          </cell>
          <cell r="C1537">
            <v>3.7000000000000002E-3</v>
          </cell>
          <cell r="D1537">
            <v>1608.1081081081081</v>
          </cell>
          <cell r="E1537">
            <v>4824.3243243243242</v>
          </cell>
          <cell r="F1537">
            <v>4.7199999999999999E-2</v>
          </cell>
        </row>
        <row r="1538">
          <cell r="A1538" t="str">
            <v>51939-1131LF</v>
          </cell>
          <cell r="B1538" t="str">
            <v>51939-1131LF PwrBlade RAH STB</v>
          </cell>
          <cell r="C1538">
            <v>2E-3</v>
          </cell>
          <cell r="D1538">
            <v>2975</v>
          </cell>
          <cell r="E1538">
            <v>8925</v>
          </cell>
          <cell r="F1538">
            <v>0.02</v>
          </cell>
        </row>
        <row r="1539">
          <cell r="A1539" t="str">
            <v>51939-1133LF</v>
          </cell>
          <cell r="B1539" t="str">
            <v>51939-1133LF Connector,PBRAH</v>
          </cell>
          <cell r="C1539">
            <v>3.3E-3</v>
          </cell>
          <cell r="D1539">
            <v>1803.030303030303</v>
          </cell>
          <cell r="E1539">
            <v>5409.090909090909</v>
          </cell>
          <cell r="F1539">
            <v>3.6999999999999998E-2</v>
          </cell>
        </row>
        <row r="1540">
          <cell r="A1540" t="str">
            <v>51939-1134LF</v>
          </cell>
          <cell r="B1540" t="str">
            <v>51939-1134LF Connector,PBRAH</v>
          </cell>
          <cell r="C1540">
            <v>3.3E-3</v>
          </cell>
          <cell r="D1540">
            <v>1803.030303030303</v>
          </cell>
          <cell r="E1540">
            <v>5409.090909090909</v>
          </cell>
          <cell r="F1540">
            <v>2.5999999999999999E-2</v>
          </cell>
        </row>
        <row r="1541">
          <cell r="A1541" t="str">
            <v>51939-1136LF</v>
          </cell>
          <cell r="B1541" t="str">
            <v>51939-1136LF Connector,PBRAH</v>
          </cell>
          <cell r="C1541">
            <v>3.3E-3</v>
          </cell>
          <cell r="D1541">
            <v>1803.030303030303</v>
          </cell>
          <cell r="E1541">
            <v>5409.090909090909</v>
          </cell>
          <cell r="F1541">
            <v>3.2000000000000001E-2</v>
          </cell>
        </row>
        <row r="1542">
          <cell r="A1542" t="str">
            <v>51939-1140LF</v>
          </cell>
          <cell r="B1542" t="str">
            <v>51939-1140LF Connector,PBRAH</v>
          </cell>
          <cell r="C1542">
            <v>3.3E-3</v>
          </cell>
          <cell r="D1542">
            <v>1803.030303030303</v>
          </cell>
          <cell r="E1542">
            <v>5409.090909090909</v>
          </cell>
          <cell r="F1542">
            <v>3.6999999999999998E-2</v>
          </cell>
        </row>
        <row r="1543">
          <cell r="A1543" t="str">
            <v>51939-1142LF</v>
          </cell>
          <cell r="B1543" t="str">
            <v>51939-1142LF PwrBlade RAH STB</v>
          </cell>
          <cell r="C1543">
            <v>3.3E-3</v>
          </cell>
          <cell r="D1543">
            <v>1803.030303030303</v>
          </cell>
          <cell r="E1543">
            <v>5409.090909090909</v>
          </cell>
          <cell r="F1543">
            <v>2.1999999999999999E-2</v>
          </cell>
        </row>
        <row r="1544">
          <cell r="A1544" t="str">
            <v>51939-1143LF</v>
          </cell>
          <cell r="B1544" t="str">
            <v>51939-1143LF Connector,PBRAH</v>
          </cell>
          <cell r="C1544">
            <v>0.01</v>
          </cell>
          <cell r="D1544">
            <v>595</v>
          </cell>
          <cell r="E1544">
            <v>1785</v>
          </cell>
          <cell r="F1544">
            <v>3.7999999999999999E-2</v>
          </cell>
        </row>
        <row r="1545">
          <cell r="A1545" t="str">
            <v>51939-1144LF</v>
          </cell>
          <cell r="B1545" t="str">
            <v>51939-1144LF Connector,PBRAH</v>
          </cell>
          <cell r="C1545">
            <v>3.3E-3</v>
          </cell>
          <cell r="D1545">
            <v>1803.030303030303</v>
          </cell>
          <cell r="E1545">
            <v>5409.090909090909</v>
          </cell>
          <cell r="F1545">
            <v>2.7E-2</v>
          </cell>
        </row>
        <row r="1546">
          <cell r="A1546" t="str">
            <v>51939-1146LF</v>
          </cell>
          <cell r="B1546" t="str">
            <v>51939-1146LF PwrBlade RAH STB</v>
          </cell>
          <cell r="C1546">
            <v>0.01</v>
          </cell>
          <cell r="D1546">
            <v>595</v>
          </cell>
          <cell r="E1546">
            <v>1785</v>
          </cell>
          <cell r="F1546">
            <v>5.3999999999999999E-2</v>
          </cell>
        </row>
        <row r="1547">
          <cell r="A1547" t="str">
            <v>51939-1147LF</v>
          </cell>
          <cell r="B1547" t="str">
            <v>51939-1147LF Connector,PBRAH</v>
          </cell>
          <cell r="C1547">
            <v>0.01</v>
          </cell>
          <cell r="D1547">
            <v>595</v>
          </cell>
          <cell r="E1547">
            <v>1785</v>
          </cell>
          <cell r="F1547">
            <v>5.5E-2</v>
          </cell>
        </row>
        <row r="1548">
          <cell r="A1548" t="str">
            <v>51939-1148LF</v>
          </cell>
          <cell r="B1548" t="str">
            <v>51939-1148LF PwrBlade RAH STB</v>
          </cell>
          <cell r="C1548">
            <v>6.7000000000000002E-3</v>
          </cell>
          <cell r="D1548">
            <v>888.05970149253733</v>
          </cell>
          <cell r="E1548">
            <v>2664.1791044776119</v>
          </cell>
          <cell r="F1548">
            <v>5.3999999999999999E-2</v>
          </cell>
        </row>
        <row r="1549">
          <cell r="A1549" t="str">
            <v>51939-1149LF</v>
          </cell>
          <cell r="B1549" t="str">
            <v>51939-1149LF Connector,PBRAH</v>
          </cell>
          <cell r="C1549">
            <v>6.7000000000000002E-3</v>
          </cell>
          <cell r="D1549">
            <v>888.05970149253733</v>
          </cell>
          <cell r="E1549">
            <v>2664.1791044776119</v>
          </cell>
          <cell r="F1549">
            <v>5.3999999999999999E-2</v>
          </cell>
        </row>
        <row r="1550">
          <cell r="A1550" t="str">
            <v>51939-114LF</v>
          </cell>
          <cell r="B1550" t="str">
            <v>51939-114LF Connector,PBRAH</v>
          </cell>
          <cell r="C1550">
            <v>1.9E-3</v>
          </cell>
          <cell r="D1550">
            <v>3131.5789473684213</v>
          </cell>
          <cell r="E1550">
            <v>9394.7368421052633</v>
          </cell>
          <cell r="F1550">
            <v>1.9599999999999999E-2</v>
          </cell>
        </row>
        <row r="1551">
          <cell r="A1551" t="str">
            <v>51939-1151LHLF</v>
          </cell>
          <cell r="B1551" t="str">
            <v>51939-1151LHLF PwrBlade RAH STB</v>
          </cell>
          <cell r="C1551">
            <v>2E-3</v>
          </cell>
          <cell r="D1551">
            <v>2975</v>
          </cell>
          <cell r="E1551">
            <v>8925</v>
          </cell>
          <cell r="F1551">
            <v>2.5000000000000001E-2</v>
          </cell>
        </row>
        <row r="1552">
          <cell r="A1552" t="str">
            <v>51939-1153LF</v>
          </cell>
          <cell r="B1552" t="str">
            <v>51939-1153LF PwrBlade RAH</v>
          </cell>
          <cell r="C1552">
            <v>3.0000000000000001E-3</v>
          </cell>
          <cell r="D1552">
            <v>1983.3333333333333</v>
          </cell>
          <cell r="E1552">
            <v>5950</v>
          </cell>
          <cell r="F1552">
            <v>0.01</v>
          </cell>
        </row>
        <row r="1553">
          <cell r="A1553" t="str">
            <v>51939-1156LF</v>
          </cell>
          <cell r="B1553" t="str">
            <v>51939-1156LF Connector,PBRAH</v>
          </cell>
          <cell r="C1553">
            <v>3.3E-3</v>
          </cell>
          <cell r="D1553">
            <v>1803.030303030303</v>
          </cell>
          <cell r="E1553">
            <v>5409.090909090909</v>
          </cell>
          <cell r="F1553">
            <v>3.5999999999999997E-2</v>
          </cell>
        </row>
        <row r="1554">
          <cell r="A1554" t="str">
            <v>51939-115LF</v>
          </cell>
          <cell r="B1554" t="str">
            <v>51939-115LF Connector,PBRAH</v>
          </cell>
          <cell r="C1554">
            <v>2E-3</v>
          </cell>
          <cell r="D1554">
            <v>2975</v>
          </cell>
          <cell r="E1554">
            <v>8925</v>
          </cell>
          <cell r="F1554">
            <v>3.5999999999999997E-2</v>
          </cell>
        </row>
        <row r="1555">
          <cell r="A1555" t="str">
            <v>51939-1162LF</v>
          </cell>
          <cell r="B1555" t="str">
            <v>51939-1162LF Connector,PBRAH</v>
          </cell>
          <cell r="C1555">
            <v>3.3E-3</v>
          </cell>
          <cell r="D1555">
            <v>1803.030303030303</v>
          </cell>
          <cell r="E1555">
            <v>5409.090909090909</v>
          </cell>
          <cell r="F1555">
            <v>2.8000000000000001E-2</v>
          </cell>
        </row>
        <row r="1556">
          <cell r="A1556" t="str">
            <v>51939-1166LF</v>
          </cell>
          <cell r="B1556" t="str">
            <v>51939-1166LF Connector,PBRAH</v>
          </cell>
          <cell r="C1556">
            <v>0.01</v>
          </cell>
          <cell r="D1556">
            <v>595</v>
          </cell>
          <cell r="E1556">
            <v>1785</v>
          </cell>
          <cell r="F1556">
            <v>4.2999999999999997E-2</v>
          </cell>
        </row>
        <row r="1557">
          <cell r="A1557" t="str">
            <v>51939-1170LF</v>
          </cell>
          <cell r="B1557" t="str">
            <v>51939-1170LF PwrBlade RAH STB</v>
          </cell>
          <cell r="C1557">
            <v>6.1000000000000004E-3</v>
          </cell>
          <cell r="D1557">
            <v>975.4098360655737</v>
          </cell>
          <cell r="E1557">
            <v>2926.2295081967213</v>
          </cell>
          <cell r="F1557">
            <v>3.3000000000000002E-2</v>
          </cell>
        </row>
        <row r="1558">
          <cell r="A1558" t="str">
            <v>51939-1171LF</v>
          </cell>
          <cell r="B1558" t="str">
            <v>51939-1171LF Connector,PBRAH</v>
          </cell>
          <cell r="C1558">
            <v>3.3E-3</v>
          </cell>
          <cell r="D1558">
            <v>1803.030303030303</v>
          </cell>
          <cell r="E1558">
            <v>5409.090909090909</v>
          </cell>
          <cell r="F1558">
            <v>3.2000000000000001E-2</v>
          </cell>
        </row>
        <row r="1559">
          <cell r="A1559" t="str">
            <v>51939-1172LF</v>
          </cell>
          <cell r="B1559" t="str">
            <v>51939-1172LF Connector,PBRAH</v>
          </cell>
          <cell r="C1559">
            <v>3.3E-3</v>
          </cell>
          <cell r="D1559">
            <v>1803.030303030303</v>
          </cell>
          <cell r="E1559">
            <v>5409.090909090909</v>
          </cell>
          <cell r="F1559">
            <v>2.7E-2</v>
          </cell>
        </row>
        <row r="1560">
          <cell r="A1560" t="str">
            <v>51939-1177LF</v>
          </cell>
          <cell r="B1560" t="str">
            <v>51939-1177LF PwrBlade RAH STB</v>
          </cell>
          <cell r="C1560">
            <v>9.9000000000000008E-3</v>
          </cell>
          <cell r="D1560">
            <v>601.01010101010093</v>
          </cell>
          <cell r="E1560">
            <v>1803.0303030303028</v>
          </cell>
          <cell r="F1560">
            <v>6.2E-2</v>
          </cell>
        </row>
        <row r="1561">
          <cell r="A1561" t="str">
            <v>51939-1178LF</v>
          </cell>
          <cell r="B1561" t="str">
            <v>51939-1178LF Connector,PBRAH</v>
          </cell>
          <cell r="C1561">
            <v>3.3E-3</v>
          </cell>
          <cell r="D1561">
            <v>1803.030303030303</v>
          </cell>
          <cell r="E1561">
            <v>5409.090909090909</v>
          </cell>
          <cell r="F1561">
            <v>2.7E-2</v>
          </cell>
        </row>
        <row r="1562">
          <cell r="A1562" t="str">
            <v>51939-1179LF</v>
          </cell>
          <cell r="B1562" t="str">
            <v>51939-1179LF Connector,PBRAH</v>
          </cell>
          <cell r="C1562">
            <v>3.0000000000000001E-3</v>
          </cell>
          <cell r="D1562">
            <v>1983.3333333333333</v>
          </cell>
          <cell r="E1562">
            <v>5950</v>
          </cell>
          <cell r="F1562">
            <v>2.7E-2</v>
          </cell>
        </row>
        <row r="1563">
          <cell r="A1563" t="str">
            <v>51939-1180LF</v>
          </cell>
          <cell r="B1563" t="str">
            <v>51939-1180LF Connector,PBRAH</v>
          </cell>
          <cell r="C1563">
            <v>3.3E-3</v>
          </cell>
          <cell r="D1563">
            <v>1803.030303030303</v>
          </cell>
          <cell r="E1563">
            <v>5409.090909090909</v>
          </cell>
          <cell r="F1563">
            <v>3.2000000000000001E-2</v>
          </cell>
        </row>
        <row r="1564">
          <cell r="A1564" t="str">
            <v>51939-1181LF</v>
          </cell>
          <cell r="B1564" t="str">
            <v>51939-1181LF PwrBlade RAH STB</v>
          </cell>
          <cell r="C1564">
            <v>6.6E-3</v>
          </cell>
          <cell r="D1564">
            <v>901.5151515151515</v>
          </cell>
          <cell r="E1564">
            <v>2704.5454545454545</v>
          </cell>
          <cell r="F1564">
            <v>5.0999999999999997E-2</v>
          </cell>
        </row>
        <row r="1565">
          <cell r="A1565" t="str">
            <v>51939-1182LF</v>
          </cell>
          <cell r="B1565" t="str">
            <v>51939-1182LF Connector,PBRAH</v>
          </cell>
          <cell r="C1565">
            <v>3.3E-3</v>
          </cell>
          <cell r="D1565">
            <v>1803.030303030303</v>
          </cell>
          <cell r="E1565">
            <v>5409.090909090909</v>
          </cell>
          <cell r="F1565">
            <v>2.8000000000000001E-2</v>
          </cell>
        </row>
        <row r="1566">
          <cell r="A1566" t="str">
            <v>51939-1184LF</v>
          </cell>
          <cell r="B1566" t="str">
            <v>51939-1184LF Connector,PBRAH</v>
          </cell>
          <cell r="C1566">
            <v>3.3E-3</v>
          </cell>
          <cell r="D1566">
            <v>1803.030303030303</v>
          </cell>
          <cell r="E1566">
            <v>5409.090909090909</v>
          </cell>
          <cell r="F1566">
            <v>2.3E-2</v>
          </cell>
        </row>
        <row r="1567">
          <cell r="A1567" t="str">
            <v>51939-1186LF</v>
          </cell>
          <cell r="B1567" t="str">
            <v>51939-1186LF Connector,PBRAH</v>
          </cell>
          <cell r="C1567">
            <v>6.1000000000000004E-3</v>
          </cell>
          <cell r="D1567">
            <v>975.4098360655737</v>
          </cell>
          <cell r="E1567">
            <v>2926.2295081967213</v>
          </cell>
          <cell r="F1567">
            <v>2.8000000000000001E-2</v>
          </cell>
        </row>
        <row r="1568">
          <cell r="A1568" t="str">
            <v>51939-118LF</v>
          </cell>
          <cell r="B1568" t="str">
            <v>51939-118LF Connector,PBRAH</v>
          </cell>
          <cell r="C1568">
            <v>1.9E-3</v>
          </cell>
          <cell r="D1568">
            <v>3131.5789473684213</v>
          </cell>
          <cell r="E1568">
            <v>9394.7368421052633</v>
          </cell>
          <cell r="F1568">
            <v>1.9900000000000001E-2</v>
          </cell>
        </row>
        <row r="1569">
          <cell r="A1569" t="str">
            <v>51939-1190LF</v>
          </cell>
          <cell r="B1569" t="str">
            <v>51939-1190LF Connector,PBRAH</v>
          </cell>
          <cell r="C1569">
            <v>3.3E-3</v>
          </cell>
          <cell r="D1569">
            <v>1803.030303030303</v>
          </cell>
          <cell r="E1569">
            <v>5409.090909090909</v>
          </cell>
          <cell r="F1569">
            <v>3.2000000000000001E-2</v>
          </cell>
        </row>
        <row r="1570">
          <cell r="A1570" t="str">
            <v>51939-1192LF</v>
          </cell>
          <cell r="B1570" t="str">
            <v>51939-1192LF Connector,PBRAH</v>
          </cell>
          <cell r="C1570">
            <v>3.3E-3</v>
          </cell>
          <cell r="D1570">
            <v>1803.030303030303</v>
          </cell>
          <cell r="E1570">
            <v>5409.090909090909</v>
          </cell>
          <cell r="F1570">
            <v>3.2000000000000001E-2</v>
          </cell>
        </row>
        <row r="1571">
          <cell r="A1571" t="str">
            <v>51939-1194LF</v>
          </cell>
          <cell r="B1571" t="str">
            <v>51939-1194LF PwrBlade RAH STB</v>
          </cell>
          <cell r="C1571">
            <v>3.3E-3</v>
          </cell>
          <cell r="D1571">
            <v>1803.030303030303</v>
          </cell>
          <cell r="E1571">
            <v>5409.090909090909</v>
          </cell>
          <cell r="F1571">
            <v>2.7E-2</v>
          </cell>
        </row>
        <row r="1572">
          <cell r="A1572" t="str">
            <v>51939-1195LF</v>
          </cell>
          <cell r="B1572" t="str">
            <v>51939-1195LF Connector,PBRAH</v>
          </cell>
          <cell r="C1572">
            <v>3.3E-3</v>
          </cell>
          <cell r="D1572">
            <v>1803.030303030303</v>
          </cell>
          <cell r="E1572">
            <v>5409.090909090909</v>
          </cell>
          <cell r="F1572">
            <v>4.2999999999999997E-2</v>
          </cell>
        </row>
        <row r="1573">
          <cell r="A1573" t="str">
            <v>51939-1196LF</v>
          </cell>
          <cell r="B1573" t="str">
            <v>51939-1196LF PwrBlade RAH STB</v>
          </cell>
          <cell r="C1573">
            <v>3.3E-3</v>
          </cell>
          <cell r="D1573">
            <v>1803.030303030303</v>
          </cell>
          <cell r="E1573">
            <v>5409.090909090909</v>
          </cell>
          <cell r="F1573">
            <v>3.2000000000000001E-2</v>
          </cell>
        </row>
        <row r="1574">
          <cell r="A1574" t="str">
            <v>51939-1197LF</v>
          </cell>
          <cell r="B1574" t="str">
            <v>51939-1197LF Connector,PBRAH</v>
          </cell>
          <cell r="C1574">
            <v>3.3E-3</v>
          </cell>
          <cell r="D1574">
            <v>1803.030303030303</v>
          </cell>
          <cell r="E1574">
            <v>5409.090909090909</v>
          </cell>
          <cell r="F1574">
            <v>2.8000000000000001E-2</v>
          </cell>
        </row>
        <row r="1575">
          <cell r="A1575" t="str">
            <v>51939-1199LF</v>
          </cell>
          <cell r="B1575" t="str">
            <v>51939-1199LF Connector,PBRAH</v>
          </cell>
          <cell r="C1575">
            <v>3.3E-3</v>
          </cell>
          <cell r="D1575">
            <v>1803.030303030303</v>
          </cell>
          <cell r="E1575">
            <v>5409.090909090909</v>
          </cell>
          <cell r="F1575">
            <v>3.2000000000000001E-2</v>
          </cell>
        </row>
        <row r="1576">
          <cell r="A1576" t="str">
            <v>51939-119LF</v>
          </cell>
          <cell r="B1576" t="str">
            <v>51939-119LF Connector,PBRAH</v>
          </cell>
          <cell r="C1576">
            <v>1.6000000000000001E-3</v>
          </cell>
          <cell r="D1576">
            <v>3718.75</v>
          </cell>
          <cell r="E1576">
            <v>11156.25</v>
          </cell>
          <cell r="F1576">
            <v>2.52E-2</v>
          </cell>
        </row>
        <row r="1577">
          <cell r="A1577" t="str">
            <v>51939-1201LF</v>
          </cell>
          <cell r="B1577" t="str">
            <v>51939-1201LF PwrBlade RAH STB</v>
          </cell>
          <cell r="C1577">
            <v>3.3E-3</v>
          </cell>
          <cell r="D1577">
            <v>1803.030303030303</v>
          </cell>
          <cell r="E1577">
            <v>5409.090909090909</v>
          </cell>
          <cell r="F1577">
            <v>2.7E-2</v>
          </cell>
        </row>
        <row r="1578">
          <cell r="A1578" t="str">
            <v>51939-1204LF</v>
          </cell>
          <cell r="B1578" t="str">
            <v>51939-1204LF Connector,PBRAH</v>
          </cell>
          <cell r="C1578">
            <v>3.3E-3</v>
          </cell>
          <cell r="D1578">
            <v>1803.030303030303</v>
          </cell>
          <cell r="E1578">
            <v>5409.090909090909</v>
          </cell>
          <cell r="F1578">
            <v>5.1999999999999998E-2</v>
          </cell>
        </row>
        <row r="1579">
          <cell r="A1579" t="str">
            <v>51939-1206LF</v>
          </cell>
          <cell r="B1579" t="str">
            <v>51939-1206LF PwrBlade RAH PF</v>
          </cell>
          <cell r="C1579">
            <v>3.3E-3</v>
          </cell>
          <cell r="D1579">
            <v>1803.030303030303</v>
          </cell>
          <cell r="E1579">
            <v>5409.090909090909</v>
          </cell>
          <cell r="F1579">
            <v>3.5000000000000003E-2</v>
          </cell>
        </row>
        <row r="1580">
          <cell r="A1580" t="str">
            <v>51939-1207LF</v>
          </cell>
          <cell r="B1580" t="str">
            <v>51939-1207LF Connector,PBRAH</v>
          </cell>
          <cell r="C1580">
            <v>3.3E-3</v>
          </cell>
          <cell r="D1580">
            <v>1803.030303030303</v>
          </cell>
          <cell r="E1580">
            <v>5409.090909090909</v>
          </cell>
          <cell r="F1580">
            <v>2.8000000000000001E-2</v>
          </cell>
        </row>
        <row r="1581">
          <cell r="A1581" t="str">
            <v>51939-1208LF</v>
          </cell>
          <cell r="B1581" t="str">
            <v>51939-1208LF Connector,PBRAH</v>
          </cell>
          <cell r="C1581">
            <v>3.3E-3</v>
          </cell>
          <cell r="D1581">
            <v>1803.030303030303</v>
          </cell>
          <cell r="E1581">
            <v>5409.090909090909</v>
          </cell>
          <cell r="F1581">
            <v>3.2000000000000001E-2</v>
          </cell>
        </row>
        <row r="1582">
          <cell r="A1582" t="str">
            <v>51939-1209LF</v>
          </cell>
          <cell r="B1582" t="str">
            <v>51939-1209LF Connector,PBRAH</v>
          </cell>
          <cell r="C1582">
            <v>1.0999999999999999E-2</v>
          </cell>
          <cell r="D1582">
            <v>540.90909090909099</v>
          </cell>
          <cell r="E1582">
            <v>1622.727272727273</v>
          </cell>
          <cell r="F1582">
            <v>1.44E-2</v>
          </cell>
        </row>
        <row r="1583">
          <cell r="A1583" t="str">
            <v>51939-1212LF</v>
          </cell>
          <cell r="B1583" t="str">
            <v>51939-1212LF PwrBlade RAH STB</v>
          </cell>
          <cell r="C1583">
            <v>3.0000000000000001E-3</v>
          </cell>
          <cell r="D1583">
            <v>1983.3333333333333</v>
          </cell>
          <cell r="E1583">
            <v>5950</v>
          </cell>
          <cell r="F1583">
            <v>2.8000000000000001E-2</v>
          </cell>
        </row>
        <row r="1584">
          <cell r="A1584" t="str">
            <v>51939-1213LF</v>
          </cell>
          <cell r="B1584" t="str">
            <v>51939-1213LF PwrBlade RAH STB</v>
          </cell>
          <cell r="C1584">
            <v>3.3E-3</v>
          </cell>
          <cell r="D1584">
            <v>1803.030303030303</v>
          </cell>
          <cell r="E1584">
            <v>5409.090909090909</v>
          </cell>
          <cell r="F1584">
            <v>3.6999999999999998E-2</v>
          </cell>
        </row>
        <row r="1585">
          <cell r="A1585" t="str">
            <v>51939-1214LF</v>
          </cell>
          <cell r="B1585" t="str">
            <v>51939-1214LF Connector,PBRAH</v>
          </cell>
          <cell r="C1585">
            <v>3.0000000000000001E-3</v>
          </cell>
          <cell r="D1585">
            <v>1983.3333333333333</v>
          </cell>
          <cell r="E1585">
            <v>5950</v>
          </cell>
          <cell r="F1585">
            <v>2.7E-2</v>
          </cell>
        </row>
        <row r="1586">
          <cell r="A1586" t="str">
            <v>51939-1216LF</v>
          </cell>
          <cell r="B1586" t="str">
            <v>51939-1216LF Connector,PBRAH</v>
          </cell>
          <cell r="C1586">
            <v>2E-3</v>
          </cell>
          <cell r="D1586">
            <v>2975</v>
          </cell>
          <cell r="E1586">
            <v>8925</v>
          </cell>
          <cell r="F1586">
            <v>3.3000000000000002E-2</v>
          </cell>
        </row>
        <row r="1587">
          <cell r="A1587" t="str">
            <v>51939-1217LF</v>
          </cell>
          <cell r="B1587" t="str">
            <v>51939-1217LF Connector,PBRAH</v>
          </cell>
          <cell r="C1587">
            <v>3.3E-3</v>
          </cell>
          <cell r="D1587">
            <v>1803.030303030303</v>
          </cell>
          <cell r="E1587">
            <v>5409.090909090909</v>
          </cell>
          <cell r="F1587">
            <v>3.2000000000000001E-2</v>
          </cell>
        </row>
        <row r="1588">
          <cell r="A1588" t="str">
            <v>51939-1219LF</v>
          </cell>
          <cell r="B1588" t="str">
            <v>51939-1219LF Connector,PBRAH</v>
          </cell>
          <cell r="C1588">
            <v>3.3E-3</v>
          </cell>
          <cell r="D1588">
            <v>1803.030303030303</v>
          </cell>
          <cell r="E1588">
            <v>5409.090909090909</v>
          </cell>
          <cell r="F1588">
            <v>3.5000000000000003E-2</v>
          </cell>
        </row>
        <row r="1589">
          <cell r="A1589" t="str">
            <v>51939-121LF</v>
          </cell>
          <cell r="B1589" t="str">
            <v>51939-121LF PwrBlade RAH</v>
          </cell>
          <cell r="C1589">
            <v>6.1000000000000004E-3</v>
          </cell>
          <cell r="D1589">
            <v>975.4098360655737</v>
          </cell>
          <cell r="E1589">
            <v>2926.2295081967213</v>
          </cell>
          <cell r="F1589">
            <v>1.2E-2</v>
          </cell>
        </row>
        <row r="1590">
          <cell r="A1590" t="str">
            <v>51939-1221LHLF</v>
          </cell>
          <cell r="B1590" t="str">
            <v>51939-1221LHLF Connector,PBRAH</v>
          </cell>
          <cell r="C1590">
            <v>3.0000000000000001E-3</v>
          </cell>
          <cell r="D1590">
            <v>1983.3333333333333</v>
          </cell>
          <cell r="E1590">
            <v>5950</v>
          </cell>
          <cell r="F1590">
            <v>3.2000000000000001E-2</v>
          </cell>
        </row>
        <row r="1591">
          <cell r="A1591" t="str">
            <v>51939-1224PLF</v>
          </cell>
          <cell r="B1591" t="str">
            <v>51939-1224PLF Connector,PBRAH</v>
          </cell>
          <cell r="C1591">
            <v>3.3E-3</v>
          </cell>
          <cell r="D1591">
            <v>1803.030303030303</v>
          </cell>
          <cell r="E1591">
            <v>5409.090909090909</v>
          </cell>
          <cell r="F1591">
            <v>3.7999999999999999E-2</v>
          </cell>
        </row>
        <row r="1592">
          <cell r="A1592" t="str">
            <v>51939-1225LF</v>
          </cell>
          <cell r="B1592" t="str">
            <v>51939-1225LF Connector,PBRAH</v>
          </cell>
          <cell r="C1592">
            <v>3.3E-3</v>
          </cell>
          <cell r="D1592">
            <v>1803.030303030303</v>
          </cell>
          <cell r="E1592">
            <v>5409.090909090909</v>
          </cell>
          <cell r="F1592">
            <v>4.4999999999999998E-2</v>
          </cell>
        </row>
        <row r="1593">
          <cell r="A1593" t="str">
            <v>51939-1226LF</v>
          </cell>
          <cell r="B1593" t="str">
            <v>51939-1226LF PwrBlade RAH STB</v>
          </cell>
          <cell r="C1593">
            <v>3.3E-3</v>
          </cell>
          <cell r="D1593">
            <v>1803.030303030303</v>
          </cell>
          <cell r="E1593">
            <v>5409.090909090909</v>
          </cell>
          <cell r="F1593">
            <v>3.5000000000000003E-2</v>
          </cell>
        </row>
        <row r="1594">
          <cell r="A1594" t="str">
            <v>51939-1227LF</v>
          </cell>
          <cell r="B1594" t="str">
            <v>51939-1227LF Connector,PBRAH</v>
          </cell>
          <cell r="C1594">
            <v>3.3E-3</v>
          </cell>
          <cell r="D1594">
            <v>1803.030303030303</v>
          </cell>
          <cell r="E1594">
            <v>5409.090909090909</v>
          </cell>
          <cell r="F1594">
            <v>2.7E-2</v>
          </cell>
        </row>
        <row r="1595">
          <cell r="A1595" t="str">
            <v>51939-1228LF</v>
          </cell>
          <cell r="B1595" t="str">
            <v>51939-1228LF Connector,PBRAH</v>
          </cell>
          <cell r="C1595">
            <v>3.3E-3</v>
          </cell>
          <cell r="D1595">
            <v>1803.030303030303</v>
          </cell>
          <cell r="E1595">
            <v>5409.090909090909</v>
          </cell>
          <cell r="F1595">
            <v>2.5000000000000001E-2</v>
          </cell>
        </row>
        <row r="1596">
          <cell r="A1596" t="str">
            <v>51939-122LF</v>
          </cell>
          <cell r="B1596" t="str">
            <v>51939-122LF PwrBlade RAH STB</v>
          </cell>
          <cell r="C1596">
            <v>1.9E-3</v>
          </cell>
          <cell r="D1596">
            <v>3131.5789473684213</v>
          </cell>
          <cell r="E1596">
            <v>9394.7368421052633</v>
          </cell>
          <cell r="F1596">
            <v>3.4599999999999999E-2</v>
          </cell>
        </row>
        <row r="1597">
          <cell r="A1597" t="str">
            <v>51939-1232LF</v>
          </cell>
          <cell r="B1597" t="str">
            <v>51939-1232LF Connector,PBRAH</v>
          </cell>
          <cell r="C1597">
            <v>3.3E-3</v>
          </cell>
          <cell r="D1597">
            <v>1803.030303030303</v>
          </cell>
          <cell r="E1597">
            <v>5409.090909090909</v>
          </cell>
          <cell r="F1597">
            <v>3.5999999999999997E-2</v>
          </cell>
        </row>
        <row r="1598">
          <cell r="A1598" t="str">
            <v>51939-1234LF</v>
          </cell>
          <cell r="B1598" t="str">
            <v>51939-1234LF Connector,PBRAH</v>
          </cell>
          <cell r="C1598">
            <v>3.3E-3</v>
          </cell>
          <cell r="D1598">
            <v>1803.030303030303</v>
          </cell>
          <cell r="E1598">
            <v>5409.090909090909</v>
          </cell>
          <cell r="F1598">
            <v>3.5999999999999997E-2</v>
          </cell>
        </row>
        <row r="1599">
          <cell r="A1599" t="str">
            <v>51939-1237LF</v>
          </cell>
          <cell r="B1599" t="str">
            <v>51939-1237LF Connector,PBRAH</v>
          </cell>
          <cell r="C1599">
            <v>3.3E-3</v>
          </cell>
          <cell r="D1599">
            <v>1803.030303030303</v>
          </cell>
          <cell r="E1599">
            <v>5409.090909090909</v>
          </cell>
          <cell r="F1599">
            <v>2.9000000000000001E-2</v>
          </cell>
        </row>
        <row r="1600">
          <cell r="A1600" t="str">
            <v>51939-1239LF</v>
          </cell>
          <cell r="B1600" t="str">
            <v>51939-1239LF Connector,PBRAH</v>
          </cell>
          <cell r="C1600">
            <v>6.1000000000000004E-3</v>
          </cell>
          <cell r="D1600">
            <v>975.4098360655737</v>
          </cell>
          <cell r="E1600">
            <v>2926.2295081967213</v>
          </cell>
          <cell r="F1600">
            <v>3.2000000000000001E-2</v>
          </cell>
        </row>
        <row r="1601">
          <cell r="A1601" t="str">
            <v>51939-123LF</v>
          </cell>
          <cell r="B1601" t="str">
            <v>51939-123LF Connector,PBRAH</v>
          </cell>
          <cell r="C1601">
            <v>2E-3</v>
          </cell>
          <cell r="D1601">
            <v>2975</v>
          </cell>
          <cell r="E1601">
            <v>8925</v>
          </cell>
          <cell r="F1601">
            <v>3.4000000000000002E-2</v>
          </cell>
        </row>
        <row r="1602">
          <cell r="A1602" t="str">
            <v>51939-1240LF</v>
          </cell>
          <cell r="B1602" t="str">
            <v>51939-1240LF Connector,PBRAH</v>
          </cell>
          <cell r="C1602">
            <v>3.0000000000000001E-3</v>
          </cell>
          <cell r="D1602">
            <v>1983.3333333333333</v>
          </cell>
          <cell r="E1602">
            <v>5950</v>
          </cell>
          <cell r="F1602">
            <v>2.1000000000000001E-2</v>
          </cell>
        </row>
        <row r="1603">
          <cell r="A1603" t="str">
            <v>51939-1242LF</v>
          </cell>
          <cell r="B1603" t="str">
            <v>51939-1242LF Connector,PBRAH</v>
          </cell>
          <cell r="C1603">
            <v>5.0000000000000001E-3</v>
          </cell>
          <cell r="D1603">
            <v>1190</v>
          </cell>
          <cell r="E1603">
            <v>3570</v>
          </cell>
          <cell r="F1603">
            <v>3.5999999999999997E-2</v>
          </cell>
        </row>
        <row r="1604">
          <cell r="A1604" t="str">
            <v>51939-1243LF</v>
          </cell>
          <cell r="B1604" t="str">
            <v>51939-1243LF Connector,PBRAH</v>
          </cell>
          <cell r="C1604">
            <v>3.3E-3</v>
          </cell>
          <cell r="D1604">
            <v>1803.030303030303</v>
          </cell>
          <cell r="E1604">
            <v>5409.090909090909</v>
          </cell>
          <cell r="F1604">
            <v>2.8000000000000001E-2</v>
          </cell>
        </row>
        <row r="1605">
          <cell r="A1605" t="str">
            <v>51939-1244LHLF</v>
          </cell>
          <cell r="B1605" t="str">
            <v>51939-1244LHLF PwrBlade RAH STB</v>
          </cell>
          <cell r="C1605">
            <v>3.3E-3</v>
          </cell>
          <cell r="D1605">
            <v>1803.030303030303</v>
          </cell>
          <cell r="E1605">
            <v>5409.090909090909</v>
          </cell>
          <cell r="F1605">
            <v>3.2000000000000001E-2</v>
          </cell>
        </row>
        <row r="1606">
          <cell r="A1606" t="str">
            <v>51939-1245LF</v>
          </cell>
          <cell r="B1606" t="str">
            <v>51939-1245LF Connector,PBRAH</v>
          </cell>
          <cell r="C1606">
            <v>0.01</v>
          </cell>
          <cell r="D1606">
            <v>595</v>
          </cell>
          <cell r="E1606">
            <v>1785</v>
          </cell>
          <cell r="F1606">
            <v>3.5999999999999997E-2</v>
          </cell>
        </row>
        <row r="1607">
          <cell r="A1607" t="str">
            <v>51939-1246LF</v>
          </cell>
          <cell r="B1607" t="str">
            <v>51939-1246LF Connector,PBRAH</v>
          </cell>
          <cell r="C1607">
            <v>1.2999999999999999E-2</v>
          </cell>
          <cell r="D1607">
            <v>457.69230769230774</v>
          </cell>
          <cell r="E1607">
            <v>1373.0769230769233</v>
          </cell>
          <cell r="F1607">
            <v>4.3999999999999997E-2</v>
          </cell>
        </row>
        <row r="1608">
          <cell r="A1608" t="str">
            <v>51939-1247LF</v>
          </cell>
          <cell r="B1608" t="str">
            <v>51939-1247LF Connector,PBRAH</v>
          </cell>
          <cell r="C1608">
            <v>1.2E-2</v>
          </cell>
          <cell r="D1608">
            <v>495.83333333333331</v>
          </cell>
          <cell r="E1608">
            <v>1487.5</v>
          </cell>
          <cell r="F1608">
            <v>4.4999999999999998E-2</v>
          </cell>
        </row>
        <row r="1609">
          <cell r="A1609" t="str">
            <v>51939-1248LF</v>
          </cell>
          <cell r="B1609" t="str">
            <v>51939-1248LF Connector,PBRAH</v>
          </cell>
          <cell r="C1609">
            <v>0.01</v>
          </cell>
          <cell r="D1609">
            <v>595</v>
          </cell>
          <cell r="E1609">
            <v>1785</v>
          </cell>
          <cell r="F1609">
            <v>4.2000000000000003E-2</v>
          </cell>
        </row>
        <row r="1610">
          <cell r="A1610" t="str">
            <v>51939-1250LF</v>
          </cell>
          <cell r="B1610" t="str">
            <v>51939-1250LF Connector,PBRAH</v>
          </cell>
          <cell r="C1610">
            <v>6.1000000000000004E-3</v>
          </cell>
          <cell r="D1610">
            <v>975.4098360655737</v>
          </cell>
          <cell r="E1610">
            <v>2926.2295081967213</v>
          </cell>
          <cell r="F1610">
            <v>2.5000000000000001E-2</v>
          </cell>
        </row>
        <row r="1611">
          <cell r="A1611" t="str">
            <v>51939-1252LF</v>
          </cell>
          <cell r="B1611" t="str">
            <v>51939-1252LF Connector,PBRAH</v>
          </cell>
          <cell r="C1611">
            <v>4.4000000000000003E-3</v>
          </cell>
          <cell r="D1611">
            <v>1352.2727272727273</v>
          </cell>
          <cell r="E1611">
            <v>4056.818181818182</v>
          </cell>
          <cell r="F1611">
            <v>3.5000000000000003E-2</v>
          </cell>
        </row>
        <row r="1612">
          <cell r="A1612" t="str">
            <v>51939-1253LF</v>
          </cell>
          <cell r="B1612" t="str">
            <v>51939-1253LF Connector,PBRAH</v>
          </cell>
          <cell r="C1612">
            <v>3.3E-3</v>
          </cell>
          <cell r="D1612">
            <v>1803.030303030303</v>
          </cell>
          <cell r="E1612">
            <v>5409.090909090909</v>
          </cell>
          <cell r="F1612">
            <v>2.1000000000000001E-2</v>
          </cell>
        </row>
        <row r="1613">
          <cell r="A1613" t="str">
            <v>51939-1256LHLF</v>
          </cell>
          <cell r="B1613" t="str">
            <v>51939-1256LHLF Connector,PBRAH</v>
          </cell>
          <cell r="C1613">
            <v>3.0000000000000001E-3</v>
          </cell>
          <cell r="D1613">
            <v>1983.3333333333333</v>
          </cell>
          <cell r="E1613">
            <v>5950</v>
          </cell>
          <cell r="F1613">
            <v>3.5000000000000003E-2</v>
          </cell>
        </row>
        <row r="1614">
          <cell r="A1614" t="str">
            <v>51939-1257LF</v>
          </cell>
          <cell r="B1614" t="str">
            <v>51939-1257LF PwrBlade RAH STB</v>
          </cell>
          <cell r="C1614">
            <v>6.0000000000000001E-3</v>
          </cell>
          <cell r="D1614">
            <v>991.66666666666663</v>
          </cell>
          <cell r="E1614">
            <v>2975</v>
          </cell>
          <cell r="F1614">
            <v>2.9000000000000001E-2</v>
          </cell>
        </row>
        <row r="1615">
          <cell r="A1615" t="str">
            <v>51939-1258LF</v>
          </cell>
          <cell r="B1615" t="str">
            <v>51939-1258LF Connector,PBRAH</v>
          </cell>
          <cell r="C1615">
            <v>6.0000000000000001E-3</v>
          </cell>
          <cell r="D1615">
            <v>991.66666666666663</v>
          </cell>
          <cell r="E1615">
            <v>2975</v>
          </cell>
          <cell r="F1615">
            <v>3.5000000000000003E-2</v>
          </cell>
        </row>
        <row r="1616">
          <cell r="A1616" t="str">
            <v>51939-1259LF</v>
          </cell>
          <cell r="B1616" t="str">
            <v>51939-1259LF Connector,PBRAH</v>
          </cell>
          <cell r="C1616">
            <v>3.0000000000000001E-3</v>
          </cell>
          <cell r="D1616">
            <v>1983.3333333333333</v>
          </cell>
          <cell r="E1616">
            <v>5950</v>
          </cell>
          <cell r="F1616">
            <v>2.7E-2</v>
          </cell>
        </row>
        <row r="1617">
          <cell r="A1617" t="str">
            <v>51939-125LF</v>
          </cell>
          <cell r="B1617" t="str">
            <v>51939-125LF Connector,PBRAH</v>
          </cell>
          <cell r="C1617">
            <v>6.1000000000000004E-3</v>
          </cell>
          <cell r="D1617">
            <v>975.4098360655737</v>
          </cell>
          <cell r="E1617">
            <v>2926.2295081967213</v>
          </cell>
          <cell r="F1617">
            <v>1.7600000000000001E-2</v>
          </cell>
        </row>
        <row r="1618">
          <cell r="A1618" t="str">
            <v>51939-1260LF</v>
          </cell>
          <cell r="B1618" t="str">
            <v>51939-1260LF Connector,PBRAH</v>
          </cell>
          <cell r="C1618">
            <v>2E-3</v>
          </cell>
          <cell r="D1618">
            <v>2975</v>
          </cell>
          <cell r="E1618">
            <v>8925</v>
          </cell>
          <cell r="F1618">
            <v>2.1999999999999999E-2</v>
          </cell>
        </row>
        <row r="1619">
          <cell r="A1619" t="str">
            <v>51939-1261LF</v>
          </cell>
          <cell r="B1619" t="str">
            <v>51939-1261LF Connector,PBRAH</v>
          </cell>
          <cell r="C1619">
            <v>8.9999999999999993E-3</v>
          </cell>
          <cell r="D1619">
            <v>661.1111111111112</v>
          </cell>
          <cell r="E1619">
            <v>1983.3333333333335</v>
          </cell>
          <cell r="F1619">
            <v>3.4000000000000002E-2</v>
          </cell>
        </row>
        <row r="1620">
          <cell r="A1620" t="str">
            <v>51939-1263FLF</v>
          </cell>
          <cell r="B1620" t="str">
            <v>51939-1263FLF Connector,PBRAH</v>
          </cell>
          <cell r="C1620">
            <v>7.0000000000000001E-3</v>
          </cell>
          <cell r="D1620">
            <v>850</v>
          </cell>
          <cell r="E1620">
            <v>2550</v>
          </cell>
          <cell r="F1620">
            <v>3.2000000000000001E-2</v>
          </cell>
        </row>
        <row r="1621">
          <cell r="A1621" t="str">
            <v>51939-1264LF</v>
          </cell>
          <cell r="B1621" t="str">
            <v>51939-1264LF Connector,PBRAH</v>
          </cell>
          <cell r="C1621">
            <v>8.0000000000000002E-3</v>
          </cell>
          <cell r="D1621">
            <v>743.75</v>
          </cell>
          <cell r="E1621">
            <v>2231.25</v>
          </cell>
          <cell r="F1621">
            <v>3.1E-2</v>
          </cell>
        </row>
        <row r="1622">
          <cell r="A1622" t="str">
            <v>51939-1265LF</v>
          </cell>
          <cell r="B1622" t="str">
            <v>51939-1265LF Connector,PBRAH</v>
          </cell>
          <cell r="C1622">
            <v>0.01</v>
          </cell>
          <cell r="D1622">
            <v>595</v>
          </cell>
          <cell r="E1622">
            <v>1785</v>
          </cell>
          <cell r="F1622">
            <v>3.3000000000000002E-2</v>
          </cell>
        </row>
        <row r="1623">
          <cell r="A1623" t="str">
            <v>51939-1268FLF</v>
          </cell>
          <cell r="B1623" t="str">
            <v>51939-1268FLF Connector,PBRAH</v>
          </cell>
          <cell r="C1623">
            <v>3.0000000000000001E-3</v>
          </cell>
          <cell r="D1623">
            <v>1983.3333333333333</v>
          </cell>
          <cell r="E1623">
            <v>5950</v>
          </cell>
          <cell r="F1623">
            <v>2.3E-2</v>
          </cell>
        </row>
        <row r="1624">
          <cell r="A1624" t="str">
            <v>51939-126LF</v>
          </cell>
          <cell r="B1624" t="str">
            <v>51939-126LF PwrBlade RAH</v>
          </cell>
          <cell r="C1624">
            <v>6.1000000000000004E-3</v>
          </cell>
          <cell r="D1624">
            <v>975.4098360655737</v>
          </cell>
          <cell r="E1624">
            <v>2926.2295081967213</v>
          </cell>
          <cell r="F1624">
            <v>1.4E-2</v>
          </cell>
        </row>
        <row r="1625">
          <cell r="A1625" t="str">
            <v>51939-1270LF</v>
          </cell>
          <cell r="B1625" t="str">
            <v>51939-1270LF Connector,PBRAH</v>
          </cell>
          <cell r="C1625">
            <v>3.0000000000000001E-3</v>
          </cell>
          <cell r="D1625">
            <v>1983.3333333333333</v>
          </cell>
          <cell r="E1625">
            <v>5950</v>
          </cell>
          <cell r="F1625">
            <v>2.1000000000000001E-2</v>
          </cell>
        </row>
        <row r="1626">
          <cell r="A1626" t="str">
            <v>51939-1272FLF</v>
          </cell>
          <cell r="B1626" t="str">
            <v>51939-1272FLF Connector,PBRAH</v>
          </cell>
          <cell r="C1626">
            <v>3.0000000000000001E-3</v>
          </cell>
          <cell r="D1626">
            <v>1983.3333333333333</v>
          </cell>
          <cell r="E1626">
            <v>5950</v>
          </cell>
          <cell r="F1626">
            <v>2.7E-2</v>
          </cell>
        </row>
        <row r="1627">
          <cell r="A1627" t="str">
            <v>51939-1276FLF</v>
          </cell>
          <cell r="B1627" t="str">
            <v>51939-1276FLF Connector,PBRAH</v>
          </cell>
          <cell r="C1627">
            <v>3.0000000000000001E-3</v>
          </cell>
          <cell r="D1627">
            <v>1983.3333333333333</v>
          </cell>
          <cell r="E1627">
            <v>5950</v>
          </cell>
          <cell r="F1627">
            <v>2.8000000000000001E-2</v>
          </cell>
        </row>
        <row r="1628">
          <cell r="A1628" t="str">
            <v>51939-1277FLF</v>
          </cell>
          <cell r="B1628" t="str">
            <v>51939-1277FLF PwrBlade RAH STB</v>
          </cell>
          <cell r="C1628">
            <v>3.0000000000000001E-3</v>
          </cell>
          <cell r="D1628">
            <v>1983.3333333333333</v>
          </cell>
          <cell r="E1628">
            <v>5950</v>
          </cell>
          <cell r="F1628">
            <v>2.5000000000000001E-2</v>
          </cell>
        </row>
        <row r="1629">
          <cell r="A1629" t="str">
            <v>51939-1278FLF</v>
          </cell>
          <cell r="B1629" t="str">
            <v>51939-1278FLF Connector,PBRAH</v>
          </cell>
          <cell r="C1629">
            <v>3.0000000000000001E-3</v>
          </cell>
          <cell r="D1629">
            <v>1983.3333333333333</v>
          </cell>
          <cell r="E1629">
            <v>5950</v>
          </cell>
          <cell r="F1629">
            <v>2.7E-2</v>
          </cell>
        </row>
        <row r="1630">
          <cell r="A1630" t="str">
            <v>51939-1279LF</v>
          </cell>
          <cell r="B1630" t="str">
            <v>51939-1279LF Connector,PBRAH</v>
          </cell>
          <cell r="C1630">
            <v>3.3E-3</v>
          </cell>
          <cell r="D1630">
            <v>1803.030303030303</v>
          </cell>
          <cell r="E1630">
            <v>5409.090909090909</v>
          </cell>
          <cell r="F1630">
            <v>2.5999999999999999E-2</v>
          </cell>
        </row>
        <row r="1631">
          <cell r="A1631" t="str">
            <v>51939-1281FLF</v>
          </cell>
          <cell r="B1631" t="str">
            <v>51939-1281FLF Connector,PBRAH</v>
          </cell>
          <cell r="C1631">
            <v>3.0000000000000001E-3</v>
          </cell>
          <cell r="D1631">
            <v>1983.3333333333333</v>
          </cell>
          <cell r="E1631">
            <v>5950</v>
          </cell>
          <cell r="F1631">
            <v>2.9000000000000001E-2</v>
          </cell>
        </row>
        <row r="1632">
          <cell r="A1632" t="str">
            <v>51939-1284LF</v>
          </cell>
          <cell r="B1632" t="str">
            <v>51939-1284LF Connector,PBRAH</v>
          </cell>
          <cell r="C1632">
            <v>5.0000000000000001E-3</v>
          </cell>
          <cell r="D1632">
            <v>1190</v>
          </cell>
          <cell r="E1632">
            <v>3570</v>
          </cell>
          <cell r="F1632">
            <v>5.1999999999999998E-2</v>
          </cell>
        </row>
        <row r="1633">
          <cell r="A1633" t="str">
            <v>51939-1288FLF</v>
          </cell>
          <cell r="B1633" t="str">
            <v>51939-1288FLF Connector,PBRAH</v>
          </cell>
          <cell r="C1633">
            <v>2.2000000000000001E-3</v>
          </cell>
          <cell r="D1633">
            <v>2704.5454545454545</v>
          </cell>
          <cell r="E1633">
            <v>8113.636363636364</v>
          </cell>
          <cell r="F1633">
            <v>9.4999999999999998E-3</v>
          </cell>
        </row>
        <row r="1634">
          <cell r="A1634" t="str">
            <v>51939-1293LF</v>
          </cell>
          <cell r="B1634" t="str">
            <v>51939-1293LF Connector,PBRAH</v>
          </cell>
          <cell r="C1634">
            <v>4.7000000000000002E-3</v>
          </cell>
          <cell r="D1634">
            <v>1265.9574468085107</v>
          </cell>
          <cell r="E1634">
            <v>3797.872340425532</v>
          </cell>
          <cell r="F1634">
            <v>1.9E-2</v>
          </cell>
        </row>
        <row r="1635">
          <cell r="A1635" t="str">
            <v>51939-1294LF</v>
          </cell>
          <cell r="B1635" t="str">
            <v>51939-1294LF Connector,PBRAH</v>
          </cell>
          <cell r="C1635">
            <v>6.0000000000000001E-3</v>
          </cell>
          <cell r="D1635">
            <v>991.66666666666663</v>
          </cell>
          <cell r="E1635">
            <v>2975</v>
          </cell>
          <cell r="F1635">
            <v>2.4199999999999999E-2</v>
          </cell>
        </row>
        <row r="1636">
          <cell r="A1636" t="str">
            <v>51939-1297FLF</v>
          </cell>
          <cell r="B1636" t="str">
            <v>51939-1297FLF Connector,PBRAH</v>
          </cell>
          <cell r="C1636">
            <v>6.1000000000000004E-3</v>
          </cell>
          <cell r="D1636">
            <v>975.4098360655737</v>
          </cell>
          <cell r="E1636">
            <v>2926.2295081967213</v>
          </cell>
          <cell r="F1636">
            <v>1.6299999999999999E-2</v>
          </cell>
        </row>
        <row r="1637">
          <cell r="A1637" t="str">
            <v>51939-129LF</v>
          </cell>
          <cell r="B1637" t="str">
            <v>51939-129LF Connector,PBRAH</v>
          </cell>
          <cell r="C1637">
            <v>6.1000000000000004E-3</v>
          </cell>
          <cell r="D1637">
            <v>975.4098360655737</v>
          </cell>
          <cell r="E1637">
            <v>2926.2295081967213</v>
          </cell>
          <cell r="F1637">
            <v>1.9599999999999999E-2</v>
          </cell>
        </row>
        <row r="1638">
          <cell r="A1638" t="str">
            <v>51939-1304FLF</v>
          </cell>
          <cell r="B1638" t="str">
            <v>51939-1304FLF Connector,PBRAH</v>
          </cell>
          <cell r="C1638">
            <v>2.3E-3</v>
          </cell>
          <cell r="D1638">
            <v>2586.9565217391305</v>
          </cell>
          <cell r="E1638">
            <v>7760.8695652173919</v>
          </cell>
          <cell r="F1638">
            <v>2.1499999999999998E-2</v>
          </cell>
        </row>
        <row r="1639">
          <cell r="A1639" t="str">
            <v>51939-1309FLF</v>
          </cell>
          <cell r="B1639" t="str">
            <v>51939-1309FLF Connector,PBRAH</v>
          </cell>
          <cell r="C1639">
            <v>2.3E-3</v>
          </cell>
          <cell r="D1639">
            <v>2586.9565217391305</v>
          </cell>
          <cell r="E1639">
            <v>7760.8695652173919</v>
          </cell>
          <cell r="F1639">
            <v>3.6200000000000003E-2</v>
          </cell>
        </row>
        <row r="1640">
          <cell r="A1640" t="str">
            <v>51939-130LF</v>
          </cell>
          <cell r="B1640" t="str">
            <v>51939-130LF PwrBlade RAH</v>
          </cell>
          <cell r="C1640">
            <v>1.9E-3</v>
          </cell>
          <cell r="D1640">
            <v>3131.5789473684213</v>
          </cell>
          <cell r="E1640">
            <v>9394.7368421052633</v>
          </cell>
          <cell r="F1640">
            <v>2.12E-2</v>
          </cell>
        </row>
        <row r="1641">
          <cell r="A1641" t="str">
            <v>51939-1310FLF</v>
          </cell>
          <cell r="B1641" t="str">
            <v>51939-1310FLF Connector,PBRAH</v>
          </cell>
          <cell r="C1641">
            <v>2E-3</v>
          </cell>
          <cell r="D1641">
            <v>2975</v>
          </cell>
          <cell r="E1641">
            <v>8925</v>
          </cell>
          <cell r="F1641">
            <v>2.9000000000000001E-2</v>
          </cell>
        </row>
        <row r="1642">
          <cell r="A1642" t="str">
            <v>51939-1311FLF</v>
          </cell>
          <cell r="B1642" t="str">
            <v>51939-1311FLF Connector,PBRAH</v>
          </cell>
          <cell r="C1642">
            <v>2.3999999999999998E-3</v>
          </cell>
          <cell r="D1642">
            <v>2479.166666666667</v>
          </cell>
          <cell r="E1642">
            <v>7437.5000000000009</v>
          </cell>
          <cell r="F1642">
            <v>3.2000000000000001E-2</v>
          </cell>
        </row>
        <row r="1643">
          <cell r="A1643" t="str">
            <v>51939-1312LF</v>
          </cell>
          <cell r="B1643" t="str">
            <v>51939-1312LF Connector,PBRAH</v>
          </cell>
          <cell r="C1643">
            <v>1.5E-3</v>
          </cell>
          <cell r="D1643">
            <v>3966.6666666666665</v>
          </cell>
          <cell r="E1643">
            <v>11900</v>
          </cell>
          <cell r="F1643">
            <v>5.1999999999999998E-3</v>
          </cell>
        </row>
        <row r="1644">
          <cell r="A1644" t="str">
            <v>51939-1314FLF</v>
          </cell>
          <cell r="B1644" t="str">
            <v>51939-1314FLF Connector,PBRAH</v>
          </cell>
          <cell r="C1644">
            <v>5.4999999999999997E-3</v>
          </cell>
          <cell r="D1644">
            <v>1081.818181818182</v>
          </cell>
          <cell r="E1644">
            <v>3245.454545454546</v>
          </cell>
          <cell r="F1644">
            <v>8.8999999999999999E-3</v>
          </cell>
        </row>
        <row r="1645">
          <cell r="A1645" t="str">
            <v>51939-1316LF</v>
          </cell>
          <cell r="B1645" t="str">
            <v>51939-1316LF Connector,PBRAH</v>
          </cell>
          <cell r="C1645">
            <v>2.3E-3</v>
          </cell>
          <cell r="D1645">
            <v>2586.9565217391305</v>
          </cell>
          <cell r="E1645">
            <v>7760.8695652173919</v>
          </cell>
          <cell r="F1645">
            <v>8.6E-3</v>
          </cell>
        </row>
        <row r="1646">
          <cell r="A1646" t="str">
            <v>51939-1318LF</v>
          </cell>
          <cell r="B1646" t="str">
            <v>51939-1318LF Connector,PBRAH</v>
          </cell>
          <cell r="C1646">
            <v>5.0000000000000001E-3</v>
          </cell>
          <cell r="D1646">
            <v>1190</v>
          </cell>
          <cell r="E1646">
            <v>3570</v>
          </cell>
          <cell r="F1646">
            <v>2.1999999999999999E-2</v>
          </cell>
        </row>
        <row r="1647">
          <cell r="A1647" t="str">
            <v>51939-1319LF</v>
          </cell>
          <cell r="B1647" t="str">
            <v>51939-1319LF Connector,PB-RAH-STB</v>
          </cell>
          <cell r="C1647">
            <v>3.3333E-3</v>
          </cell>
          <cell r="D1647">
            <v>1785.0178501785019</v>
          </cell>
          <cell r="E1647">
            <v>5355.0535505355056</v>
          </cell>
          <cell r="F1647">
            <v>6.6667000000000002E-3</v>
          </cell>
        </row>
        <row r="1648">
          <cell r="A1648" t="str">
            <v>51939-131LF</v>
          </cell>
          <cell r="B1648" t="str">
            <v>51939-131LF Connector,PBRAH</v>
          </cell>
          <cell r="C1648">
            <v>1.9E-3</v>
          </cell>
          <cell r="D1648">
            <v>3131.5789473684213</v>
          </cell>
          <cell r="E1648">
            <v>9394.7368421052633</v>
          </cell>
          <cell r="F1648">
            <v>2.7199999999999998E-2</v>
          </cell>
        </row>
        <row r="1649">
          <cell r="A1649" t="str">
            <v>51939-132LF</v>
          </cell>
          <cell r="B1649" t="str">
            <v>51939-132LF Connector,PBRAH</v>
          </cell>
          <cell r="C1649">
            <v>1.9E-3</v>
          </cell>
          <cell r="D1649">
            <v>3131.5789473684213</v>
          </cell>
          <cell r="E1649">
            <v>9394.7368421052633</v>
          </cell>
          <cell r="F1649">
            <v>3.3700000000000001E-2</v>
          </cell>
        </row>
        <row r="1650">
          <cell r="A1650" t="str">
            <v>51939-134LF</v>
          </cell>
          <cell r="B1650" t="str">
            <v>51939-134LF Connector,PBRAH</v>
          </cell>
          <cell r="C1650">
            <v>1.9E-3</v>
          </cell>
          <cell r="D1650">
            <v>3131.5789473684213</v>
          </cell>
          <cell r="E1650">
            <v>9394.7368421052633</v>
          </cell>
          <cell r="F1650">
            <v>2.9000000000000001E-2</v>
          </cell>
        </row>
        <row r="1651">
          <cell r="A1651" t="str">
            <v>51939-135LF</v>
          </cell>
          <cell r="B1651" t="str">
            <v>51939-135LF PwrBlade RAH</v>
          </cell>
          <cell r="C1651">
            <v>1.9E-3</v>
          </cell>
          <cell r="D1651">
            <v>3131.5789473684213</v>
          </cell>
          <cell r="E1651">
            <v>9394.7368421052633</v>
          </cell>
          <cell r="F1651">
            <v>2.5499999999999998E-2</v>
          </cell>
        </row>
        <row r="1652">
          <cell r="A1652" t="str">
            <v>51939-136LF</v>
          </cell>
          <cell r="B1652" t="str">
            <v>51939-136LF Connector,PBRAH</v>
          </cell>
          <cell r="C1652">
            <v>1.9E-3</v>
          </cell>
          <cell r="D1652">
            <v>3131.5789473684213</v>
          </cell>
          <cell r="E1652">
            <v>9394.7368421052633</v>
          </cell>
          <cell r="F1652">
            <v>2.41E-2</v>
          </cell>
        </row>
        <row r="1653">
          <cell r="A1653" t="str">
            <v>51939-137LF</v>
          </cell>
          <cell r="B1653" t="str">
            <v>51939-137LF PwrBlade RAH</v>
          </cell>
          <cell r="C1653">
            <v>1.9E-3</v>
          </cell>
          <cell r="D1653">
            <v>3131.5789473684213</v>
          </cell>
          <cell r="E1653">
            <v>9394.7368421052633</v>
          </cell>
          <cell r="F1653">
            <v>1.4668182E-2</v>
          </cell>
        </row>
        <row r="1654">
          <cell r="A1654" t="str">
            <v>51939-138LF</v>
          </cell>
          <cell r="B1654" t="str">
            <v>51939-138LF Connector,PBRAH</v>
          </cell>
          <cell r="C1654">
            <v>1.6000000000000001E-3</v>
          </cell>
          <cell r="D1654">
            <v>3718.75</v>
          </cell>
          <cell r="E1654">
            <v>11156.25</v>
          </cell>
          <cell r="F1654">
            <v>3.7400000000000003E-2</v>
          </cell>
        </row>
        <row r="1655">
          <cell r="A1655" t="str">
            <v>51939-139LF</v>
          </cell>
          <cell r="B1655" t="str">
            <v>51939-139LF Connector,PBRAH</v>
          </cell>
          <cell r="C1655">
            <v>1.9E-3</v>
          </cell>
          <cell r="D1655">
            <v>3131.5789473684213</v>
          </cell>
          <cell r="E1655">
            <v>9394.7368421052633</v>
          </cell>
          <cell r="F1655">
            <v>2.9000000000000001E-2</v>
          </cell>
        </row>
        <row r="1656">
          <cell r="A1656" t="str">
            <v>51939-141LF</v>
          </cell>
          <cell r="B1656" t="str">
            <v>51939-141LF Connector,PBRAH</v>
          </cell>
          <cell r="C1656">
            <v>6.1000000000000004E-3</v>
          </cell>
          <cell r="D1656">
            <v>975.4098360655737</v>
          </cell>
          <cell r="E1656">
            <v>2926.2295081967213</v>
          </cell>
          <cell r="F1656">
            <v>1.6500000000000001E-2</v>
          </cell>
        </row>
        <row r="1657">
          <cell r="A1657" t="str">
            <v>51939-144LF</v>
          </cell>
          <cell r="B1657" t="str">
            <v>51939-144LF Connector,PBRAH</v>
          </cell>
          <cell r="C1657">
            <v>6.1000000000000004E-3</v>
          </cell>
          <cell r="D1657">
            <v>975.4098360655737</v>
          </cell>
          <cell r="E1657">
            <v>2926.2295081967213</v>
          </cell>
          <cell r="F1657">
            <v>1.9599999999999999E-2</v>
          </cell>
        </row>
        <row r="1658">
          <cell r="A1658" t="str">
            <v>51939-147LF</v>
          </cell>
          <cell r="B1658" t="str">
            <v>51939-147LF PwrBlade RAH STB</v>
          </cell>
          <cell r="C1658">
            <v>1.6000000000000001E-3</v>
          </cell>
          <cell r="D1658">
            <v>3718.75</v>
          </cell>
          <cell r="E1658">
            <v>11156.25</v>
          </cell>
          <cell r="F1658">
            <v>3.1800000000000002E-2</v>
          </cell>
        </row>
        <row r="1659">
          <cell r="A1659" t="str">
            <v>51939-148LF</v>
          </cell>
          <cell r="B1659" t="str">
            <v>51939-148LF Connector,PBRAH</v>
          </cell>
          <cell r="C1659">
            <v>1.6000000000000001E-3</v>
          </cell>
          <cell r="D1659">
            <v>3718.75</v>
          </cell>
          <cell r="E1659">
            <v>11156.25</v>
          </cell>
          <cell r="F1659">
            <v>2.29E-2</v>
          </cell>
        </row>
        <row r="1660">
          <cell r="A1660" t="str">
            <v>51939-149LF</v>
          </cell>
          <cell r="B1660" t="str">
            <v>51939-149LF Connector,PBRAH</v>
          </cell>
          <cell r="C1660">
            <v>1.6000000000000001E-3</v>
          </cell>
          <cell r="D1660">
            <v>3718.75</v>
          </cell>
          <cell r="E1660">
            <v>11156.25</v>
          </cell>
          <cell r="F1660">
            <v>3.3700000000000001E-2</v>
          </cell>
        </row>
        <row r="1661">
          <cell r="A1661" t="str">
            <v>51939-152LF</v>
          </cell>
          <cell r="B1661" t="str">
            <v>51939-152LF Connector,PBRAH</v>
          </cell>
          <cell r="C1661">
            <v>2E-3</v>
          </cell>
          <cell r="D1661">
            <v>2975</v>
          </cell>
          <cell r="E1661">
            <v>8925</v>
          </cell>
          <cell r="F1661">
            <v>3.6499999999999998E-2</v>
          </cell>
        </row>
        <row r="1662">
          <cell r="A1662" t="str">
            <v>51939-153LF</v>
          </cell>
          <cell r="B1662" t="str">
            <v>51939-153LF Connector,PBRAH</v>
          </cell>
          <cell r="C1662">
            <v>1.9E-3</v>
          </cell>
          <cell r="D1662">
            <v>3131.5789473684213</v>
          </cell>
          <cell r="E1662">
            <v>9394.7368421052633</v>
          </cell>
          <cell r="F1662">
            <v>2.9000000000000001E-2</v>
          </cell>
        </row>
        <row r="1663">
          <cell r="A1663" t="str">
            <v>51939-154LF</v>
          </cell>
          <cell r="B1663" t="str">
            <v>51939-154LF Connector,PBRAH</v>
          </cell>
          <cell r="C1663">
            <v>1.6000000000000001E-3</v>
          </cell>
          <cell r="D1663">
            <v>3718.75</v>
          </cell>
          <cell r="E1663">
            <v>11156.25</v>
          </cell>
          <cell r="F1663">
            <v>2.24E-2</v>
          </cell>
        </row>
        <row r="1664">
          <cell r="A1664" t="str">
            <v>51939-156LF</v>
          </cell>
          <cell r="B1664" t="str">
            <v>51939-156LF Connector,PBRAH</v>
          </cell>
          <cell r="C1664">
            <v>1.6000000000000001E-3</v>
          </cell>
          <cell r="D1664">
            <v>3718.75</v>
          </cell>
          <cell r="E1664">
            <v>11156.25</v>
          </cell>
          <cell r="F1664">
            <v>2.9000000000000001E-2</v>
          </cell>
        </row>
        <row r="1665">
          <cell r="A1665" t="str">
            <v>51939-157LF</v>
          </cell>
          <cell r="B1665" t="str">
            <v>51939-157LF Connector,PBRAH</v>
          </cell>
          <cell r="C1665">
            <v>1.6000000000000001E-3</v>
          </cell>
          <cell r="D1665">
            <v>3718.75</v>
          </cell>
          <cell r="E1665">
            <v>11156.25</v>
          </cell>
          <cell r="F1665">
            <v>2.9000000000000001E-2</v>
          </cell>
        </row>
        <row r="1666">
          <cell r="A1666" t="str">
            <v>51939-158LF</v>
          </cell>
          <cell r="B1666" t="str">
            <v>51939-158LF PwrBlade RAH</v>
          </cell>
          <cell r="C1666">
            <v>2E-3</v>
          </cell>
          <cell r="D1666">
            <v>2975</v>
          </cell>
          <cell r="E1666">
            <v>8925</v>
          </cell>
          <cell r="F1666">
            <v>3.1099999999999999E-2</v>
          </cell>
        </row>
        <row r="1667">
          <cell r="A1667" t="str">
            <v>51939-159LF</v>
          </cell>
          <cell r="B1667" t="str">
            <v>51939-159LF Connector,PBRAH</v>
          </cell>
          <cell r="C1667">
            <v>1.9E-3</v>
          </cell>
          <cell r="D1667">
            <v>3131.5789473684213</v>
          </cell>
          <cell r="E1667">
            <v>9394.7368421052633</v>
          </cell>
          <cell r="F1667">
            <v>1.9E-2</v>
          </cell>
        </row>
        <row r="1668">
          <cell r="A1668" t="str">
            <v>51939-160LF</v>
          </cell>
          <cell r="B1668" t="str">
            <v>51939-160LF Connector,PBRAH</v>
          </cell>
          <cell r="C1668">
            <v>2E-3</v>
          </cell>
          <cell r="D1668">
            <v>2975</v>
          </cell>
          <cell r="E1668">
            <v>8925</v>
          </cell>
          <cell r="F1668">
            <v>4.1099999999999998E-2</v>
          </cell>
        </row>
        <row r="1669">
          <cell r="A1669" t="str">
            <v>51939-161LF</v>
          </cell>
          <cell r="B1669" t="str">
            <v>51939-161LF Connector,PBRAH</v>
          </cell>
          <cell r="C1669">
            <v>1.6000000000000001E-3</v>
          </cell>
          <cell r="D1669">
            <v>3718.75</v>
          </cell>
          <cell r="E1669">
            <v>11156.25</v>
          </cell>
          <cell r="F1669">
            <v>2.9000000000000001E-2</v>
          </cell>
        </row>
        <row r="1670">
          <cell r="A1670" t="str">
            <v>51939-166LF</v>
          </cell>
          <cell r="B1670" t="str">
            <v>51939-166LF Connector,PBRAH</v>
          </cell>
          <cell r="C1670">
            <v>1.6000000000000001E-3</v>
          </cell>
          <cell r="D1670">
            <v>3718.75</v>
          </cell>
          <cell r="E1670">
            <v>11156.25</v>
          </cell>
          <cell r="F1670">
            <v>2.4299999999999999E-2</v>
          </cell>
        </row>
        <row r="1671">
          <cell r="A1671" t="str">
            <v>51939-171LF</v>
          </cell>
          <cell r="B1671" t="str">
            <v>51939-171LF Connector,PBRAH</v>
          </cell>
          <cell r="C1671">
            <v>1.9E-3</v>
          </cell>
          <cell r="D1671">
            <v>3131.5789473684213</v>
          </cell>
          <cell r="E1671">
            <v>9394.7368421052633</v>
          </cell>
          <cell r="F1671">
            <v>2.4299999999999999E-2</v>
          </cell>
        </row>
        <row r="1672">
          <cell r="A1672" t="str">
            <v>51939-178LF</v>
          </cell>
          <cell r="B1672" t="str">
            <v>51939-178LF PwrBlade RAH</v>
          </cell>
          <cell r="C1672">
            <v>1.9E-3</v>
          </cell>
          <cell r="D1672">
            <v>3131.5789473684213</v>
          </cell>
          <cell r="E1672">
            <v>9394.7368421052633</v>
          </cell>
          <cell r="F1672">
            <v>3.3500000000000002E-2</v>
          </cell>
        </row>
        <row r="1673">
          <cell r="A1673" t="str">
            <v>51939-180LF</v>
          </cell>
          <cell r="B1673" t="str">
            <v>51939-180LF Connector,PBRAH</v>
          </cell>
          <cell r="C1673">
            <v>1.6000000000000001E-3</v>
          </cell>
          <cell r="D1673">
            <v>3718.75</v>
          </cell>
          <cell r="E1673">
            <v>11156.25</v>
          </cell>
          <cell r="F1673">
            <v>3.1800000000000002E-2</v>
          </cell>
        </row>
        <row r="1674">
          <cell r="A1674" t="str">
            <v>51939-181LF</v>
          </cell>
          <cell r="B1674" t="str">
            <v>51939-181LF Connector,PBRAH</v>
          </cell>
          <cell r="C1674">
            <v>1.6000000000000001E-3</v>
          </cell>
          <cell r="D1674">
            <v>3718.75</v>
          </cell>
          <cell r="E1674">
            <v>11156.25</v>
          </cell>
          <cell r="F1674">
            <v>3.3700000000000001E-2</v>
          </cell>
        </row>
        <row r="1675">
          <cell r="A1675" t="str">
            <v>51939-182LF</v>
          </cell>
          <cell r="B1675" t="str">
            <v>51939-182LF Connector,PBRAH</v>
          </cell>
          <cell r="C1675">
            <v>1.9E-3</v>
          </cell>
          <cell r="D1675">
            <v>3131.5789473684213</v>
          </cell>
          <cell r="E1675">
            <v>9394.7368421052633</v>
          </cell>
          <cell r="F1675">
            <v>2.18E-2</v>
          </cell>
        </row>
        <row r="1676">
          <cell r="A1676" t="str">
            <v>51939-183LF</v>
          </cell>
          <cell r="B1676" t="str">
            <v>51939-183LF PwrBlade RAH</v>
          </cell>
          <cell r="C1676">
            <v>1.9E-3</v>
          </cell>
          <cell r="D1676">
            <v>3131.5789473684213</v>
          </cell>
          <cell r="E1676">
            <v>9394.7368421052633</v>
          </cell>
          <cell r="F1676">
            <v>1.4364E-2</v>
          </cell>
        </row>
        <row r="1677">
          <cell r="A1677" t="str">
            <v>51939-184LF</v>
          </cell>
          <cell r="B1677" t="str">
            <v>51939-184LF Connector,PBRAH</v>
          </cell>
          <cell r="C1677">
            <v>1.9E-3</v>
          </cell>
          <cell r="D1677">
            <v>3131.5789473684213</v>
          </cell>
          <cell r="E1677">
            <v>9394.7368421052633</v>
          </cell>
          <cell r="F1677">
            <v>2.1399999999999999E-2</v>
          </cell>
        </row>
        <row r="1678">
          <cell r="A1678" t="str">
            <v>51939-185LF</v>
          </cell>
          <cell r="B1678" t="str">
            <v>51939-185LF Connector,PBRAH</v>
          </cell>
          <cell r="C1678">
            <v>1.6000000000000001E-3</v>
          </cell>
          <cell r="D1678">
            <v>3718.75</v>
          </cell>
          <cell r="E1678">
            <v>11156.25</v>
          </cell>
          <cell r="F1678">
            <v>2.4299999999999999E-2</v>
          </cell>
        </row>
        <row r="1679">
          <cell r="A1679" t="str">
            <v>51939-186AULF</v>
          </cell>
          <cell r="B1679" t="str">
            <v>51939-186AULF Connector,PBRAH</v>
          </cell>
          <cell r="C1679">
            <v>1.6000000000000001E-3</v>
          </cell>
          <cell r="D1679">
            <v>3718.75</v>
          </cell>
          <cell r="E1679">
            <v>11156.25</v>
          </cell>
          <cell r="F1679">
            <v>2.9000000000000001E-2</v>
          </cell>
        </row>
        <row r="1680">
          <cell r="A1680" t="str">
            <v>51939-186LF</v>
          </cell>
          <cell r="B1680" t="str">
            <v>51939-186LF PwrBlade RAH</v>
          </cell>
          <cell r="C1680">
            <v>1.6000000000000001E-3</v>
          </cell>
          <cell r="D1680">
            <v>3718.75</v>
          </cell>
          <cell r="E1680">
            <v>11156.25</v>
          </cell>
          <cell r="F1680">
            <v>1.2149999999999999E-2</v>
          </cell>
        </row>
        <row r="1681">
          <cell r="A1681" t="str">
            <v>51939-189LF</v>
          </cell>
          <cell r="B1681" t="str">
            <v>51939-189LF Connector,PBRAH</v>
          </cell>
          <cell r="C1681">
            <v>1.6000000000000001E-3</v>
          </cell>
          <cell r="D1681">
            <v>3718.75</v>
          </cell>
          <cell r="E1681">
            <v>11156.25</v>
          </cell>
          <cell r="F1681">
            <v>2.6200000000000001E-2</v>
          </cell>
        </row>
        <row r="1682">
          <cell r="A1682" t="str">
            <v>51939-190LF</v>
          </cell>
          <cell r="B1682" t="str">
            <v>51939-190LF Connector,PBRAH</v>
          </cell>
          <cell r="C1682">
            <v>1.6000000000000001E-3</v>
          </cell>
          <cell r="D1682">
            <v>3718.75</v>
          </cell>
          <cell r="E1682">
            <v>11156.25</v>
          </cell>
          <cell r="F1682">
            <v>3.3700000000000001E-2</v>
          </cell>
        </row>
        <row r="1683">
          <cell r="A1683" t="str">
            <v>51939-192LF</v>
          </cell>
          <cell r="B1683" t="str">
            <v>51939-192LF Connector,PBRAH</v>
          </cell>
          <cell r="C1683">
            <v>1.6000000000000001E-3</v>
          </cell>
          <cell r="D1683">
            <v>3718.75</v>
          </cell>
          <cell r="E1683">
            <v>11156.25</v>
          </cell>
          <cell r="F1683">
            <v>2.6200000000000001E-2</v>
          </cell>
        </row>
        <row r="1684">
          <cell r="A1684" t="str">
            <v>51939-193LF</v>
          </cell>
          <cell r="B1684" t="str">
            <v>51939-193LF PwrBlade RAH</v>
          </cell>
          <cell r="C1684">
            <v>1.6000000000000001E-3</v>
          </cell>
          <cell r="D1684">
            <v>3718.75</v>
          </cell>
          <cell r="E1684">
            <v>11156.25</v>
          </cell>
          <cell r="F1684">
            <v>2.7099999999999999E-2</v>
          </cell>
        </row>
        <row r="1685">
          <cell r="A1685" t="str">
            <v>51939-196LF</v>
          </cell>
          <cell r="B1685" t="str">
            <v>51939-196LF Connector,PBRAH</v>
          </cell>
          <cell r="C1685">
            <v>6.1000000000000004E-3</v>
          </cell>
          <cell r="D1685">
            <v>975.4098360655737</v>
          </cell>
          <cell r="E1685">
            <v>2926.2295081967213</v>
          </cell>
          <cell r="F1685">
            <v>1.67E-2</v>
          </cell>
        </row>
        <row r="1686">
          <cell r="A1686" t="str">
            <v>51939-197LF</v>
          </cell>
          <cell r="B1686" t="str">
            <v>51939-197LF Connector,PBRAH</v>
          </cell>
          <cell r="C1686">
            <v>2E-3</v>
          </cell>
          <cell r="D1686">
            <v>2975</v>
          </cell>
          <cell r="E1686">
            <v>8925</v>
          </cell>
          <cell r="F1686">
            <v>3.9300000000000002E-2</v>
          </cell>
        </row>
        <row r="1687">
          <cell r="A1687" t="str">
            <v>51939-198CGDHDLF</v>
          </cell>
          <cell r="B1687" t="str">
            <v>51939-198CGDHDLF Connector,PBRAH</v>
          </cell>
          <cell r="C1687">
            <v>6.1000000000000004E-3</v>
          </cell>
          <cell r="D1687">
            <v>975.4098360655737</v>
          </cell>
          <cell r="E1687">
            <v>2926.2295081967213</v>
          </cell>
          <cell r="F1687">
            <v>1.7000000000000001E-2</v>
          </cell>
        </row>
        <row r="1688">
          <cell r="A1688" t="str">
            <v>51939-198CGHTLF</v>
          </cell>
          <cell r="B1688" t="str">
            <v>51939-198CGHTLF PwrBlade RAH STB</v>
          </cell>
          <cell r="C1688" t="e">
            <v>#N/A</v>
          </cell>
          <cell r="D1688" t="e">
            <v>#N/A</v>
          </cell>
          <cell r="E1688" t="e">
            <v>#N/A</v>
          </cell>
          <cell r="F1688">
            <v>1.3593681E-2</v>
          </cell>
        </row>
        <row r="1689">
          <cell r="A1689" t="str">
            <v>51939-198LF</v>
          </cell>
          <cell r="B1689" t="str">
            <v>51939-198LF PwrBlade RAH</v>
          </cell>
          <cell r="C1689">
            <v>6.1000000000000004E-3</v>
          </cell>
          <cell r="D1689">
            <v>975.4098360655737</v>
          </cell>
          <cell r="E1689">
            <v>2926.2295081967213</v>
          </cell>
          <cell r="F1689">
            <v>1.4239999999999999E-2</v>
          </cell>
        </row>
        <row r="1690">
          <cell r="A1690" t="str">
            <v>51939-198TLF</v>
          </cell>
          <cell r="B1690" t="str">
            <v>51939-198TLF Connector,PBRAH</v>
          </cell>
          <cell r="C1690">
            <v>6.1000000000000004E-3</v>
          </cell>
          <cell r="D1690">
            <v>975.4098360655737</v>
          </cell>
          <cell r="E1690">
            <v>2926.2295081967213</v>
          </cell>
          <cell r="F1690">
            <v>1.0699999999999999E-2</v>
          </cell>
        </row>
        <row r="1691">
          <cell r="A1691" t="str">
            <v>51939-199LF</v>
          </cell>
          <cell r="B1691" t="str">
            <v>51939-199LF PwrBlade RAH</v>
          </cell>
          <cell r="C1691">
            <v>1.9E-3</v>
          </cell>
          <cell r="D1691">
            <v>3131.5789473684213</v>
          </cell>
          <cell r="E1691">
            <v>9394.7368421052633</v>
          </cell>
          <cell r="F1691">
            <v>3.4599999999999999E-2</v>
          </cell>
        </row>
        <row r="1692">
          <cell r="A1692" t="str">
            <v>51939-201LF</v>
          </cell>
          <cell r="B1692" t="str">
            <v>51939-201LF PwrBlade RAH</v>
          </cell>
          <cell r="C1692">
            <v>1.9E-3</v>
          </cell>
          <cell r="D1692">
            <v>3131.5789473684213</v>
          </cell>
          <cell r="E1692">
            <v>9394.7368421052633</v>
          </cell>
          <cell r="F1692">
            <v>2.1999999999999999E-2</v>
          </cell>
        </row>
        <row r="1693">
          <cell r="A1693" t="str">
            <v>51939-207LF</v>
          </cell>
          <cell r="B1693" t="str">
            <v>51939-207LF Connector,PBRAH</v>
          </cell>
          <cell r="C1693">
            <v>3.7000000000000002E-3</v>
          </cell>
          <cell r="D1693">
            <v>1608.1081081081081</v>
          </cell>
          <cell r="E1693">
            <v>4824.3243243243242</v>
          </cell>
          <cell r="F1693">
            <v>4.6300000000000001E-2</v>
          </cell>
        </row>
        <row r="1694">
          <cell r="A1694" t="str">
            <v>51939-209LF</v>
          </cell>
          <cell r="B1694" t="str">
            <v>51939-209LF Connector,PBRAH</v>
          </cell>
          <cell r="C1694">
            <v>8.6999999999999994E-3</v>
          </cell>
          <cell r="D1694">
            <v>683.90804597701151</v>
          </cell>
          <cell r="E1694">
            <v>2051.7241379310344</v>
          </cell>
          <cell r="F1694">
            <v>2.06E-2</v>
          </cell>
        </row>
        <row r="1695">
          <cell r="A1695" t="str">
            <v>51939-210LF</v>
          </cell>
          <cell r="B1695" t="str">
            <v>51939-210LF Connector,PBRAH</v>
          </cell>
          <cell r="C1695">
            <v>2E-3</v>
          </cell>
          <cell r="D1695">
            <v>2975</v>
          </cell>
          <cell r="E1695">
            <v>8925</v>
          </cell>
          <cell r="F1695">
            <v>3.6499999999999998E-2</v>
          </cell>
        </row>
        <row r="1696">
          <cell r="A1696" t="str">
            <v>51939-213LF</v>
          </cell>
          <cell r="B1696" t="str">
            <v>51939-213LF Connector,PBRAH</v>
          </cell>
          <cell r="C1696">
            <v>3.7000000000000002E-3</v>
          </cell>
          <cell r="D1696">
            <v>1608.1081081081081</v>
          </cell>
          <cell r="E1696">
            <v>4824.3243243243242</v>
          </cell>
          <cell r="F1696">
            <v>5.7000000000000002E-2</v>
          </cell>
        </row>
        <row r="1697">
          <cell r="A1697" t="str">
            <v>51939-214LF</v>
          </cell>
          <cell r="B1697" t="str">
            <v>51939-214LF Connector,PBRAH</v>
          </cell>
          <cell r="C1697">
            <v>2E-3</v>
          </cell>
          <cell r="D1697">
            <v>2975</v>
          </cell>
          <cell r="E1697">
            <v>8925</v>
          </cell>
          <cell r="F1697">
            <v>2.06E-2</v>
          </cell>
        </row>
        <row r="1698">
          <cell r="A1698" t="str">
            <v>51939-215LF</v>
          </cell>
          <cell r="B1698" t="str">
            <v>51939-215LF Connector,PBRAH</v>
          </cell>
          <cell r="C1698">
            <v>1.6000000000000001E-3</v>
          </cell>
          <cell r="D1698">
            <v>3718.75</v>
          </cell>
          <cell r="E1698">
            <v>11156.25</v>
          </cell>
          <cell r="F1698">
            <v>3.3700000000000001E-2</v>
          </cell>
        </row>
        <row r="1699">
          <cell r="A1699" t="str">
            <v>51939-218LF</v>
          </cell>
          <cell r="B1699" t="str">
            <v>51939-218LF Connector,PBRAH</v>
          </cell>
          <cell r="C1699">
            <v>3.7000000000000002E-3</v>
          </cell>
          <cell r="D1699">
            <v>1608.1081081081081</v>
          </cell>
          <cell r="E1699">
            <v>4824.3243243243242</v>
          </cell>
          <cell r="F1699">
            <v>5.3600000000000002E-2</v>
          </cell>
        </row>
        <row r="1700">
          <cell r="A1700" t="str">
            <v>51939-219LF</v>
          </cell>
          <cell r="B1700" t="str">
            <v>51939-219LF PwrBlade RAH PF</v>
          </cell>
          <cell r="C1700" t="e">
            <v>#N/A</v>
          </cell>
          <cell r="D1700" t="e">
            <v>#N/A</v>
          </cell>
          <cell r="E1700" t="e">
            <v>#N/A</v>
          </cell>
          <cell r="F1700">
            <v>1.090404E-2</v>
          </cell>
        </row>
        <row r="1701">
          <cell r="A1701" t="str">
            <v>51939-223LF</v>
          </cell>
          <cell r="B1701" t="str">
            <v>51939-223LF Connector,PBRAH</v>
          </cell>
          <cell r="C1701">
            <v>3.3E-3</v>
          </cell>
          <cell r="D1701">
            <v>1803.030303030303</v>
          </cell>
          <cell r="E1701">
            <v>5409.090909090909</v>
          </cell>
          <cell r="F1701">
            <v>5.4199999999999998E-2</v>
          </cell>
        </row>
        <row r="1702">
          <cell r="A1702" t="str">
            <v>51939-224LF</v>
          </cell>
          <cell r="B1702" t="str">
            <v>51939-224LF Connector,PBRAH</v>
          </cell>
          <cell r="C1702">
            <v>3.3E-3</v>
          </cell>
          <cell r="D1702">
            <v>1803.030303030303</v>
          </cell>
          <cell r="E1702">
            <v>5409.090909090909</v>
          </cell>
          <cell r="F1702">
            <v>5.8900000000000001E-2</v>
          </cell>
        </row>
        <row r="1703">
          <cell r="A1703" t="str">
            <v>51939-225LF</v>
          </cell>
          <cell r="B1703" t="str">
            <v>51939-225LF Connector,PBRAH</v>
          </cell>
          <cell r="C1703">
            <v>6.1000000000000004E-3</v>
          </cell>
          <cell r="D1703">
            <v>975.4098360655737</v>
          </cell>
          <cell r="E1703">
            <v>2926.2295081967213</v>
          </cell>
          <cell r="F1703">
            <v>1.9400000000000001E-2</v>
          </cell>
        </row>
        <row r="1704">
          <cell r="A1704" t="str">
            <v>51939-227LF</v>
          </cell>
          <cell r="B1704" t="str">
            <v>51939-227LF Connector,PBRAH</v>
          </cell>
          <cell r="C1704">
            <v>2E-3</v>
          </cell>
          <cell r="D1704">
            <v>2975</v>
          </cell>
          <cell r="E1704">
            <v>8925</v>
          </cell>
          <cell r="F1704">
            <v>4.3900000000000002E-2</v>
          </cell>
        </row>
        <row r="1705">
          <cell r="A1705" t="str">
            <v>51939-228LF</v>
          </cell>
          <cell r="B1705" t="str">
            <v>51939-228LF Connector,PBRAH</v>
          </cell>
          <cell r="C1705">
            <v>1.6000000000000001E-3</v>
          </cell>
          <cell r="D1705">
            <v>3718.75</v>
          </cell>
          <cell r="E1705">
            <v>11156.25</v>
          </cell>
          <cell r="F1705">
            <v>3.3700000000000001E-2</v>
          </cell>
        </row>
        <row r="1706">
          <cell r="A1706" t="str">
            <v>51939-230LF</v>
          </cell>
          <cell r="B1706" t="str">
            <v>51939-230LF Connector,PBRAH</v>
          </cell>
          <cell r="C1706">
            <v>1.9E-3</v>
          </cell>
          <cell r="D1706">
            <v>3131.5789473684213</v>
          </cell>
          <cell r="E1706">
            <v>9394.7368421052633</v>
          </cell>
          <cell r="F1706">
            <v>3.1800000000000002E-2</v>
          </cell>
        </row>
        <row r="1707">
          <cell r="A1707" t="str">
            <v>51939-232LF</v>
          </cell>
          <cell r="B1707" t="str">
            <v>51939-232LF Connector,PBRAH</v>
          </cell>
          <cell r="C1707">
            <v>1.9E-3</v>
          </cell>
          <cell r="D1707">
            <v>3131.5789473684213</v>
          </cell>
          <cell r="E1707">
            <v>9394.7368421052633</v>
          </cell>
          <cell r="F1707">
            <v>3.5499999999999997E-2</v>
          </cell>
        </row>
        <row r="1708">
          <cell r="A1708" t="str">
            <v>51939-233LF</v>
          </cell>
          <cell r="B1708" t="str">
            <v>51939-233LF Connector,PBRAH</v>
          </cell>
          <cell r="C1708">
            <v>1.9E-3</v>
          </cell>
          <cell r="D1708">
            <v>3131.5789473684213</v>
          </cell>
          <cell r="E1708">
            <v>9394.7368421052633</v>
          </cell>
          <cell r="F1708">
            <v>0.02</v>
          </cell>
        </row>
        <row r="1709">
          <cell r="A1709" t="str">
            <v>51939-234LF</v>
          </cell>
          <cell r="B1709" t="str">
            <v>51939-234LF PwrBlade RAH</v>
          </cell>
          <cell r="C1709">
            <v>1.9E-3</v>
          </cell>
          <cell r="D1709">
            <v>3131.5789473684213</v>
          </cell>
          <cell r="E1709">
            <v>9394.7368421052633</v>
          </cell>
          <cell r="F1709">
            <v>1.4097426E-2</v>
          </cell>
        </row>
        <row r="1710">
          <cell r="A1710" t="str">
            <v>51939-235LF</v>
          </cell>
          <cell r="B1710" t="str">
            <v>51939-235LF Connector,PBRAH</v>
          </cell>
          <cell r="C1710">
            <v>2.0999999999999999E-3</v>
          </cell>
          <cell r="D1710">
            <v>2833.3333333333335</v>
          </cell>
          <cell r="E1710">
            <v>8500</v>
          </cell>
          <cell r="F1710">
            <v>2.7300000000000001E-2</v>
          </cell>
        </row>
        <row r="1711">
          <cell r="A1711" t="str">
            <v>51939-238LF</v>
          </cell>
          <cell r="B1711" t="str">
            <v>51939-238LF Connector,PBRAH</v>
          </cell>
          <cell r="C1711">
            <v>6.1000000000000004E-3</v>
          </cell>
          <cell r="D1711">
            <v>975.4098360655737</v>
          </cell>
          <cell r="E1711">
            <v>2926.2295081967213</v>
          </cell>
          <cell r="F1711">
            <v>1.6199999999999999E-2</v>
          </cell>
        </row>
        <row r="1712">
          <cell r="A1712" t="str">
            <v>51939-239LF</v>
          </cell>
          <cell r="B1712" t="str">
            <v>51939-239LF Connector,PBRAH</v>
          </cell>
          <cell r="C1712">
            <v>2E-3</v>
          </cell>
          <cell r="D1712">
            <v>2975</v>
          </cell>
          <cell r="E1712">
            <v>8925</v>
          </cell>
          <cell r="F1712">
            <v>3.9300000000000002E-2</v>
          </cell>
        </row>
        <row r="1713">
          <cell r="A1713" t="str">
            <v>51939-240LF</v>
          </cell>
          <cell r="B1713" t="str">
            <v>51939-240LF Connector,PBRAH</v>
          </cell>
          <cell r="C1713">
            <v>1.9E-3</v>
          </cell>
          <cell r="D1713">
            <v>3131.5789473684213</v>
          </cell>
          <cell r="E1713">
            <v>9394.7368421052633</v>
          </cell>
          <cell r="F1713">
            <v>3.6499999999999998E-2</v>
          </cell>
        </row>
        <row r="1714">
          <cell r="A1714" t="str">
            <v>51939-243LF</v>
          </cell>
          <cell r="B1714" t="str">
            <v>51939-243LF Connector,PBRAH</v>
          </cell>
          <cell r="C1714">
            <v>6.1000000000000004E-3</v>
          </cell>
          <cell r="D1714">
            <v>975.4098360655737</v>
          </cell>
          <cell r="E1714">
            <v>2926.2295081967213</v>
          </cell>
          <cell r="F1714">
            <v>1.5900000000000001E-2</v>
          </cell>
        </row>
        <row r="1715">
          <cell r="A1715" t="str">
            <v>51939-247LF</v>
          </cell>
          <cell r="B1715" t="str">
            <v>51939-247LF Connector,PBRAH</v>
          </cell>
          <cell r="C1715">
            <v>1.6000000000000001E-3</v>
          </cell>
          <cell r="D1715">
            <v>3718.75</v>
          </cell>
          <cell r="E1715">
            <v>11156.25</v>
          </cell>
          <cell r="F1715">
            <v>3.3700000000000001E-2</v>
          </cell>
        </row>
        <row r="1716">
          <cell r="A1716" t="str">
            <v>51939-248LF</v>
          </cell>
          <cell r="B1716" t="str">
            <v>51939-248LF Connector,PBRAH</v>
          </cell>
          <cell r="C1716">
            <v>2E-3</v>
          </cell>
          <cell r="D1716">
            <v>2975</v>
          </cell>
          <cell r="E1716">
            <v>8925</v>
          </cell>
          <cell r="F1716">
            <v>3.6499999999999998E-2</v>
          </cell>
        </row>
        <row r="1717">
          <cell r="A1717" t="str">
            <v>51939-252LF</v>
          </cell>
          <cell r="B1717" t="str">
            <v>51939-252LF Connector,PBRAH</v>
          </cell>
          <cell r="C1717">
            <v>6.1000000000000004E-3</v>
          </cell>
          <cell r="D1717">
            <v>975.4098360655737</v>
          </cell>
          <cell r="E1717">
            <v>2926.2295081967213</v>
          </cell>
          <cell r="F1717">
            <v>2.06E-2</v>
          </cell>
        </row>
        <row r="1718">
          <cell r="A1718" t="str">
            <v>51939-255LF</v>
          </cell>
          <cell r="B1718" t="str">
            <v>51939-255LF Connector,PBRAH</v>
          </cell>
          <cell r="C1718">
            <v>1.9E-3</v>
          </cell>
          <cell r="D1718">
            <v>3131.5789473684213</v>
          </cell>
          <cell r="E1718">
            <v>9394.7368421052633</v>
          </cell>
          <cell r="F1718">
            <v>2.6200000000000001E-2</v>
          </cell>
        </row>
        <row r="1719">
          <cell r="A1719" t="str">
            <v>51939-256LF</v>
          </cell>
          <cell r="B1719" t="str">
            <v>51939-256LF Connector,PBRAH</v>
          </cell>
          <cell r="C1719">
            <v>1.6000000000000001E-3</v>
          </cell>
          <cell r="D1719">
            <v>3718.75</v>
          </cell>
          <cell r="E1719">
            <v>11156.25</v>
          </cell>
          <cell r="F1719">
            <v>3.1800000000000002E-2</v>
          </cell>
        </row>
        <row r="1720">
          <cell r="A1720" t="str">
            <v>51939-257LF</v>
          </cell>
          <cell r="B1720" t="str">
            <v>51939-257LF Connector,PBRAH</v>
          </cell>
          <cell r="C1720">
            <v>1.6000000000000001E-3</v>
          </cell>
          <cell r="D1720">
            <v>3718.75</v>
          </cell>
          <cell r="E1720">
            <v>11156.25</v>
          </cell>
          <cell r="F1720">
            <v>3.1800000000000002E-2</v>
          </cell>
        </row>
        <row r="1721">
          <cell r="A1721" t="str">
            <v>51939-258LF</v>
          </cell>
          <cell r="B1721" t="str">
            <v>51939-258LF Connector,PBRAH</v>
          </cell>
          <cell r="C1721">
            <v>1.6000000000000001E-3</v>
          </cell>
          <cell r="D1721">
            <v>3718.75</v>
          </cell>
          <cell r="E1721">
            <v>11156.25</v>
          </cell>
          <cell r="F1721">
            <v>2.7099999999999999E-2</v>
          </cell>
        </row>
        <row r="1722">
          <cell r="A1722" t="str">
            <v>51939-259LF</v>
          </cell>
          <cell r="B1722" t="str">
            <v>51939-259LF Connector,PBRAH</v>
          </cell>
          <cell r="C1722">
            <v>1.9E-3</v>
          </cell>
          <cell r="D1722">
            <v>3131.5789473684213</v>
          </cell>
          <cell r="E1722">
            <v>9394.7368421052633</v>
          </cell>
          <cell r="F1722">
            <v>3.9300000000000002E-2</v>
          </cell>
        </row>
        <row r="1723">
          <cell r="A1723" t="str">
            <v>51939-262LF</v>
          </cell>
          <cell r="B1723" t="str">
            <v>51939-262LF Connector,PBRAH</v>
          </cell>
          <cell r="C1723">
            <v>1.6000000000000001E-3</v>
          </cell>
          <cell r="D1723">
            <v>3718.75</v>
          </cell>
          <cell r="E1723">
            <v>11156.25</v>
          </cell>
          <cell r="F1723">
            <v>3.3700000000000001E-2</v>
          </cell>
        </row>
        <row r="1724">
          <cell r="A1724" t="str">
            <v>51939-263LF</v>
          </cell>
          <cell r="B1724" t="str">
            <v>51939-263LF Connector,PBRAH</v>
          </cell>
          <cell r="C1724">
            <v>6.1000000000000004E-3</v>
          </cell>
          <cell r="D1724">
            <v>975.4098360655737</v>
          </cell>
          <cell r="E1724">
            <v>2926.2295081967213</v>
          </cell>
          <cell r="F1724">
            <v>1.72E-2</v>
          </cell>
        </row>
        <row r="1725">
          <cell r="A1725" t="str">
            <v>51939-265LF</v>
          </cell>
          <cell r="B1725" t="str">
            <v>51939-265LF Connector,PBRAH</v>
          </cell>
          <cell r="C1725">
            <v>1.6000000000000001E-3</v>
          </cell>
          <cell r="D1725">
            <v>3718.75</v>
          </cell>
          <cell r="E1725">
            <v>11156.25</v>
          </cell>
          <cell r="F1725">
            <v>3.3700000000000001E-2</v>
          </cell>
        </row>
        <row r="1726">
          <cell r="A1726" t="str">
            <v>51939-266LF</v>
          </cell>
          <cell r="B1726" t="str">
            <v>51939-266LF Connector,PBRAH</v>
          </cell>
          <cell r="C1726">
            <v>1.6000000000000001E-3</v>
          </cell>
          <cell r="D1726">
            <v>3718.75</v>
          </cell>
          <cell r="E1726">
            <v>11156.25</v>
          </cell>
          <cell r="F1726">
            <v>2.06E-2</v>
          </cell>
        </row>
        <row r="1727">
          <cell r="A1727" t="str">
            <v>51939-267LF</v>
          </cell>
          <cell r="B1727" t="str">
            <v>51939-267LF Connector,PBRAH</v>
          </cell>
          <cell r="C1727">
            <v>1.9E-3</v>
          </cell>
          <cell r="D1727">
            <v>3131.5789473684213</v>
          </cell>
          <cell r="E1727">
            <v>9394.7368421052633</v>
          </cell>
          <cell r="F1727">
            <v>5.0500000000000003E-2</v>
          </cell>
        </row>
        <row r="1728">
          <cell r="A1728" t="str">
            <v>51939-268LF</v>
          </cell>
          <cell r="B1728" t="str">
            <v>51939-268LF Connector,PBRAH</v>
          </cell>
          <cell r="C1728">
            <v>1.6000000000000001E-3</v>
          </cell>
          <cell r="D1728">
            <v>3718.75</v>
          </cell>
          <cell r="E1728">
            <v>11156.25</v>
          </cell>
          <cell r="F1728">
            <v>2.4299999999999999E-2</v>
          </cell>
        </row>
        <row r="1729">
          <cell r="A1729" t="str">
            <v>51939-269LF</v>
          </cell>
          <cell r="B1729" t="str">
            <v>51939-269LF PwrBlade RAH</v>
          </cell>
          <cell r="C1729">
            <v>6.1000000000000004E-3</v>
          </cell>
          <cell r="D1729">
            <v>975.4098360655737</v>
          </cell>
          <cell r="E1729">
            <v>2926.2295081967213</v>
          </cell>
          <cell r="F1729">
            <v>1.7416161999999999E-2</v>
          </cell>
        </row>
        <row r="1730">
          <cell r="A1730" t="str">
            <v>51939-270LF</v>
          </cell>
          <cell r="B1730" t="str">
            <v>51939-270LF Connector,PBRAH</v>
          </cell>
          <cell r="C1730">
            <v>6.1000000000000004E-3</v>
          </cell>
          <cell r="D1730">
            <v>975.4098360655737</v>
          </cell>
          <cell r="E1730">
            <v>2926.2295081967213</v>
          </cell>
          <cell r="F1730">
            <v>1.5900000000000001E-2</v>
          </cell>
        </row>
        <row r="1731">
          <cell r="A1731" t="str">
            <v>51939-271LF</v>
          </cell>
          <cell r="B1731" t="str">
            <v>51939-271LF Connector,PBRAH</v>
          </cell>
          <cell r="C1731">
            <v>1.6000000000000001E-3</v>
          </cell>
          <cell r="D1731">
            <v>3718.75</v>
          </cell>
          <cell r="E1731">
            <v>11156.25</v>
          </cell>
          <cell r="F1731">
            <v>2.9899999999999999E-2</v>
          </cell>
        </row>
        <row r="1732">
          <cell r="A1732" t="str">
            <v>51939-275LF</v>
          </cell>
          <cell r="B1732" t="str">
            <v>51939-275LF Connector,PBRAH</v>
          </cell>
          <cell r="C1732">
            <v>1.6000000000000001E-3</v>
          </cell>
          <cell r="D1732">
            <v>3718.75</v>
          </cell>
          <cell r="E1732">
            <v>11156.25</v>
          </cell>
          <cell r="F1732">
            <v>2.9899999999999999E-2</v>
          </cell>
        </row>
        <row r="1733">
          <cell r="A1733" t="str">
            <v>51939-277LF</v>
          </cell>
          <cell r="B1733" t="str">
            <v>51939-277LF Connector,PBRAH</v>
          </cell>
          <cell r="C1733">
            <v>6.1000000000000004E-3</v>
          </cell>
          <cell r="D1733">
            <v>975.4098360655737</v>
          </cell>
          <cell r="E1733">
            <v>2926.2295081967213</v>
          </cell>
          <cell r="F1733">
            <v>2.4299999999999999E-2</v>
          </cell>
        </row>
        <row r="1734">
          <cell r="A1734" t="str">
            <v>51939-278LF</v>
          </cell>
          <cell r="B1734" t="str">
            <v>51939-278LF Connector,PBRAH</v>
          </cell>
          <cell r="C1734">
            <v>2E-3</v>
          </cell>
          <cell r="D1734">
            <v>2975</v>
          </cell>
          <cell r="E1734">
            <v>8925</v>
          </cell>
          <cell r="F1734">
            <v>3.9300000000000002E-2</v>
          </cell>
        </row>
        <row r="1735">
          <cell r="A1735" t="str">
            <v>51939-279LF</v>
          </cell>
          <cell r="B1735" t="str">
            <v>51939-279LF Connector,PBRAH</v>
          </cell>
          <cell r="C1735">
            <v>2E-3</v>
          </cell>
          <cell r="D1735">
            <v>2975</v>
          </cell>
          <cell r="E1735">
            <v>8925</v>
          </cell>
          <cell r="F1735">
            <v>3.9300000000000002E-2</v>
          </cell>
        </row>
        <row r="1736">
          <cell r="A1736" t="str">
            <v>51939-280LF</v>
          </cell>
          <cell r="B1736" t="str">
            <v>51939-280LF Connector,PBRAH</v>
          </cell>
          <cell r="C1736">
            <v>1.6000000000000001E-3</v>
          </cell>
          <cell r="D1736">
            <v>3718.75</v>
          </cell>
          <cell r="E1736">
            <v>11156.25</v>
          </cell>
          <cell r="F1736">
            <v>2.9000000000000001E-2</v>
          </cell>
        </row>
        <row r="1737">
          <cell r="A1737" t="str">
            <v>51939-281LF</v>
          </cell>
          <cell r="B1737" t="str">
            <v>51939-281LF Connector,PBRAH</v>
          </cell>
          <cell r="C1737">
            <v>2E-3</v>
          </cell>
          <cell r="D1737">
            <v>2975</v>
          </cell>
          <cell r="E1737">
            <v>8925</v>
          </cell>
          <cell r="F1737">
            <v>3.9300000000000002E-2</v>
          </cell>
        </row>
        <row r="1738">
          <cell r="A1738" t="str">
            <v>51939-282LF</v>
          </cell>
          <cell r="B1738" t="str">
            <v>51939-282LF Connector,PBRAH</v>
          </cell>
          <cell r="C1738">
            <v>3.3E-3</v>
          </cell>
          <cell r="D1738">
            <v>1803.030303030303</v>
          </cell>
          <cell r="E1738">
            <v>5409.090909090909</v>
          </cell>
          <cell r="F1738">
            <v>5.0500000000000003E-2</v>
          </cell>
        </row>
        <row r="1739">
          <cell r="A1739" t="str">
            <v>51939-283LF</v>
          </cell>
          <cell r="B1739" t="str">
            <v>51939-283LF Connector,PBRAH</v>
          </cell>
          <cell r="C1739">
            <v>1.9E-3</v>
          </cell>
          <cell r="D1739">
            <v>3131.5789473684213</v>
          </cell>
          <cell r="E1739">
            <v>9394.7368421052633</v>
          </cell>
          <cell r="F1739">
            <v>2.9499999999999998E-2</v>
          </cell>
        </row>
        <row r="1740">
          <cell r="A1740" t="str">
            <v>51939-284LF</v>
          </cell>
          <cell r="B1740" t="str">
            <v>51939-284LF Connector,PBRAH</v>
          </cell>
          <cell r="C1740">
            <v>1.6000000000000001E-3</v>
          </cell>
          <cell r="D1740">
            <v>3718.75</v>
          </cell>
          <cell r="E1740">
            <v>11156.25</v>
          </cell>
          <cell r="F1740">
            <v>3.1800000000000002E-2</v>
          </cell>
        </row>
        <row r="1741">
          <cell r="A1741" t="str">
            <v>51939-285LF</v>
          </cell>
          <cell r="B1741" t="str">
            <v>51939-285LF PwrBlade RAH STB</v>
          </cell>
          <cell r="C1741">
            <v>1.6000000000000001E-3</v>
          </cell>
          <cell r="D1741">
            <v>3718.75</v>
          </cell>
          <cell r="E1741">
            <v>11156.25</v>
          </cell>
          <cell r="F1741">
            <v>1.8026622999999999E-2</v>
          </cell>
        </row>
        <row r="1742">
          <cell r="A1742" t="str">
            <v>51939-286LF</v>
          </cell>
          <cell r="B1742" t="str">
            <v>51939-286LF PwrBlade RAH STB</v>
          </cell>
          <cell r="C1742">
            <v>1.9E-3</v>
          </cell>
          <cell r="D1742">
            <v>3131.5789473684213</v>
          </cell>
          <cell r="E1742">
            <v>9394.7368421052633</v>
          </cell>
          <cell r="F1742">
            <v>3.1E-2</v>
          </cell>
        </row>
        <row r="1743">
          <cell r="A1743" t="str">
            <v>51939-290LF</v>
          </cell>
          <cell r="B1743" t="str">
            <v>51939-290LF Connector,PBRAH</v>
          </cell>
          <cell r="C1743">
            <v>1.9E-3</v>
          </cell>
          <cell r="D1743">
            <v>3131.5789473684213</v>
          </cell>
          <cell r="E1743">
            <v>9394.7368421052633</v>
          </cell>
          <cell r="F1743">
            <v>2.9000000000000001E-2</v>
          </cell>
        </row>
        <row r="1744">
          <cell r="A1744" t="str">
            <v>51939-291LF</v>
          </cell>
          <cell r="B1744" t="str">
            <v>51939-291LF Connector,PBRAH</v>
          </cell>
          <cell r="C1744">
            <v>3.7000000000000002E-3</v>
          </cell>
          <cell r="D1744">
            <v>1608.1081081081081</v>
          </cell>
          <cell r="E1744">
            <v>4824.3243243243242</v>
          </cell>
          <cell r="F1744">
            <v>3.9600000000000003E-2</v>
          </cell>
        </row>
        <row r="1745">
          <cell r="A1745" t="str">
            <v>51939-292LF</v>
          </cell>
          <cell r="B1745" t="str">
            <v>51939-292LF Connector,PBRAH</v>
          </cell>
          <cell r="C1745">
            <v>1.6000000000000001E-3</v>
          </cell>
          <cell r="D1745">
            <v>3718.75</v>
          </cell>
          <cell r="E1745">
            <v>11156.25</v>
          </cell>
          <cell r="F1745">
            <v>2.7099999999999999E-2</v>
          </cell>
        </row>
        <row r="1746">
          <cell r="A1746" t="str">
            <v>51939-293LF</v>
          </cell>
          <cell r="B1746" t="str">
            <v>51939-293LF PwrBlade RAH STB</v>
          </cell>
          <cell r="C1746">
            <v>1.6000000000000001E-3</v>
          </cell>
          <cell r="D1746">
            <v>3718.75</v>
          </cell>
          <cell r="E1746">
            <v>11156.25</v>
          </cell>
          <cell r="F1746">
            <v>1.4258392E-2</v>
          </cell>
        </row>
        <row r="1747">
          <cell r="A1747" t="str">
            <v>51939-295LF</v>
          </cell>
          <cell r="B1747" t="str">
            <v>51939-295LF Connector,PBRAH</v>
          </cell>
          <cell r="C1747">
            <v>1.9E-3</v>
          </cell>
          <cell r="D1747">
            <v>3131.5789473684213</v>
          </cell>
          <cell r="E1747">
            <v>9394.7368421052633</v>
          </cell>
          <cell r="F1747">
            <v>2.9000000000000001E-2</v>
          </cell>
        </row>
        <row r="1748">
          <cell r="A1748" t="str">
            <v>51939-296LF</v>
          </cell>
          <cell r="B1748" t="str">
            <v>51939-296LF Connector,PBRAH</v>
          </cell>
          <cell r="C1748">
            <v>1.9E-3</v>
          </cell>
          <cell r="D1748">
            <v>3131.5789473684213</v>
          </cell>
          <cell r="E1748">
            <v>9394.7368421052633</v>
          </cell>
          <cell r="F1748">
            <v>2.9899999999999999E-2</v>
          </cell>
        </row>
        <row r="1749">
          <cell r="A1749" t="str">
            <v>51939-298LF</v>
          </cell>
          <cell r="B1749" t="str">
            <v>51939-298LF Connector,PBRAH</v>
          </cell>
          <cell r="C1749">
            <v>1.6000000000000001E-3</v>
          </cell>
          <cell r="D1749">
            <v>3718.75</v>
          </cell>
          <cell r="E1749">
            <v>11156.25</v>
          </cell>
          <cell r="F1749">
            <v>3.6499999999999998E-2</v>
          </cell>
        </row>
        <row r="1750">
          <cell r="A1750" t="str">
            <v>51939-299LF</v>
          </cell>
          <cell r="B1750" t="str">
            <v>51939-299LF PwrBlade RAH STB</v>
          </cell>
          <cell r="C1750">
            <v>3.7000000000000002E-3</v>
          </cell>
          <cell r="D1750">
            <v>1608.1081081081081</v>
          </cell>
          <cell r="E1750">
            <v>4824.3243243243242</v>
          </cell>
          <cell r="F1750">
            <v>2.7400000000000001E-2</v>
          </cell>
        </row>
        <row r="1751">
          <cell r="A1751" t="str">
            <v>51939-300LF</v>
          </cell>
          <cell r="B1751" t="str">
            <v>51939-300LF Connector,PBRAH</v>
          </cell>
          <cell r="C1751">
            <v>1.9E-3</v>
          </cell>
          <cell r="D1751">
            <v>3131.5789473684213</v>
          </cell>
          <cell r="E1751">
            <v>9394.7368421052633</v>
          </cell>
          <cell r="F1751">
            <v>2.06E-2</v>
          </cell>
        </row>
        <row r="1752">
          <cell r="A1752" t="str">
            <v>51939-301LF</v>
          </cell>
          <cell r="B1752" t="str">
            <v>51939-301LF Connector,PBRAH</v>
          </cell>
          <cell r="C1752">
            <v>1.9E-3</v>
          </cell>
          <cell r="D1752">
            <v>3131.5789473684213</v>
          </cell>
          <cell r="E1752">
            <v>9394.7368421052633</v>
          </cell>
          <cell r="F1752">
            <v>2.9000000000000001E-2</v>
          </cell>
        </row>
        <row r="1753">
          <cell r="A1753" t="str">
            <v>51939-302LF</v>
          </cell>
          <cell r="B1753" t="str">
            <v>51939-302LF PwrBlade RAH STB</v>
          </cell>
          <cell r="C1753">
            <v>1.9E-3</v>
          </cell>
          <cell r="D1753">
            <v>3131.5789473684213</v>
          </cell>
          <cell r="E1753">
            <v>9394.7368421052633</v>
          </cell>
          <cell r="F1753">
            <v>3.4879793999999999E-2</v>
          </cell>
        </row>
        <row r="1754">
          <cell r="A1754" t="str">
            <v>51939-303LF</v>
          </cell>
          <cell r="B1754" t="str">
            <v>51939-303LF Connector,PBRAH</v>
          </cell>
          <cell r="C1754">
            <v>1.6000000000000001E-3</v>
          </cell>
          <cell r="D1754">
            <v>3718.75</v>
          </cell>
          <cell r="E1754">
            <v>11156.25</v>
          </cell>
          <cell r="F1754">
            <v>3.1800000000000002E-2</v>
          </cell>
        </row>
        <row r="1755">
          <cell r="A1755" t="str">
            <v>51939-305LF</v>
          </cell>
          <cell r="B1755" t="str">
            <v>51939-305LF Connector,PBRAH</v>
          </cell>
          <cell r="C1755">
            <v>1.9E-3</v>
          </cell>
          <cell r="D1755">
            <v>3131.5789473684213</v>
          </cell>
          <cell r="E1755">
            <v>9394.7368421052633</v>
          </cell>
          <cell r="F1755">
            <v>4.0800000000000003E-2</v>
          </cell>
        </row>
        <row r="1756">
          <cell r="A1756" t="str">
            <v>51939-306LF</v>
          </cell>
          <cell r="B1756" t="str">
            <v>51939-306LF Connector,PBRAH</v>
          </cell>
          <cell r="C1756">
            <v>1.9E-3</v>
          </cell>
          <cell r="D1756">
            <v>3131.5789473684213</v>
          </cell>
          <cell r="E1756">
            <v>9394.7368421052633</v>
          </cell>
          <cell r="F1756">
            <v>1.8800000000000001E-2</v>
          </cell>
        </row>
        <row r="1757">
          <cell r="A1757" t="str">
            <v>51939-307LF</v>
          </cell>
          <cell r="B1757" t="str">
            <v>51939-307LF Connector,PBRAH</v>
          </cell>
          <cell r="C1757">
            <v>1.9E-3</v>
          </cell>
          <cell r="D1757">
            <v>3131.5789473684213</v>
          </cell>
          <cell r="E1757">
            <v>9394.7368421052633</v>
          </cell>
          <cell r="F1757">
            <v>2.6200000000000001E-2</v>
          </cell>
        </row>
        <row r="1758">
          <cell r="A1758" t="str">
            <v>51939-308LF</v>
          </cell>
          <cell r="B1758" t="str">
            <v>51939-308LF Connector,PBRAH</v>
          </cell>
          <cell r="C1758">
            <v>1.9E-3</v>
          </cell>
          <cell r="D1758">
            <v>3131.5789473684213</v>
          </cell>
          <cell r="E1758">
            <v>9394.7368421052633</v>
          </cell>
          <cell r="F1758">
            <v>2.7099999999999999E-2</v>
          </cell>
        </row>
        <row r="1759">
          <cell r="A1759" t="str">
            <v>51939-309LF</v>
          </cell>
          <cell r="B1759" t="str">
            <v>51939-309LF Connector,PBRAH</v>
          </cell>
          <cell r="C1759">
            <v>1.9E-3</v>
          </cell>
          <cell r="D1759">
            <v>3131.5789473684213</v>
          </cell>
          <cell r="E1759">
            <v>9394.7368421052633</v>
          </cell>
          <cell r="F1759">
            <v>2.9899999999999999E-2</v>
          </cell>
        </row>
        <row r="1760">
          <cell r="A1760" t="str">
            <v>51939-310LF</v>
          </cell>
          <cell r="B1760" t="str">
            <v>51939-310LF Connector,PBRAH</v>
          </cell>
          <cell r="C1760">
            <v>1.9E-3</v>
          </cell>
          <cell r="D1760">
            <v>3131.5789473684213</v>
          </cell>
          <cell r="E1760">
            <v>9394.7368421052633</v>
          </cell>
          <cell r="F1760">
            <v>1.8200000000000001E-2</v>
          </cell>
        </row>
        <row r="1761">
          <cell r="A1761" t="str">
            <v>51939-311LF</v>
          </cell>
          <cell r="B1761" t="str">
            <v>51939-311LF Connector,PBRAH</v>
          </cell>
          <cell r="C1761">
            <v>6.1000000000000004E-3</v>
          </cell>
          <cell r="D1761">
            <v>975.4098360655737</v>
          </cell>
          <cell r="E1761">
            <v>2926.2295081967213</v>
          </cell>
          <cell r="F1761">
            <v>1.8700000000000001E-2</v>
          </cell>
        </row>
        <row r="1762">
          <cell r="A1762" t="str">
            <v>51939-313LF</v>
          </cell>
          <cell r="B1762" t="str">
            <v>51939-313LF Connector,PBRAH</v>
          </cell>
          <cell r="C1762">
            <v>2.2000000000000001E-3</v>
          </cell>
          <cell r="D1762">
            <v>2704.5454545454545</v>
          </cell>
          <cell r="E1762">
            <v>8113.636363636364</v>
          </cell>
          <cell r="F1762">
            <v>2.4299999999999999E-2</v>
          </cell>
        </row>
        <row r="1763">
          <cell r="A1763" t="str">
            <v>51939-314LF</v>
          </cell>
          <cell r="B1763" t="str">
            <v>51939-314LF Connector,PBRAH</v>
          </cell>
          <cell r="C1763">
            <v>1.9E-3</v>
          </cell>
          <cell r="D1763">
            <v>3131.5789473684213</v>
          </cell>
          <cell r="E1763">
            <v>9394.7368421052633</v>
          </cell>
          <cell r="F1763">
            <v>2.9000000000000001E-2</v>
          </cell>
        </row>
        <row r="1764">
          <cell r="A1764" t="str">
            <v>51939-315LF</v>
          </cell>
          <cell r="B1764" t="str">
            <v>51939-315LF Connector,PBRAH</v>
          </cell>
          <cell r="C1764">
            <v>1.6000000000000001E-3</v>
          </cell>
          <cell r="D1764">
            <v>3718.75</v>
          </cell>
          <cell r="E1764">
            <v>11156.25</v>
          </cell>
          <cell r="F1764">
            <v>2.4299999999999999E-2</v>
          </cell>
        </row>
        <row r="1765">
          <cell r="A1765" t="str">
            <v>51939-316LF</v>
          </cell>
          <cell r="B1765" t="str">
            <v>51939-316LF Connector,PBRAH</v>
          </cell>
          <cell r="C1765">
            <v>1.9E-3</v>
          </cell>
          <cell r="D1765">
            <v>3131.5789473684213</v>
          </cell>
          <cell r="E1765">
            <v>9394.7368421052633</v>
          </cell>
          <cell r="F1765">
            <v>2.9899999999999999E-2</v>
          </cell>
        </row>
        <row r="1766">
          <cell r="A1766" t="str">
            <v>51939-317LF</v>
          </cell>
          <cell r="B1766" t="str">
            <v>51939-317LF Connector,PBRAH</v>
          </cell>
          <cell r="C1766">
            <v>1.6000000000000001E-3</v>
          </cell>
          <cell r="D1766">
            <v>3718.75</v>
          </cell>
          <cell r="E1766">
            <v>11156.25</v>
          </cell>
          <cell r="F1766">
            <v>2.9000000000000001E-2</v>
          </cell>
        </row>
        <row r="1767">
          <cell r="A1767" t="str">
            <v>51939-318LF</v>
          </cell>
          <cell r="B1767" t="str">
            <v>51939-318LF Connector,PBRAH</v>
          </cell>
          <cell r="C1767">
            <v>2.2000000000000001E-3</v>
          </cell>
          <cell r="D1767">
            <v>2704.5454545454545</v>
          </cell>
          <cell r="E1767">
            <v>8113.636363636364</v>
          </cell>
          <cell r="F1767">
            <v>2.9000000000000001E-2</v>
          </cell>
        </row>
        <row r="1768">
          <cell r="A1768" t="str">
            <v>51939-319LF</v>
          </cell>
          <cell r="B1768" t="str">
            <v>51939-319LF Connector,PBRAH</v>
          </cell>
          <cell r="C1768">
            <v>2.2000000000000001E-3</v>
          </cell>
          <cell r="D1768">
            <v>2704.5454545454545</v>
          </cell>
          <cell r="E1768">
            <v>8113.636363636364</v>
          </cell>
          <cell r="F1768">
            <v>4.1099999999999998E-2</v>
          </cell>
        </row>
        <row r="1769">
          <cell r="A1769" t="str">
            <v>51939-321LF</v>
          </cell>
          <cell r="B1769" t="str">
            <v>51939-321LF Connector,PBRAH</v>
          </cell>
          <cell r="C1769">
            <v>1.9E-3</v>
          </cell>
          <cell r="D1769">
            <v>3131.5789473684213</v>
          </cell>
          <cell r="E1769">
            <v>9394.7368421052633</v>
          </cell>
          <cell r="F1769">
            <v>2.9000000000000001E-2</v>
          </cell>
        </row>
        <row r="1770">
          <cell r="A1770" t="str">
            <v>51939-322LF</v>
          </cell>
          <cell r="B1770" t="str">
            <v>51939-322LF Connector,PBRAH</v>
          </cell>
          <cell r="C1770">
            <v>1.9E-3</v>
          </cell>
          <cell r="D1770">
            <v>3131.5789473684213</v>
          </cell>
          <cell r="E1770">
            <v>9394.7368421052633</v>
          </cell>
          <cell r="F1770">
            <v>3.1800000000000002E-2</v>
          </cell>
        </row>
        <row r="1771">
          <cell r="A1771" t="str">
            <v>51939-323LF</v>
          </cell>
          <cell r="B1771" t="str">
            <v>51939-323LF Connector,PBRAH</v>
          </cell>
          <cell r="C1771">
            <v>1.9E-3</v>
          </cell>
          <cell r="D1771">
            <v>3131.5789473684213</v>
          </cell>
          <cell r="E1771">
            <v>9394.7368421052633</v>
          </cell>
          <cell r="F1771">
            <v>2.9899999999999999E-2</v>
          </cell>
        </row>
        <row r="1772">
          <cell r="A1772" t="str">
            <v>51939-324LF</v>
          </cell>
          <cell r="B1772" t="str">
            <v>51939-324LF Connector,PBRAH</v>
          </cell>
          <cell r="C1772">
            <v>1.9E-3</v>
          </cell>
          <cell r="D1772">
            <v>3131.5789473684213</v>
          </cell>
          <cell r="E1772">
            <v>9394.7368421052633</v>
          </cell>
          <cell r="F1772">
            <v>3.9300000000000002E-2</v>
          </cell>
        </row>
        <row r="1773">
          <cell r="A1773" t="str">
            <v>51939-325LF</v>
          </cell>
          <cell r="B1773" t="str">
            <v>51939-325LF PwrBlade RAH STB</v>
          </cell>
          <cell r="C1773">
            <v>1.9E-3</v>
          </cell>
          <cell r="D1773">
            <v>3131.5789473684213</v>
          </cell>
          <cell r="E1773">
            <v>9394.7368421052633</v>
          </cell>
          <cell r="F1773">
            <v>1.2866746E-2</v>
          </cell>
        </row>
        <row r="1774">
          <cell r="A1774" t="str">
            <v>51939-326LF</v>
          </cell>
          <cell r="B1774" t="str">
            <v>51939-326LF Connector,PBRAH</v>
          </cell>
          <cell r="C1774">
            <v>1.9E-3</v>
          </cell>
          <cell r="D1774">
            <v>3131.5789473684213</v>
          </cell>
          <cell r="E1774">
            <v>9394.7368421052633</v>
          </cell>
          <cell r="F1774">
            <v>3.1800000000000002E-2</v>
          </cell>
        </row>
        <row r="1775">
          <cell r="A1775" t="str">
            <v>51939-327LF</v>
          </cell>
          <cell r="B1775" t="str">
            <v>51939-327LF PwrBlade RAH</v>
          </cell>
          <cell r="C1775">
            <v>1.9E-3</v>
          </cell>
          <cell r="D1775">
            <v>3131.5789473684213</v>
          </cell>
          <cell r="E1775">
            <v>9394.7368421052633</v>
          </cell>
          <cell r="F1775">
            <v>1.7912417999999999E-2</v>
          </cell>
        </row>
        <row r="1776">
          <cell r="A1776" t="str">
            <v>51939-329LF</v>
          </cell>
          <cell r="B1776" t="str">
            <v>51939-329LF Connector,PBRAH</v>
          </cell>
          <cell r="C1776">
            <v>3.7000000000000002E-3</v>
          </cell>
          <cell r="D1776">
            <v>1608.1081081081081</v>
          </cell>
          <cell r="E1776">
            <v>4824.3243243243242</v>
          </cell>
          <cell r="F1776">
            <v>3.2000000000000001E-2</v>
          </cell>
        </row>
        <row r="1777">
          <cell r="A1777" t="str">
            <v>51939-330LF</v>
          </cell>
          <cell r="B1777" t="str">
            <v>51939-330LF PwrBlade RAH</v>
          </cell>
          <cell r="C1777">
            <v>1.9E-3</v>
          </cell>
          <cell r="D1777">
            <v>3131.5789473684213</v>
          </cell>
          <cell r="E1777">
            <v>9394.7368421052633</v>
          </cell>
          <cell r="F1777">
            <v>2.5905349000000001E-2</v>
          </cell>
        </row>
        <row r="1778">
          <cell r="A1778" t="str">
            <v>51939-331LF</v>
          </cell>
          <cell r="B1778" t="str">
            <v>51939-331LF Connector,PBRAH</v>
          </cell>
          <cell r="C1778">
            <v>1.9E-3</v>
          </cell>
          <cell r="D1778">
            <v>3131.5789473684213</v>
          </cell>
          <cell r="E1778">
            <v>9394.7368421052633</v>
          </cell>
          <cell r="F1778">
            <v>3.3700000000000001E-2</v>
          </cell>
        </row>
        <row r="1779">
          <cell r="A1779" t="str">
            <v>51939-332LF</v>
          </cell>
          <cell r="B1779" t="str">
            <v>51939-332LF Connector,PBRAH</v>
          </cell>
          <cell r="C1779">
            <v>1.9E-3</v>
          </cell>
          <cell r="D1779">
            <v>3131.5789473684213</v>
          </cell>
          <cell r="E1779">
            <v>9394.7368421052633</v>
          </cell>
          <cell r="F1779">
            <v>3.9300000000000002E-2</v>
          </cell>
        </row>
        <row r="1780">
          <cell r="A1780" t="str">
            <v>51939-333LF</v>
          </cell>
          <cell r="B1780" t="str">
            <v>51939-333LF Connector,PBRAH</v>
          </cell>
          <cell r="C1780">
            <v>1.9E-3</v>
          </cell>
          <cell r="D1780">
            <v>3131.5789473684213</v>
          </cell>
          <cell r="E1780">
            <v>9394.7368421052633</v>
          </cell>
          <cell r="F1780">
            <v>3.5499999999999997E-2</v>
          </cell>
        </row>
        <row r="1781">
          <cell r="A1781" t="str">
            <v>51939-335LF</v>
          </cell>
          <cell r="B1781" t="str">
            <v>51939-335LF Connector,PBRAH</v>
          </cell>
          <cell r="C1781">
            <v>6.1000000000000004E-3</v>
          </cell>
          <cell r="D1781">
            <v>975.4098360655737</v>
          </cell>
          <cell r="E1781">
            <v>2926.2295081967213</v>
          </cell>
          <cell r="F1781">
            <v>1.5900000000000001E-2</v>
          </cell>
        </row>
        <row r="1782">
          <cell r="A1782" t="str">
            <v>51939-336LF</v>
          </cell>
          <cell r="B1782" t="str">
            <v>51939-336LF Connector,PBRAH</v>
          </cell>
          <cell r="C1782">
            <v>6.1000000000000004E-3</v>
          </cell>
          <cell r="D1782">
            <v>975.4098360655737</v>
          </cell>
          <cell r="E1782">
            <v>2926.2295081967213</v>
          </cell>
          <cell r="F1782">
            <v>2.06E-2</v>
          </cell>
        </row>
        <row r="1783">
          <cell r="A1783" t="str">
            <v>51939-339LF</v>
          </cell>
          <cell r="B1783" t="str">
            <v>51939-339LF Connector,PBRAH</v>
          </cell>
          <cell r="C1783">
            <v>1.9E-3</v>
          </cell>
          <cell r="D1783">
            <v>3131.5789473684213</v>
          </cell>
          <cell r="E1783">
            <v>9394.7368421052633</v>
          </cell>
          <cell r="F1783">
            <v>3.8300000000000001E-2</v>
          </cell>
        </row>
        <row r="1784">
          <cell r="A1784" t="str">
            <v>51939-340LF</v>
          </cell>
          <cell r="B1784" t="str">
            <v>51939-340LF Connector,PBRAH</v>
          </cell>
          <cell r="C1784">
            <v>1.9E-3</v>
          </cell>
          <cell r="D1784">
            <v>3131.5789473684213</v>
          </cell>
          <cell r="E1784">
            <v>9394.7368421052633</v>
          </cell>
          <cell r="F1784">
            <v>2.81E-2</v>
          </cell>
        </row>
        <row r="1785">
          <cell r="A1785" t="str">
            <v>51939-341LF</v>
          </cell>
          <cell r="B1785" t="str">
            <v>51939-341LF Connector,PBRAH</v>
          </cell>
          <cell r="C1785">
            <v>1.9E-3</v>
          </cell>
          <cell r="D1785">
            <v>3131.5789473684213</v>
          </cell>
          <cell r="E1785">
            <v>9394.7368421052633</v>
          </cell>
          <cell r="F1785">
            <v>5.2400000000000002E-2</v>
          </cell>
        </row>
        <row r="1786">
          <cell r="A1786" t="str">
            <v>51939-342LF</v>
          </cell>
          <cell r="B1786" t="str">
            <v>51939-342LF PwrBlade RAH STB</v>
          </cell>
          <cell r="C1786">
            <v>1.9E-3</v>
          </cell>
          <cell r="D1786">
            <v>3131.5789473684213</v>
          </cell>
          <cell r="E1786">
            <v>9394.7368421052633</v>
          </cell>
          <cell r="F1786">
            <v>1.66E-2</v>
          </cell>
        </row>
        <row r="1787">
          <cell r="A1787" t="str">
            <v>51939-343LF</v>
          </cell>
          <cell r="B1787" t="str">
            <v>51939-343LF Connector,PBRAH</v>
          </cell>
          <cell r="C1787">
            <v>1.9E-3</v>
          </cell>
          <cell r="D1787">
            <v>3131.5789473684213</v>
          </cell>
          <cell r="E1787">
            <v>9394.7368421052633</v>
          </cell>
          <cell r="F1787">
            <v>2.0199999999999999E-2</v>
          </cell>
        </row>
        <row r="1788">
          <cell r="A1788" t="str">
            <v>51939-345LF</v>
          </cell>
          <cell r="B1788" t="str">
            <v>51939-345LF Connector,PBRAH</v>
          </cell>
          <cell r="C1788">
            <v>6.1000000000000004E-3</v>
          </cell>
          <cell r="D1788">
            <v>975.4098360655737</v>
          </cell>
          <cell r="E1788">
            <v>2926.2295081967213</v>
          </cell>
          <cell r="F1788">
            <v>1.44E-2</v>
          </cell>
        </row>
        <row r="1789">
          <cell r="A1789" t="str">
            <v>51939-347LF</v>
          </cell>
          <cell r="B1789" t="str">
            <v>51939-347LF PwrBlade RAH STB</v>
          </cell>
          <cell r="C1789">
            <v>1.9E-3</v>
          </cell>
          <cell r="D1789">
            <v>3131.5789473684213</v>
          </cell>
          <cell r="E1789">
            <v>9394.7368421052633</v>
          </cell>
          <cell r="F1789">
            <v>2.2041667000000001E-2</v>
          </cell>
        </row>
        <row r="1790">
          <cell r="A1790" t="str">
            <v>51939-348LF</v>
          </cell>
          <cell r="B1790" t="str">
            <v>51939-348LF Connector,PBRAH</v>
          </cell>
          <cell r="C1790">
            <v>6.4999999999999997E-3</v>
          </cell>
          <cell r="D1790">
            <v>915.38461538461547</v>
          </cell>
          <cell r="E1790">
            <v>2746.1538461538466</v>
          </cell>
          <cell r="F1790">
            <v>3.9600000000000003E-2</v>
          </cell>
        </row>
        <row r="1791">
          <cell r="A1791" t="str">
            <v>51939-349LF</v>
          </cell>
          <cell r="B1791" t="str">
            <v>51939-349LF Connector,PBRAH</v>
          </cell>
          <cell r="C1791">
            <v>3.3E-3</v>
          </cell>
          <cell r="D1791">
            <v>1803.030303030303</v>
          </cell>
          <cell r="E1791">
            <v>5409.090909090909</v>
          </cell>
          <cell r="F1791">
            <v>2.18E-2</v>
          </cell>
        </row>
        <row r="1792">
          <cell r="A1792" t="str">
            <v>51939-350LF</v>
          </cell>
          <cell r="B1792" t="str">
            <v>51939-350LF Connector,PBRAH</v>
          </cell>
          <cell r="C1792">
            <v>1.9E-3</v>
          </cell>
          <cell r="D1792">
            <v>3131.5789473684213</v>
          </cell>
          <cell r="E1792">
            <v>9394.7368421052633</v>
          </cell>
          <cell r="F1792">
            <v>1.95E-2</v>
          </cell>
        </row>
        <row r="1793">
          <cell r="A1793" t="str">
            <v>51939-351LF</v>
          </cell>
          <cell r="B1793" t="str">
            <v>51939-351LF Connector,PBRAH</v>
          </cell>
          <cell r="C1793">
            <v>1.9E-3</v>
          </cell>
          <cell r="D1793">
            <v>3131.5789473684213</v>
          </cell>
          <cell r="E1793">
            <v>9394.7368421052633</v>
          </cell>
          <cell r="F1793">
            <v>3.6499999999999998E-2</v>
          </cell>
        </row>
        <row r="1794">
          <cell r="A1794" t="str">
            <v>51939-354LF</v>
          </cell>
          <cell r="B1794" t="str">
            <v>51939-354LF Connector,PBRAH</v>
          </cell>
          <cell r="C1794">
            <v>1.9E-3</v>
          </cell>
          <cell r="D1794">
            <v>3131.5789473684213</v>
          </cell>
          <cell r="E1794">
            <v>9394.7368421052633</v>
          </cell>
          <cell r="F1794">
            <v>4.2999999999999997E-2</v>
          </cell>
        </row>
        <row r="1795">
          <cell r="A1795" t="str">
            <v>51939-355LF</v>
          </cell>
          <cell r="B1795" t="str">
            <v>51939-355LF Connector,PBRAH</v>
          </cell>
          <cell r="C1795">
            <v>1.9E-3</v>
          </cell>
          <cell r="D1795">
            <v>3131.5789473684213</v>
          </cell>
          <cell r="E1795">
            <v>9394.7368421052633</v>
          </cell>
          <cell r="F1795">
            <v>3.8300000000000001E-2</v>
          </cell>
        </row>
        <row r="1796">
          <cell r="A1796" t="str">
            <v>51939-357LF</v>
          </cell>
          <cell r="B1796" t="str">
            <v>51939-357LF Connector,PBRAH</v>
          </cell>
          <cell r="C1796">
            <v>1.9E-3</v>
          </cell>
          <cell r="D1796">
            <v>3131.5789473684213</v>
          </cell>
          <cell r="E1796">
            <v>9394.7368421052633</v>
          </cell>
          <cell r="F1796">
            <v>2.2599999999999999E-2</v>
          </cell>
        </row>
        <row r="1797">
          <cell r="A1797" t="str">
            <v>51939-358LF</v>
          </cell>
          <cell r="B1797" t="str">
            <v>51939-358LF Connector,PBRAH</v>
          </cell>
          <cell r="C1797">
            <v>1.9E-3</v>
          </cell>
          <cell r="D1797">
            <v>3131.5789473684213</v>
          </cell>
          <cell r="E1797">
            <v>9394.7368421052633</v>
          </cell>
          <cell r="F1797">
            <v>4.2999999999999997E-2</v>
          </cell>
        </row>
        <row r="1798">
          <cell r="A1798" t="str">
            <v>51939-360LF</v>
          </cell>
          <cell r="B1798" t="str">
            <v>51939-360LF PwrBlade RAH STB</v>
          </cell>
          <cell r="C1798">
            <v>1.9E-3</v>
          </cell>
          <cell r="D1798">
            <v>3131.5789473684213</v>
          </cell>
          <cell r="E1798">
            <v>9394.7368421052633</v>
          </cell>
          <cell r="F1798">
            <v>5.9799999999999999E-2</v>
          </cell>
        </row>
        <row r="1799">
          <cell r="A1799" t="str">
            <v>51939-361LF</v>
          </cell>
          <cell r="B1799" t="str">
            <v>51939-361LF Connector,PBRAH</v>
          </cell>
          <cell r="C1799">
            <v>1.9E-3</v>
          </cell>
          <cell r="D1799">
            <v>3131.5789473684213</v>
          </cell>
          <cell r="E1799">
            <v>9394.7368421052633</v>
          </cell>
          <cell r="F1799">
            <v>3.9300000000000002E-2</v>
          </cell>
        </row>
        <row r="1800">
          <cell r="A1800" t="str">
            <v>51939-362LF</v>
          </cell>
          <cell r="B1800" t="str">
            <v>51939-362LF Connector,PBRAH</v>
          </cell>
          <cell r="C1800">
            <v>1.9E-3</v>
          </cell>
          <cell r="D1800">
            <v>3131.5789473684213</v>
          </cell>
          <cell r="E1800">
            <v>9394.7368421052633</v>
          </cell>
          <cell r="F1800">
            <v>2.12E-2</v>
          </cell>
        </row>
        <row r="1801">
          <cell r="A1801" t="str">
            <v>51939-363LF</v>
          </cell>
          <cell r="B1801" t="str">
            <v>51939-363LF Connector,PBRAH</v>
          </cell>
          <cell r="C1801">
            <v>6.1000000000000004E-3</v>
          </cell>
          <cell r="D1801">
            <v>975.4098360655737</v>
          </cell>
          <cell r="E1801">
            <v>2926.2295081967213</v>
          </cell>
          <cell r="F1801">
            <v>2.1499999999999998E-2</v>
          </cell>
        </row>
        <row r="1802">
          <cell r="A1802" t="str">
            <v>51939-367LF</v>
          </cell>
          <cell r="B1802" t="str">
            <v>51939-367LF Connector,PBRAH</v>
          </cell>
          <cell r="C1802">
            <v>1.9E-3</v>
          </cell>
          <cell r="D1802">
            <v>3131.5789473684213</v>
          </cell>
          <cell r="E1802">
            <v>9394.7368421052633</v>
          </cell>
          <cell r="F1802">
            <v>2.7099999999999999E-2</v>
          </cell>
        </row>
        <row r="1803">
          <cell r="A1803" t="str">
            <v>51939-368LF</v>
          </cell>
          <cell r="B1803" t="str">
            <v>51939-368LF Connector,PBRAH</v>
          </cell>
          <cell r="C1803">
            <v>1.9E-3</v>
          </cell>
          <cell r="D1803">
            <v>3131.5789473684213</v>
          </cell>
          <cell r="E1803">
            <v>9394.7368421052633</v>
          </cell>
          <cell r="F1803">
            <v>2.98E-2</v>
          </cell>
        </row>
        <row r="1804">
          <cell r="A1804" t="str">
            <v>51939-370LF</v>
          </cell>
          <cell r="B1804" t="str">
            <v>51939-370LF Connector,PBRAH</v>
          </cell>
          <cell r="C1804">
            <v>6.1000000000000004E-3</v>
          </cell>
          <cell r="D1804">
            <v>975.4098360655737</v>
          </cell>
          <cell r="E1804">
            <v>2926.2295081967213</v>
          </cell>
          <cell r="F1804">
            <v>1.5900000000000001E-2</v>
          </cell>
        </row>
        <row r="1805">
          <cell r="A1805" t="str">
            <v>51939-371LF</v>
          </cell>
          <cell r="B1805" t="str">
            <v>51939-371LF Connector,PBRAH</v>
          </cell>
          <cell r="C1805">
            <v>1.9E-3</v>
          </cell>
          <cell r="D1805">
            <v>3131.5789473684213</v>
          </cell>
          <cell r="E1805">
            <v>9394.7368421052633</v>
          </cell>
          <cell r="F1805">
            <v>3.4599999999999999E-2</v>
          </cell>
        </row>
        <row r="1806">
          <cell r="A1806" t="str">
            <v>51939-372LF</v>
          </cell>
          <cell r="B1806" t="str">
            <v>51939-372LF Connector,PBRAH</v>
          </cell>
          <cell r="C1806">
            <v>1.9E-3</v>
          </cell>
          <cell r="D1806">
            <v>3131.5789473684213</v>
          </cell>
          <cell r="E1806">
            <v>9394.7368421052633</v>
          </cell>
          <cell r="F1806">
            <v>3.3700000000000001E-2</v>
          </cell>
        </row>
        <row r="1807">
          <cell r="A1807" t="str">
            <v>51939-374LF</v>
          </cell>
          <cell r="B1807" t="str">
            <v>51939-374LF Connector,PBRAH</v>
          </cell>
          <cell r="C1807">
            <v>1.9E-3</v>
          </cell>
          <cell r="D1807">
            <v>3131.5789473684213</v>
          </cell>
          <cell r="E1807">
            <v>9394.7368421052633</v>
          </cell>
          <cell r="F1807">
            <v>3.3700000000000001E-2</v>
          </cell>
        </row>
        <row r="1808">
          <cell r="A1808" t="str">
            <v>51939-375LF</v>
          </cell>
          <cell r="B1808" t="str">
            <v>51939-375LF Connector,PBRAH</v>
          </cell>
          <cell r="C1808">
            <v>1.9E-3</v>
          </cell>
          <cell r="D1808">
            <v>3131.5789473684213</v>
          </cell>
          <cell r="E1808">
            <v>9394.7368421052633</v>
          </cell>
          <cell r="F1808">
            <v>2.86E-2</v>
          </cell>
        </row>
        <row r="1809">
          <cell r="A1809" t="str">
            <v>51939-376LF</v>
          </cell>
          <cell r="B1809" t="str">
            <v>51939-376LF Connector,PBRAH</v>
          </cell>
          <cell r="C1809">
            <v>1.9E-3</v>
          </cell>
          <cell r="D1809">
            <v>3131.5789473684213</v>
          </cell>
          <cell r="E1809">
            <v>9394.7368421052633</v>
          </cell>
          <cell r="F1809">
            <v>4.4900000000000002E-2</v>
          </cell>
        </row>
        <row r="1810">
          <cell r="A1810" t="str">
            <v>51939-377LF</v>
          </cell>
          <cell r="B1810" t="str">
            <v>51939-377LF Connector,PBRAH</v>
          </cell>
          <cell r="C1810">
            <v>1.9E-3</v>
          </cell>
          <cell r="D1810">
            <v>3131.5789473684213</v>
          </cell>
          <cell r="E1810">
            <v>9394.7368421052633</v>
          </cell>
          <cell r="F1810">
            <v>3.3700000000000001E-2</v>
          </cell>
        </row>
        <row r="1811">
          <cell r="A1811" t="str">
            <v>51939-378LF</v>
          </cell>
          <cell r="B1811" t="str">
            <v>51939-378LF Connector,PBRAH</v>
          </cell>
          <cell r="C1811">
            <v>6.1000000000000004E-3</v>
          </cell>
          <cell r="D1811">
            <v>975.4098360655737</v>
          </cell>
          <cell r="E1811">
            <v>2926.2295081967213</v>
          </cell>
          <cell r="F1811">
            <v>2.06E-2</v>
          </cell>
        </row>
        <row r="1812">
          <cell r="A1812" t="str">
            <v>51939-379LF</v>
          </cell>
          <cell r="B1812" t="str">
            <v>51939-379LF Connector,PBRAH</v>
          </cell>
          <cell r="C1812">
            <v>1.9E-3</v>
          </cell>
          <cell r="D1812">
            <v>3131.5789473684213</v>
          </cell>
          <cell r="E1812">
            <v>9394.7368421052633</v>
          </cell>
          <cell r="F1812">
            <v>3.6499999999999998E-2</v>
          </cell>
        </row>
        <row r="1813">
          <cell r="A1813" t="str">
            <v>51939-380LF</v>
          </cell>
          <cell r="B1813" t="str">
            <v>51939-380LF Connector,PBRAH</v>
          </cell>
          <cell r="C1813">
            <v>2E-3</v>
          </cell>
          <cell r="D1813">
            <v>2975</v>
          </cell>
          <cell r="E1813">
            <v>8925</v>
          </cell>
          <cell r="F1813">
            <v>3.9300000000000002E-2</v>
          </cell>
        </row>
        <row r="1814">
          <cell r="A1814" t="str">
            <v>51939-383LF</v>
          </cell>
          <cell r="B1814" t="str">
            <v>51939-383LF Connector,PBRAH</v>
          </cell>
          <cell r="C1814">
            <v>1.9E-3</v>
          </cell>
          <cell r="D1814">
            <v>3131.5789473684213</v>
          </cell>
          <cell r="E1814">
            <v>9394.7368421052633</v>
          </cell>
          <cell r="F1814">
            <v>1.9E-2</v>
          </cell>
        </row>
        <row r="1815">
          <cell r="A1815" t="str">
            <v>51939-384LF</v>
          </cell>
          <cell r="B1815" t="str">
            <v>51939-384LF Connector,PBRAH</v>
          </cell>
          <cell r="C1815">
            <v>1.9E-3</v>
          </cell>
          <cell r="D1815">
            <v>3131.5789473684213</v>
          </cell>
          <cell r="E1815">
            <v>9394.7368421052633</v>
          </cell>
          <cell r="F1815">
            <v>3.5499999999999997E-2</v>
          </cell>
        </row>
        <row r="1816">
          <cell r="A1816" t="str">
            <v>51939-386LF</v>
          </cell>
          <cell r="B1816" t="str">
            <v>51939-386LF Connector,PBRAH</v>
          </cell>
          <cell r="C1816">
            <v>2E-3</v>
          </cell>
          <cell r="D1816">
            <v>2975</v>
          </cell>
          <cell r="E1816">
            <v>8925</v>
          </cell>
          <cell r="F1816">
            <v>3.9E-2</v>
          </cell>
        </row>
        <row r="1817">
          <cell r="A1817" t="str">
            <v>51939-387LF</v>
          </cell>
          <cell r="B1817" t="str">
            <v>51939-387LF Connector,PBRAH</v>
          </cell>
          <cell r="C1817">
            <v>1.9E-3</v>
          </cell>
          <cell r="D1817">
            <v>3131.5789473684213</v>
          </cell>
          <cell r="E1817">
            <v>9394.7368421052633</v>
          </cell>
          <cell r="F1817">
            <v>3.73E-2</v>
          </cell>
        </row>
        <row r="1818">
          <cell r="A1818" t="str">
            <v>51939-389LF</v>
          </cell>
          <cell r="B1818" t="str">
            <v>51939-389LF PwrBlade RAH</v>
          </cell>
          <cell r="C1818">
            <v>0</v>
          </cell>
          <cell r="D1818" t="e">
            <v>#DIV/0!</v>
          </cell>
          <cell r="E1818" t="e">
            <v>#DIV/0!</v>
          </cell>
          <cell r="F1818">
            <v>1.700424E-2</v>
          </cell>
        </row>
        <row r="1819">
          <cell r="A1819" t="str">
            <v>51939-392LF</v>
          </cell>
          <cell r="B1819" t="str">
            <v>51939-392LF Connector,PBRAH</v>
          </cell>
          <cell r="C1819">
            <v>2E-3</v>
          </cell>
          <cell r="D1819">
            <v>2975</v>
          </cell>
          <cell r="E1819">
            <v>8925</v>
          </cell>
          <cell r="F1819">
            <v>3.4000000000000002E-2</v>
          </cell>
        </row>
        <row r="1820">
          <cell r="A1820" t="str">
            <v>51939-393LF</v>
          </cell>
          <cell r="B1820" t="str">
            <v>51939-393LF Connector,PBRAH</v>
          </cell>
          <cell r="C1820">
            <v>2E-3</v>
          </cell>
          <cell r="D1820">
            <v>2975</v>
          </cell>
          <cell r="E1820">
            <v>8925</v>
          </cell>
          <cell r="F1820">
            <v>3.9E-2</v>
          </cell>
        </row>
        <row r="1821">
          <cell r="A1821" t="str">
            <v>51939-394LF</v>
          </cell>
          <cell r="B1821" t="str">
            <v>51939-394LF Connector,PBRAH</v>
          </cell>
          <cell r="C1821">
            <v>4.0000000000000001E-3</v>
          </cell>
          <cell r="D1821">
            <v>1487.5</v>
          </cell>
          <cell r="E1821">
            <v>4462.5</v>
          </cell>
          <cell r="F1821">
            <v>6.0999999999999999E-2</v>
          </cell>
        </row>
        <row r="1822">
          <cell r="A1822" t="str">
            <v>51939-395LF</v>
          </cell>
          <cell r="B1822" t="str">
            <v>51939-395LF Connector,PBRAH</v>
          </cell>
          <cell r="C1822">
            <v>6.1000000000000004E-3</v>
          </cell>
          <cell r="D1822">
            <v>975.4098360655737</v>
          </cell>
          <cell r="E1822">
            <v>2926.2295081967213</v>
          </cell>
          <cell r="F1822">
            <v>2.4E-2</v>
          </cell>
        </row>
        <row r="1823">
          <cell r="A1823" t="str">
            <v>51939-399LF</v>
          </cell>
          <cell r="B1823" t="str">
            <v>51939-399LF Connector,PBRAH</v>
          </cell>
          <cell r="C1823">
            <v>6.1000000000000004E-3</v>
          </cell>
          <cell r="D1823">
            <v>975.4098360655737</v>
          </cell>
          <cell r="E1823">
            <v>2926.2295081967213</v>
          </cell>
          <cell r="F1823">
            <v>1.8700000000000001E-2</v>
          </cell>
        </row>
        <row r="1824">
          <cell r="A1824" t="str">
            <v>51939-401LF</v>
          </cell>
          <cell r="B1824" t="str">
            <v>51939-401LF Connector,PBRAH</v>
          </cell>
          <cell r="C1824">
            <v>1.9E-3</v>
          </cell>
          <cell r="D1824">
            <v>3131.5789473684213</v>
          </cell>
          <cell r="E1824">
            <v>9394.7368421052633</v>
          </cell>
          <cell r="F1824">
            <v>2.9899999999999999E-2</v>
          </cell>
        </row>
        <row r="1825">
          <cell r="A1825" t="str">
            <v>51939-402LF</v>
          </cell>
          <cell r="B1825" t="str">
            <v>51939-402LF Connector,PBRAH</v>
          </cell>
          <cell r="C1825">
            <v>1.9E-3</v>
          </cell>
          <cell r="D1825">
            <v>3131.5789473684213</v>
          </cell>
          <cell r="E1825">
            <v>9394.7368421052633</v>
          </cell>
          <cell r="F1825">
            <v>2.9899999999999999E-2</v>
          </cell>
        </row>
        <row r="1826">
          <cell r="A1826" t="str">
            <v>51939-404LF</v>
          </cell>
          <cell r="B1826" t="str">
            <v>51939-404LF Connector,PBRAH</v>
          </cell>
          <cell r="C1826">
            <v>1.9E-3</v>
          </cell>
          <cell r="D1826">
            <v>3131.5789473684213</v>
          </cell>
          <cell r="E1826">
            <v>9394.7368421052633</v>
          </cell>
          <cell r="F1826">
            <v>4.2999999999999997E-2</v>
          </cell>
        </row>
        <row r="1827">
          <cell r="A1827" t="str">
            <v>51939-405LF</v>
          </cell>
          <cell r="B1827" t="str">
            <v>51939-405LF Connector,PBRAH</v>
          </cell>
          <cell r="C1827">
            <v>1.9E-3</v>
          </cell>
          <cell r="D1827">
            <v>3131.5789473684213</v>
          </cell>
          <cell r="E1827">
            <v>9394.7368421052633</v>
          </cell>
          <cell r="F1827">
            <v>3.6499999999999998E-2</v>
          </cell>
        </row>
        <row r="1828">
          <cell r="A1828" t="str">
            <v>51939-406LF</v>
          </cell>
          <cell r="B1828" t="str">
            <v>51939-406LF Connector,PBRAH</v>
          </cell>
          <cell r="C1828">
            <v>2E-3</v>
          </cell>
          <cell r="D1828">
            <v>2975</v>
          </cell>
          <cell r="E1828">
            <v>8925</v>
          </cell>
          <cell r="F1828">
            <v>2.8000000000000001E-2</v>
          </cell>
        </row>
        <row r="1829">
          <cell r="A1829" t="str">
            <v>51939-409LF</v>
          </cell>
          <cell r="B1829" t="str">
            <v>51939-409LF Connector,PBRAH</v>
          </cell>
          <cell r="C1829">
            <v>1.9E-3</v>
          </cell>
          <cell r="D1829">
            <v>3131.5789473684213</v>
          </cell>
          <cell r="E1829">
            <v>9394.7368421052633</v>
          </cell>
          <cell r="F1829">
            <v>2.6200000000000001E-2</v>
          </cell>
        </row>
        <row r="1830">
          <cell r="A1830" t="str">
            <v>51939-410LF</v>
          </cell>
          <cell r="B1830" t="str">
            <v>51939-410LF Connector,PBRAH</v>
          </cell>
          <cell r="C1830">
            <v>1.9E-3</v>
          </cell>
          <cell r="D1830">
            <v>3131.5789473684213</v>
          </cell>
          <cell r="E1830">
            <v>9394.7368421052633</v>
          </cell>
          <cell r="F1830">
            <v>2.6200000000000001E-2</v>
          </cell>
        </row>
        <row r="1831">
          <cell r="A1831" t="str">
            <v>51939-411LF</v>
          </cell>
          <cell r="B1831" t="str">
            <v>51939-411LF Connector,PBRAH</v>
          </cell>
          <cell r="C1831">
            <v>2E-3</v>
          </cell>
          <cell r="D1831">
            <v>2975</v>
          </cell>
          <cell r="E1831">
            <v>8925</v>
          </cell>
          <cell r="F1831">
            <v>3.5999999999999997E-2</v>
          </cell>
        </row>
        <row r="1832">
          <cell r="A1832" t="str">
            <v>51939-415LF</v>
          </cell>
          <cell r="B1832" t="str">
            <v>51939-415LF Connector,PBRAH</v>
          </cell>
          <cell r="C1832">
            <v>1.9E-3</v>
          </cell>
          <cell r="D1832">
            <v>3131.5789473684213</v>
          </cell>
          <cell r="E1832">
            <v>9394.7368421052633</v>
          </cell>
          <cell r="F1832">
            <v>3.1800000000000002E-2</v>
          </cell>
        </row>
        <row r="1833">
          <cell r="A1833" t="str">
            <v>51939-416LF</v>
          </cell>
          <cell r="B1833" t="str">
            <v>51939-416LF Connector,PBRAH</v>
          </cell>
          <cell r="C1833">
            <v>6.1000000000000004E-3</v>
          </cell>
          <cell r="D1833">
            <v>975.4098360655737</v>
          </cell>
          <cell r="E1833">
            <v>2926.2295081967213</v>
          </cell>
          <cell r="F1833">
            <v>1.7000000000000001E-2</v>
          </cell>
        </row>
        <row r="1834">
          <cell r="A1834" t="str">
            <v>51939-419LF</v>
          </cell>
          <cell r="B1834" t="str">
            <v>51939-419LF Connector,PBRAH</v>
          </cell>
          <cell r="C1834">
            <v>1.9E-3</v>
          </cell>
          <cell r="D1834">
            <v>3131.5789473684213</v>
          </cell>
          <cell r="E1834">
            <v>9394.7368421052633</v>
          </cell>
          <cell r="F1834">
            <v>2.9000000000000001E-2</v>
          </cell>
        </row>
        <row r="1835">
          <cell r="A1835" t="str">
            <v>51939-420LF</v>
          </cell>
          <cell r="B1835" t="str">
            <v>51939-420LF Connector,PBRAH</v>
          </cell>
          <cell r="C1835">
            <v>2E-3</v>
          </cell>
          <cell r="D1835">
            <v>2975</v>
          </cell>
          <cell r="E1835">
            <v>8925</v>
          </cell>
          <cell r="F1835">
            <v>3.9E-2</v>
          </cell>
        </row>
        <row r="1836">
          <cell r="A1836" t="str">
            <v>51939-423LF</v>
          </cell>
          <cell r="B1836" t="str">
            <v>51939-423LF Connector,PBRAH</v>
          </cell>
          <cell r="C1836">
            <v>2E-3</v>
          </cell>
          <cell r="D1836">
            <v>2975</v>
          </cell>
          <cell r="E1836">
            <v>8925</v>
          </cell>
          <cell r="F1836">
            <v>2.7E-2</v>
          </cell>
        </row>
        <row r="1837">
          <cell r="A1837" t="str">
            <v>51939-424LF</v>
          </cell>
          <cell r="B1837" t="str">
            <v>51939-424LF Connector,PBRAH</v>
          </cell>
          <cell r="C1837">
            <v>2E-3</v>
          </cell>
          <cell r="D1837">
            <v>2975</v>
          </cell>
          <cell r="E1837">
            <v>8925</v>
          </cell>
          <cell r="F1837">
            <v>2.9000000000000001E-2</v>
          </cell>
        </row>
        <row r="1838">
          <cell r="A1838" t="str">
            <v>51939-425LF</v>
          </cell>
          <cell r="B1838" t="str">
            <v>51939-425LF Connector,PBRAH</v>
          </cell>
          <cell r="C1838">
            <v>2E-3</v>
          </cell>
          <cell r="D1838">
            <v>2975</v>
          </cell>
          <cell r="E1838">
            <v>8925</v>
          </cell>
          <cell r="F1838">
            <v>2.8500000000000001E-2</v>
          </cell>
        </row>
        <row r="1839">
          <cell r="A1839" t="str">
            <v>51939-427LF</v>
          </cell>
          <cell r="B1839" t="str">
            <v>51939-427LF Connector,PBRAH</v>
          </cell>
          <cell r="C1839">
            <v>6.1000000000000004E-3</v>
          </cell>
          <cell r="D1839">
            <v>975.4098360655737</v>
          </cell>
          <cell r="E1839">
            <v>2926.2295081967213</v>
          </cell>
          <cell r="F1839">
            <v>5.04E-2</v>
          </cell>
        </row>
        <row r="1840">
          <cell r="A1840" t="str">
            <v>51939-428LF</v>
          </cell>
          <cell r="B1840" t="str">
            <v>51939-428LF Connector,PBRAH</v>
          </cell>
          <cell r="C1840">
            <v>2E-3</v>
          </cell>
          <cell r="D1840">
            <v>2975</v>
          </cell>
          <cell r="E1840">
            <v>8925</v>
          </cell>
          <cell r="F1840">
            <v>3.9E-2</v>
          </cell>
        </row>
        <row r="1841">
          <cell r="A1841" t="str">
            <v>51939-429LF</v>
          </cell>
          <cell r="B1841" t="str">
            <v>51939-429LF Connector,PBRAH</v>
          </cell>
          <cell r="C1841">
            <v>2E-3</v>
          </cell>
          <cell r="D1841">
            <v>2975</v>
          </cell>
          <cell r="E1841">
            <v>8925</v>
          </cell>
          <cell r="F1841">
            <v>3.2399999999999998E-2</v>
          </cell>
        </row>
        <row r="1842">
          <cell r="A1842" t="str">
            <v>51939-430LF</v>
          </cell>
          <cell r="B1842" t="str">
            <v>51939-430LF Connector,PBRAH</v>
          </cell>
          <cell r="C1842">
            <v>2E-3</v>
          </cell>
          <cell r="D1842">
            <v>2975</v>
          </cell>
          <cell r="E1842">
            <v>8925</v>
          </cell>
          <cell r="F1842">
            <v>3.6999999999999998E-2</v>
          </cell>
        </row>
        <row r="1843">
          <cell r="A1843" t="str">
            <v>51939-431LF</v>
          </cell>
          <cell r="B1843" t="str">
            <v>51939-431LF Connector,PBRAH</v>
          </cell>
          <cell r="C1843">
            <v>2E-3</v>
          </cell>
          <cell r="D1843">
            <v>2975</v>
          </cell>
          <cell r="E1843">
            <v>8925</v>
          </cell>
          <cell r="F1843">
            <v>3.1099999999999999E-2</v>
          </cell>
        </row>
        <row r="1844">
          <cell r="A1844" t="str">
            <v>51939-432LF</v>
          </cell>
          <cell r="B1844" t="str">
            <v>51939-432LF Connector,PBRAH</v>
          </cell>
          <cell r="C1844">
            <v>2E-3</v>
          </cell>
          <cell r="D1844">
            <v>2975</v>
          </cell>
          <cell r="E1844">
            <v>8925</v>
          </cell>
          <cell r="F1844">
            <v>2.8000000000000001E-2</v>
          </cell>
        </row>
        <row r="1845">
          <cell r="A1845" t="str">
            <v>51939-433LF</v>
          </cell>
          <cell r="B1845" t="str">
            <v>51939-433LF Connector,PBRAH</v>
          </cell>
          <cell r="C1845">
            <v>2E-3</v>
          </cell>
          <cell r="D1845">
            <v>2975</v>
          </cell>
          <cell r="E1845">
            <v>8925</v>
          </cell>
          <cell r="F1845">
            <v>5.74E-2</v>
          </cell>
        </row>
        <row r="1846">
          <cell r="A1846" t="str">
            <v>51939-437LF</v>
          </cell>
          <cell r="B1846" t="str">
            <v>51939-437LF Connector,PBRAH</v>
          </cell>
          <cell r="C1846">
            <v>2E-3</v>
          </cell>
          <cell r="D1846">
            <v>2975</v>
          </cell>
          <cell r="E1846">
            <v>8925</v>
          </cell>
          <cell r="F1846">
            <v>2.1999999999999999E-2</v>
          </cell>
        </row>
        <row r="1847">
          <cell r="A1847" t="str">
            <v>51939-438LF</v>
          </cell>
          <cell r="B1847" t="str">
            <v>51939-438LF Connector,PBRAH</v>
          </cell>
          <cell r="C1847">
            <v>1.9E-3</v>
          </cell>
          <cell r="D1847">
            <v>3131.5789473684213</v>
          </cell>
          <cell r="E1847">
            <v>9394.7368421052633</v>
          </cell>
          <cell r="F1847">
            <v>4.2999999999999997E-2</v>
          </cell>
        </row>
        <row r="1848">
          <cell r="A1848" t="str">
            <v>51939-439LF</v>
          </cell>
          <cell r="B1848" t="str">
            <v>51939-439LF Connector,PBRAH</v>
          </cell>
          <cell r="C1848">
            <v>2E-3</v>
          </cell>
          <cell r="D1848">
            <v>2975</v>
          </cell>
          <cell r="E1848">
            <v>8925</v>
          </cell>
          <cell r="F1848">
            <v>3.5999999999999997E-2</v>
          </cell>
        </row>
        <row r="1849">
          <cell r="A1849" t="str">
            <v>51939-440LF</v>
          </cell>
          <cell r="B1849" t="str">
            <v>51939-440LF Connector,PBRAH</v>
          </cell>
          <cell r="C1849">
            <v>2E-3</v>
          </cell>
          <cell r="D1849">
            <v>2975</v>
          </cell>
          <cell r="E1849">
            <v>8925</v>
          </cell>
          <cell r="F1849">
            <v>3.6999999999999998E-2</v>
          </cell>
        </row>
        <row r="1850">
          <cell r="A1850" t="str">
            <v>51939-441LF</v>
          </cell>
          <cell r="B1850" t="str">
            <v>51939-441LF Connector,PBRAH</v>
          </cell>
          <cell r="C1850">
            <v>6.1000000000000004E-3</v>
          </cell>
          <cell r="D1850">
            <v>975.4098360655737</v>
          </cell>
          <cell r="E1850">
            <v>2926.2295081967213</v>
          </cell>
          <cell r="F1850">
            <v>2.5999999999999999E-2</v>
          </cell>
        </row>
        <row r="1851">
          <cell r="A1851" t="str">
            <v>51939-443LF</v>
          </cell>
          <cell r="B1851" t="str">
            <v>51939-443LF Connector,PBRAH</v>
          </cell>
          <cell r="C1851">
            <v>2E-3</v>
          </cell>
          <cell r="D1851">
            <v>2975</v>
          </cell>
          <cell r="E1851">
            <v>8925</v>
          </cell>
          <cell r="F1851">
            <v>2.01E-2</v>
          </cell>
        </row>
        <row r="1852">
          <cell r="A1852" t="str">
            <v>51939-444LF</v>
          </cell>
          <cell r="B1852" t="str">
            <v>51939-444LF Connector,PBRAH</v>
          </cell>
          <cell r="C1852">
            <v>2E-3</v>
          </cell>
          <cell r="D1852">
            <v>2975</v>
          </cell>
          <cell r="E1852">
            <v>8925</v>
          </cell>
          <cell r="F1852">
            <v>1.8700000000000001E-2</v>
          </cell>
        </row>
        <row r="1853">
          <cell r="A1853" t="str">
            <v>51939-448LF</v>
          </cell>
          <cell r="B1853" t="str">
            <v>51939-448LF Connector,PBRAH</v>
          </cell>
          <cell r="C1853">
            <v>2E-3</v>
          </cell>
          <cell r="D1853">
            <v>2975</v>
          </cell>
          <cell r="E1853">
            <v>8925</v>
          </cell>
          <cell r="F1853">
            <v>3.4000000000000002E-2</v>
          </cell>
        </row>
        <row r="1854">
          <cell r="A1854" t="str">
            <v>51939-451LF</v>
          </cell>
          <cell r="B1854" t="str">
            <v>51939-451LF Connector,PBRAH</v>
          </cell>
          <cell r="C1854">
            <v>2E-3</v>
          </cell>
          <cell r="D1854">
            <v>2975</v>
          </cell>
          <cell r="E1854">
            <v>8925</v>
          </cell>
          <cell r="F1854">
            <v>2.9000000000000001E-2</v>
          </cell>
        </row>
        <row r="1855">
          <cell r="A1855" t="str">
            <v>51939-453LF</v>
          </cell>
          <cell r="B1855" t="str">
            <v>51939-453LF Connector,PBRAH</v>
          </cell>
          <cell r="C1855">
            <v>2E-3</v>
          </cell>
          <cell r="D1855">
            <v>2975</v>
          </cell>
          <cell r="E1855">
            <v>8925</v>
          </cell>
          <cell r="F1855">
            <v>2.87E-2</v>
          </cell>
        </row>
        <row r="1856">
          <cell r="A1856" t="str">
            <v>51939-455LF</v>
          </cell>
          <cell r="B1856" t="str">
            <v>51939-455LF Connector,PBRAH</v>
          </cell>
          <cell r="C1856">
            <v>2E-3</v>
          </cell>
          <cell r="D1856">
            <v>2975</v>
          </cell>
          <cell r="E1856">
            <v>8925</v>
          </cell>
          <cell r="F1856">
            <v>4.1300000000000003E-2</v>
          </cell>
        </row>
        <row r="1857">
          <cell r="A1857" t="str">
            <v>51939-456LF</v>
          </cell>
          <cell r="B1857" t="str">
            <v>51939-456LF PwrBlade RAH</v>
          </cell>
          <cell r="C1857">
            <v>2E-3</v>
          </cell>
          <cell r="D1857">
            <v>2975</v>
          </cell>
          <cell r="E1857">
            <v>8925</v>
          </cell>
          <cell r="F1857">
            <v>2.7199999999999998E-2</v>
          </cell>
        </row>
        <row r="1858">
          <cell r="A1858" t="str">
            <v>51939-458LF</v>
          </cell>
          <cell r="B1858" t="str">
            <v>51939-458LF Connector,PBRAH</v>
          </cell>
          <cell r="C1858">
            <v>2E-3</v>
          </cell>
          <cell r="D1858">
            <v>2975</v>
          </cell>
          <cell r="E1858">
            <v>8925</v>
          </cell>
          <cell r="F1858">
            <v>3.6999999999999998E-2</v>
          </cell>
        </row>
        <row r="1859">
          <cell r="A1859" t="str">
            <v>51939-459LF</v>
          </cell>
          <cell r="B1859" t="str">
            <v>51939-459LF Connector,PBRAH</v>
          </cell>
          <cell r="C1859">
            <v>6.1000000000000004E-3</v>
          </cell>
          <cell r="D1859">
            <v>975.4098360655737</v>
          </cell>
          <cell r="E1859">
            <v>2926.2295081967213</v>
          </cell>
          <cell r="F1859">
            <v>1.7999999999999999E-2</v>
          </cell>
        </row>
        <row r="1860">
          <cell r="A1860" t="str">
            <v>51939-460LF</v>
          </cell>
          <cell r="B1860" t="str">
            <v>51939-460LF Connector,PBRAH</v>
          </cell>
          <cell r="C1860">
            <v>2E-3</v>
          </cell>
          <cell r="D1860">
            <v>2975</v>
          </cell>
          <cell r="E1860">
            <v>8925</v>
          </cell>
          <cell r="F1860">
            <v>2.1000000000000001E-2</v>
          </cell>
        </row>
        <row r="1861">
          <cell r="A1861" t="str">
            <v>51939-461LF</v>
          </cell>
          <cell r="B1861" t="str">
            <v>51939-461LF Connector,PBRAH</v>
          </cell>
          <cell r="C1861">
            <v>2E-3</v>
          </cell>
          <cell r="D1861">
            <v>2975</v>
          </cell>
          <cell r="E1861">
            <v>8925</v>
          </cell>
          <cell r="F1861">
            <v>3.6999999999999998E-2</v>
          </cell>
        </row>
        <row r="1862">
          <cell r="A1862" t="str">
            <v>51939-465LF</v>
          </cell>
          <cell r="B1862" t="str">
            <v>51939-465LF Connector,PBRAH</v>
          </cell>
          <cell r="C1862">
            <v>2E-3</v>
          </cell>
          <cell r="D1862">
            <v>2975</v>
          </cell>
          <cell r="E1862">
            <v>8925</v>
          </cell>
          <cell r="F1862">
            <v>3.9E-2</v>
          </cell>
        </row>
        <row r="1863">
          <cell r="A1863" t="str">
            <v>51939-467LF</v>
          </cell>
          <cell r="B1863" t="str">
            <v>51939-467LF Connector,PBRAH</v>
          </cell>
          <cell r="C1863">
            <v>2E-3</v>
          </cell>
          <cell r="D1863">
            <v>2975</v>
          </cell>
          <cell r="E1863">
            <v>8925</v>
          </cell>
          <cell r="F1863">
            <v>3.2000000000000001E-2</v>
          </cell>
        </row>
        <row r="1864">
          <cell r="A1864" t="str">
            <v>51939-468LF</v>
          </cell>
          <cell r="B1864" t="str">
            <v>51939-468LF Connector,PBRAH</v>
          </cell>
          <cell r="C1864">
            <v>2E-3</v>
          </cell>
          <cell r="D1864">
            <v>2975</v>
          </cell>
          <cell r="E1864">
            <v>8925</v>
          </cell>
          <cell r="F1864">
            <v>3.4000000000000002E-2</v>
          </cell>
        </row>
        <row r="1865">
          <cell r="A1865" t="str">
            <v>51939-469LF</v>
          </cell>
          <cell r="B1865" t="str">
            <v>51939-469LF Connector,PBRAH</v>
          </cell>
          <cell r="C1865">
            <v>2E-3</v>
          </cell>
          <cell r="D1865">
            <v>2975</v>
          </cell>
          <cell r="E1865">
            <v>8925</v>
          </cell>
          <cell r="F1865">
            <v>1.84E-2</v>
          </cell>
        </row>
        <row r="1866">
          <cell r="A1866" t="str">
            <v>51939-470LF</v>
          </cell>
          <cell r="B1866" t="str">
            <v>51939-470LF Connector,PBRAH</v>
          </cell>
          <cell r="C1866">
            <v>2E-3</v>
          </cell>
          <cell r="D1866">
            <v>2975</v>
          </cell>
          <cell r="E1866">
            <v>8925</v>
          </cell>
          <cell r="F1866">
            <v>2.1000000000000001E-2</v>
          </cell>
        </row>
        <row r="1867">
          <cell r="A1867" t="str">
            <v>51939-473LF</v>
          </cell>
          <cell r="B1867" t="str">
            <v>51939-473LF Connector,PBRAH</v>
          </cell>
          <cell r="C1867">
            <v>2E-3</v>
          </cell>
          <cell r="D1867">
            <v>2975</v>
          </cell>
          <cell r="E1867">
            <v>8925</v>
          </cell>
          <cell r="F1867">
            <v>3.9E-2</v>
          </cell>
        </row>
        <row r="1868">
          <cell r="A1868" t="str">
            <v>51939-474LF</v>
          </cell>
          <cell r="B1868" t="str">
            <v>51939-474LF Connector,PBRAH</v>
          </cell>
          <cell r="C1868">
            <v>2E-3</v>
          </cell>
          <cell r="D1868">
            <v>2975</v>
          </cell>
          <cell r="E1868">
            <v>8925</v>
          </cell>
          <cell r="F1868">
            <v>3.4000000000000002E-2</v>
          </cell>
        </row>
        <row r="1869">
          <cell r="A1869" t="str">
            <v>51939-475LF</v>
          </cell>
          <cell r="B1869" t="str">
            <v>51939-475LF Connector,PBRAH</v>
          </cell>
          <cell r="C1869">
            <v>6.1000000000000004E-3</v>
          </cell>
          <cell r="D1869">
            <v>975.4098360655737</v>
          </cell>
          <cell r="E1869">
            <v>2926.2295081967213</v>
          </cell>
          <cell r="F1869">
            <v>1.7000000000000001E-2</v>
          </cell>
        </row>
        <row r="1870">
          <cell r="A1870" t="str">
            <v>51939-476LF</v>
          </cell>
          <cell r="B1870" t="str">
            <v>51939-476LF PwrBlade RAH</v>
          </cell>
          <cell r="C1870">
            <v>2E-3</v>
          </cell>
          <cell r="D1870">
            <v>2975</v>
          </cell>
          <cell r="E1870">
            <v>8925</v>
          </cell>
          <cell r="F1870">
            <v>1.375E-2</v>
          </cell>
        </row>
        <row r="1871">
          <cell r="A1871" t="str">
            <v>51939-481LF</v>
          </cell>
          <cell r="B1871" t="str">
            <v>51939-481LF Connector,PBRAH</v>
          </cell>
          <cell r="C1871">
            <v>2E-3</v>
          </cell>
          <cell r="D1871">
            <v>2975</v>
          </cell>
          <cell r="E1871">
            <v>8925</v>
          </cell>
          <cell r="F1871">
            <v>2.9000000000000001E-2</v>
          </cell>
        </row>
        <row r="1872">
          <cell r="A1872" t="str">
            <v>51939-482LF</v>
          </cell>
          <cell r="B1872" t="str">
            <v>51939-482LF PwrBlade RAH</v>
          </cell>
          <cell r="C1872">
            <v>2E-3</v>
          </cell>
          <cell r="D1872">
            <v>2975</v>
          </cell>
          <cell r="E1872">
            <v>8925</v>
          </cell>
          <cell r="F1872">
            <v>1.9157561E-2</v>
          </cell>
        </row>
        <row r="1873">
          <cell r="A1873" t="str">
            <v>51939-483LF</v>
          </cell>
          <cell r="B1873" t="str">
            <v>51939-483LF PwrBlade RAH</v>
          </cell>
          <cell r="C1873">
            <v>2E-3</v>
          </cell>
          <cell r="D1873">
            <v>2975</v>
          </cell>
          <cell r="E1873">
            <v>8925</v>
          </cell>
          <cell r="F1873">
            <v>2.2280688E-2</v>
          </cell>
        </row>
        <row r="1874">
          <cell r="A1874" t="str">
            <v>51939-486LF</v>
          </cell>
          <cell r="B1874" t="str">
            <v>51939-486LF PwrBlade RAH</v>
          </cell>
          <cell r="C1874">
            <v>2E-3</v>
          </cell>
          <cell r="D1874">
            <v>2975</v>
          </cell>
          <cell r="E1874">
            <v>8925</v>
          </cell>
          <cell r="F1874">
            <v>4.1940502999999997E-2</v>
          </cell>
        </row>
        <row r="1875">
          <cell r="A1875" t="str">
            <v>51939-490LF</v>
          </cell>
          <cell r="B1875" t="str">
            <v>51939-490LF Connector,PBRAH</v>
          </cell>
          <cell r="C1875">
            <v>4.0000000000000001E-3</v>
          </cell>
          <cell r="D1875">
            <v>1487.5</v>
          </cell>
          <cell r="E1875">
            <v>4462.5</v>
          </cell>
          <cell r="F1875">
            <v>6.5000000000000002E-2</v>
          </cell>
        </row>
        <row r="1876">
          <cell r="A1876" t="str">
            <v>51939-491LF</v>
          </cell>
          <cell r="B1876" t="str">
            <v>51939-491LF PwrBlade RAH</v>
          </cell>
          <cell r="C1876">
            <v>2E-3</v>
          </cell>
          <cell r="D1876">
            <v>2975</v>
          </cell>
          <cell r="E1876">
            <v>8925</v>
          </cell>
          <cell r="F1876">
            <v>2.5556311000000002E-2</v>
          </cell>
        </row>
        <row r="1877">
          <cell r="A1877" t="str">
            <v>51939-493LF</v>
          </cell>
          <cell r="B1877" t="str">
            <v>51939-493LF Connector,PBRAH</v>
          </cell>
          <cell r="C1877">
            <v>6.1000000000000004E-3</v>
          </cell>
          <cell r="D1877">
            <v>975.4098360655737</v>
          </cell>
          <cell r="E1877">
            <v>2926.2295081967213</v>
          </cell>
          <cell r="F1877">
            <v>2.3E-2</v>
          </cell>
        </row>
        <row r="1878">
          <cell r="A1878" t="str">
            <v>51939-495LF</v>
          </cell>
          <cell r="B1878" t="str">
            <v>51939-495LF Connector,PBRAH</v>
          </cell>
          <cell r="C1878">
            <v>2E-3</v>
          </cell>
          <cell r="D1878">
            <v>2975</v>
          </cell>
          <cell r="E1878">
            <v>8925</v>
          </cell>
          <cell r="F1878">
            <v>3.5999999999999997E-2</v>
          </cell>
        </row>
        <row r="1879">
          <cell r="A1879" t="str">
            <v>51939-496LF</v>
          </cell>
          <cell r="B1879" t="str">
            <v>51939-496LF Connector,PBRAH</v>
          </cell>
          <cell r="C1879">
            <v>2E-3</v>
          </cell>
          <cell r="D1879">
            <v>2975</v>
          </cell>
          <cell r="E1879">
            <v>8925</v>
          </cell>
          <cell r="F1879">
            <v>3.1E-2</v>
          </cell>
        </row>
        <row r="1880">
          <cell r="A1880" t="str">
            <v>51939-500LF</v>
          </cell>
          <cell r="B1880" t="str">
            <v>51939-500LF Connector,PBRAH</v>
          </cell>
          <cell r="C1880">
            <v>2E-3</v>
          </cell>
          <cell r="D1880">
            <v>2975</v>
          </cell>
          <cell r="E1880">
            <v>8925</v>
          </cell>
          <cell r="F1880">
            <v>3.9699999999999999E-2</v>
          </cell>
        </row>
        <row r="1881">
          <cell r="A1881" t="str">
            <v>51939-501LF</v>
          </cell>
          <cell r="B1881" t="str">
            <v>51939-501LF Connector,PBRAH</v>
          </cell>
          <cell r="C1881">
            <v>2E-3</v>
          </cell>
          <cell r="D1881">
            <v>2975</v>
          </cell>
          <cell r="E1881">
            <v>8925</v>
          </cell>
          <cell r="F1881">
            <v>3.5000000000000003E-2</v>
          </cell>
        </row>
        <row r="1882">
          <cell r="A1882" t="str">
            <v>51939-502LF</v>
          </cell>
          <cell r="B1882" t="str">
            <v>51939-502LF Connector,PBRAH</v>
          </cell>
          <cell r="C1882">
            <v>2E-3</v>
          </cell>
          <cell r="D1882">
            <v>2975</v>
          </cell>
          <cell r="E1882">
            <v>8925</v>
          </cell>
          <cell r="F1882">
            <v>3.2000000000000001E-2</v>
          </cell>
        </row>
        <row r="1883">
          <cell r="A1883" t="str">
            <v>51939-504LF</v>
          </cell>
          <cell r="B1883" t="str">
            <v>51939-504LF Connector,PBRAH</v>
          </cell>
          <cell r="C1883">
            <v>2E-3</v>
          </cell>
          <cell r="D1883">
            <v>2975</v>
          </cell>
          <cell r="E1883">
            <v>8925</v>
          </cell>
          <cell r="F1883">
            <v>3.6999999999999998E-2</v>
          </cell>
        </row>
        <row r="1884">
          <cell r="A1884" t="str">
            <v>51939-505LF</v>
          </cell>
          <cell r="B1884" t="str">
            <v>51939-505LF Connector,PBRAH</v>
          </cell>
          <cell r="C1884">
            <v>2E-3</v>
          </cell>
          <cell r="D1884">
            <v>2975</v>
          </cell>
          <cell r="E1884">
            <v>8925</v>
          </cell>
          <cell r="F1884">
            <v>3.9E-2</v>
          </cell>
        </row>
        <row r="1885">
          <cell r="A1885" t="str">
            <v>51939-506LF</v>
          </cell>
          <cell r="B1885" t="str">
            <v>51939-506LF Connector,PBRAH</v>
          </cell>
          <cell r="C1885">
            <v>2E-3</v>
          </cell>
          <cell r="D1885">
            <v>2975</v>
          </cell>
          <cell r="E1885">
            <v>8925</v>
          </cell>
          <cell r="F1885">
            <v>2.1000000000000001E-2</v>
          </cell>
        </row>
        <row r="1886">
          <cell r="A1886" t="str">
            <v>51939-507LF</v>
          </cell>
          <cell r="B1886" t="str">
            <v>51939-507LF Connector,PBRAH</v>
          </cell>
          <cell r="C1886">
            <v>2E-3</v>
          </cell>
          <cell r="D1886">
            <v>2975</v>
          </cell>
          <cell r="E1886">
            <v>8925</v>
          </cell>
          <cell r="F1886">
            <v>2.9000000000000001E-2</v>
          </cell>
        </row>
        <row r="1887">
          <cell r="A1887" t="str">
            <v>51939-508LF</v>
          </cell>
          <cell r="B1887" t="str">
            <v>51939-508LF Connector,PBRAH</v>
          </cell>
          <cell r="C1887">
            <v>2E-3</v>
          </cell>
          <cell r="D1887">
            <v>2975</v>
          </cell>
          <cell r="E1887">
            <v>8925</v>
          </cell>
          <cell r="F1887">
            <v>2.9000000000000001E-2</v>
          </cell>
        </row>
        <row r="1888">
          <cell r="A1888" t="str">
            <v>51939-511LF</v>
          </cell>
          <cell r="B1888" t="str">
            <v>51939-511LF Connector,PBRAH</v>
          </cell>
          <cell r="C1888">
            <v>2E-3</v>
          </cell>
          <cell r="D1888">
            <v>2975</v>
          </cell>
          <cell r="E1888">
            <v>8925</v>
          </cell>
          <cell r="F1888">
            <v>3.2000000000000001E-2</v>
          </cell>
        </row>
        <row r="1889">
          <cell r="A1889" t="str">
            <v>51939-512LF</v>
          </cell>
          <cell r="B1889" t="str">
            <v>51939-512LF PwrBlade RAH STB</v>
          </cell>
          <cell r="C1889">
            <v>2E-3</v>
          </cell>
          <cell r="D1889">
            <v>2975</v>
          </cell>
          <cell r="E1889">
            <v>8925</v>
          </cell>
          <cell r="F1889">
            <v>3.6999999999999998E-2</v>
          </cell>
        </row>
        <row r="1890">
          <cell r="A1890" t="str">
            <v>51939-513LF</v>
          </cell>
          <cell r="B1890" t="str">
            <v>51939-513LF Connector,PBRAH</v>
          </cell>
          <cell r="C1890">
            <v>4.0000000000000001E-3</v>
          </cell>
          <cell r="D1890">
            <v>1487.5</v>
          </cell>
          <cell r="E1890">
            <v>4462.5</v>
          </cell>
          <cell r="F1890">
            <v>6.8000000000000005E-2</v>
          </cell>
        </row>
        <row r="1891">
          <cell r="A1891" t="str">
            <v>51939-515LF</v>
          </cell>
          <cell r="B1891" t="str">
            <v>51939-515LF Connector,PBRAH</v>
          </cell>
          <cell r="C1891">
            <v>2E-3</v>
          </cell>
          <cell r="D1891">
            <v>2975</v>
          </cell>
          <cell r="E1891">
            <v>8925</v>
          </cell>
          <cell r="F1891">
            <v>3.6999999999999998E-2</v>
          </cell>
        </row>
        <row r="1892">
          <cell r="A1892" t="str">
            <v>51939-516LF</v>
          </cell>
          <cell r="B1892" t="str">
            <v>51939-516LF Connector,PBRAH</v>
          </cell>
          <cell r="C1892">
            <v>2E-3</v>
          </cell>
          <cell r="D1892">
            <v>2975</v>
          </cell>
          <cell r="E1892">
            <v>8925</v>
          </cell>
          <cell r="F1892">
            <v>3.2000000000000001E-2</v>
          </cell>
        </row>
        <row r="1893">
          <cell r="A1893" t="str">
            <v>51939-517LF</v>
          </cell>
          <cell r="B1893" t="str">
            <v>51939-517LF Connector,PBRAH</v>
          </cell>
          <cell r="C1893">
            <v>2E-3</v>
          </cell>
          <cell r="D1893">
            <v>2975</v>
          </cell>
          <cell r="E1893">
            <v>8925</v>
          </cell>
          <cell r="F1893">
            <v>3.7999999999999999E-2</v>
          </cell>
        </row>
        <row r="1894">
          <cell r="A1894" t="str">
            <v>51939-521LF</v>
          </cell>
          <cell r="B1894" t="str">
            <v>51939-521LF Connector,PBRAH</v>
          </cell>
          <cell r="C1894">
            <v>6.1000000000000004E-3</v>
          </cell>
          <cell r="D1894">
            <v>975.4098360655737</v>
          </cell>
          <cell r="E1894">
            <v>2926.2295081967213</v>
          </cell>
          <cell r="F1894">
            <v>1.7000000000000001E-2</v>
          </cell>
        </row>
        <row r="1895">
          <cell r="A1895" t="str">
            <v>51939-522LF</v>
          </cell>
          <cell r="B1895" t="str">
            <v>51939-522LF Connector,PBRAH</v>
          </cell>
          <cell r="C1895">
            <v>2E-3</v>
          </cell>
          <cell r="D1895">
            <v>2975</v>
          </cell>
          <cell r="E1895">
            <v>8925</v>
          </cell>
          <cell r="F1895">
            <v>0.104</v>
          </cell>
        </row>
        <row r="1896">
          <cell r="A1896" t="str">
            <v>51939-523LF</v>
          </cell>
          <cell r="B1896" t="str">
            <v>51939-523LF Connector,PBRAH</v>
          </cell>
          <cell r="C1896">
            <v>6.1000000000000004E-3</v>
          </cell>
          <cell r="D1896">
            <v>975.4098360655737</v>
          </cell>
          <cell r="E1896">
            <v>2926.2295081967213</v>
          </cell>
          <cell r="F1896">
            <v>2.6499999999999999E-2</v>
          </cell>
        </row>
        <row r="1897">
          <cell r="A1897" t="str">
            <v>51939-524LF</v>
          </cell>
          <cell r="B1897" t="str">
            <v>51939-524LF Connector,PBRAH</v>
          </cell>
          <cell r="C1897">
            <v>2E-3</v>
          </cell>
          <cell r="D1897">
            <v>2975</v>
          </cell>
          <cell r="E1897">
            <v>8925</v>
          </cell>
          <cell r="F1897">
            <v>4.2200000000000001E-2</v>
          </cell>
        </row>
        <row r="1898">
          <cell r="A1898" t="str">
            <v>51939-525LF</v>
          </cell>
          <cell r="B1898" t="str">
            <v>51939-525LF Connector,PBRAH</v>
          </cell>
          <cell r="C1898">
            <v>2E-3</v>
          </cell>
          <cell r="D1898">
            <v>2975</v>
          </cell>
          <cell r="E1898">
            <v>8925</v>
          </cell>
          <cell r="F1898">
            <v>4.3999999999999997E-2</v>
          </cell>
        </row>
        <row r="1899">
          <cell r="A1899" t="str">
            <v>51939-531LF</v>
          </cell>
          <cell r="B1899" t="str">
            <v>51939-531LF Connector,PBRAH</v>
          </cell>
          <cell r="C1899">
            <v>2E-3</v>
          </cell>
          <cell r="D1899">
            <v>2975</v>
          </cell>
          <cell r="E1899">
            <v>8925</v>
          </cell>
          <cell r="F1899">
            <v>3.5000000000000003E-2</v>
          </cell>
        </row>
        <row r="1900">
          <cell r="A1900" t="str">
            <v>51939-533LF</v>
          </cell>
          <cell r="B1900" t="str">
            <v>51939-533LF PwrBlade RAH</v>
          </cell>
          <cell r="C1900">
            <v>2E-3</v>
          </cell>
          <cell r="D1900">
            <v>2975</v>
          </cell>
          <cell r="E1900">
            <v>8925</v>
          </cell>
          <cell r="F1900">
            <v>2.4814950999999998E-2</v>
          </cell>
        </row>
        <row r="1901">
          <cell r="A1901" t="str">
            <v>51939-535LF</v>
          </cell>
          <cell r="B1901" t="str">
            <v>51939-535LF Connector,PBRAH</v>
          </cell>
          <cell r="C1901">
            <v>2E-3</v>
          </cell>
          <cell r="D1901">
            <v>2975</v>
          </cell>
          <cell r="E1901">
            <v>8925</v>
          </cell>
          <cell r="F1901">
            <v>3.9E-2</v>
          </cell>
        </row>
        <row r="1902">
          <cell r="A1902" t="str">
            <v>51939-536LF</v>
          </cell>
          <cell r="B1902" t="str">
            <v>51939-536LF Connector,PBRAH</v>
          </cell>
          <cell r="C1902">
            <v>2E-3</v>
          </cell>
          <cell r="D1902">
            <v>2975</v>
          </cell>
          <cell r="E1902">
            <v>8925</v>
          </cell>
          <cell r="F1902">
            <v>2.7E-2</v>
          </cell>
        </row>
        <row r="1903">
          <cell r="A1903" t="str">
            <v>51939-538LF</v>
          </cell>
          <cell r="B1903" t="str">
            <v>51939-538LF Connector,PBRAH</v>
          </cell>
          <cell r="C1903">
            <v>6.1000000000000004E-3</v>
          </cell>
          <cell r="D1903">
            <v>975.4098360655737</v>
          </cell>
          <cell r="E1903">
            <v>2926.2295081967213</v>
          </cell>
          <cell r="F1903">
            <v>1.4999999999999999E-2</v>
          </cell>
        </row>
        <row r="1904">
          <cell r="A1904" t="str">
            <v>51939-540LF</v>
          </cell>
          <cell r="B1904" t="str">
            <v>51939-540LF PwrBlade RAH</v>
          </cell>
          <cell r="C1904">
            <v>6.1000000000000004E-3</v>
          </cell>
          <cell r="D1904">
            <v>975.4098360655737</v>
          </cell>
          <cell r="E1904">
            <v>2926.2295081967213</v>
          </cell>
          <cell r="F1904">
            <v>8.5064939999999999E-3</v>
          </cell>
        </row>
        <row r="1905">
          <cell r="A1905" t="str">
            <v>51939-541LF</v>
          </cell>
          <cell r="B1905" t="str">
            <v>51939-541LF Connector,PBRAH</v>
          </cell>
          <cell r="C1905">
            <v>2E-3</v>
          </cell>
          <cell r="D1905">
            <v>2975</v>
          </cell>
          <cell r="E1905">
            <v>8925</v>
          </cell>
          <cell r="F1905">
            <v>2.9000000000000001E-2</v>
          </cell>
        </row>
        <row r="1906">
          <cell r="A1906" t="str">
            <v>51939-542LF</v>
          </cell>
          <cell r="B1906" t="str">
            <v>51939-542LF Connector,PBRAH</v>
          </cell>
          <cell r="C1906">
            <v>6.1000000000000004E-3</v>
          </cell>
          <cell r="D1906">
            <v>975.4098360655737</v>
          </cell>
          <cell r="E1906">
            <v>2926.2295081967213</v>
          </cell>
          <cell r="F1906">
            <v>1.7999999999999999E-2</v>
          </cell>
        </row>
        <row r="1907">
          <cell r="A1907" t="str">
            <v>51939-543LF</v>
          </cell>
          <cell r="B1907" t="str">
            <v>51939-543LF Connector,PBRAH</v>
          </cell>
          <cell r="C1907">
            <v>2E-3</v>
          </cell>
          <cell r="D1907">
            <v>2975</v>
          </cell>
          <cell r="E1907">
            <v>8925</v>
          </cell>
          <cell r="F1907">
            <v>3.4000000000000002E-2</v>
          </cell>
        </row>
        <row r="1908">
          <cell r="A1908" t="str">
            <v>51939-544LF</v>
          </cell>
          <cell r="B1908" t="str">
            <v>51939-544LF Connector,PBRAH</v>
          </cell>
          <cell r="C1908">
            <v>2E-3</v>
          </cell>
          <cell r="D1908">
            <v>2975</v>
          </cell>
          <cell r="E1908">
            <v>8925</v>
          </cell>
          <cell r="F1908">
            <v>3.4000000000000002E-2</v>
          </cell>
        </row>
        <row r="1909">
          <cell r="A1909" t="str">
            <v>51939-545LF</v>
          </cell>
          <cell r="B1909" t="str">
            <v>51939-545LF Connector,PBRAH</v>
          </cell>
          <cell r="C1909">
            <v>6.1000000000000004E-3</v>
          </cell>
          <cell r="D1909">
            <v>975.4098360655737</v>
          </cell>
          <cell r="E1909">
            <v>2926.2295081967213</v>
          </cell>
          <cell r="F1909">
            <v>4.2000000000000003E-2</v>
          </cell>
        </row>
        <row r="1910">
          <cell r="A1910" t="str">
            <v>51939-546LF</v>
          </cell>
          <cell r="B1910" t="str">
            <v>51939-546LF Connector,PBRAH</v>
          </cell>
          <cell r="C1910">
            <v>2E-3</v>
          </cell>
          <cell r="D1910">
            <v>2975</v>
          </cell>
          <cell r="E1910">
            <v>8925</v>
          </cell>
          <cell r="F1910">
            <v>4.1399999999999999E-2</v>
          </cell>
        </row>
        <row r="1911">
          <cell r="A1911" t="str">
            <v>51939-547LF</v>
          </cell>
          <cell r="B1911" t="str">
            <v>51939-547LF Connector,PBRAH</v>
          </cell>
          <cell r="C1911">
            <v>6.1000000000000004E-3</v>
          </cell>
          <cell r="D1911">
            <v>975.4098360655737</v>
          </cell>
          <cell r="E1911">
            <v>2926.2295081967213</v>
          </cell>
          <cell r="F1911">
            <v>1.7000000000000001E-2</v>
          </cell>
        </row>
        <row r="1912">
          <cell r="A1912" t="str">
            <v>51939-548LF</v>
          </cell>
          <cell r="B1912" t="str">
            <v>51939-548LF Connector,PBRAH</v>
          </cell>
          <cell r="C1912">
            <v>2E-3</v>
          </cell>
          <cell r="D1912">
            <v>2975</v>
          </cell>
          <cell r="E1912">
            <v>8925</v>
          </cell>
          <cell r="F1912">
            <v>3.3000000000000002E-2</v>
          </cell>
        </row>
        <row r="1913">
          <cell r="A1913" t="str">
            <v>51939-552LF</v>
          </cell>
          <cell r="B1913" t="str">
            <v>51939-552LF Connector,PBRAH</v>
          </cell>
          <cell r="C1913">
            <v>2E-3</v>
          </cell>
          <cell r="D1913">
            <v>2975</v>
          </cell>
          <cell r="E1913">
            <v>8925</v>
          </cell>
          <cell r="F1913">
            <v>2.9000000000000001E-2</v>
          </cell>
        </row>
        <row r="1914">
          <cell r="A1914" t="str">
            <v>51939-553LF</v>
          </cell>
          <cell r="B1914" t="str">
            <v>51939-553LF Connector,PBRAH</v>
          </cell>
          <cell r="C1914">
            <v>2E-3</v>
          </cell>
          <cell r="D1914">
            <v>2975</v>
          </cell>
          <cell r="E1914">
            <v>8925</v>
          </cell>
          <cell r="F1914">
            <v>2.1999999999999999E-2</v>
          </cell>
        </row>
        <row r="1915">
          <cell r="A1915" t="str">
            <v>51939-557LF</v>
          </cell>
          <cell r="B1915" t="str">
            <v>51939-557LF Connector,PBRAH</v>
          </cell>
          <cell r="C1915">
            <v>2E-3</v>
          </cell>
          <cell r="D1915">
            <v>2975</v>
          </cell>
          <cell r="E1915">
            <v>8925</v>
          </cell>
          <cell r="F1915">
            <v>4.7E-2</v>
          </cell>
        </row>
        <row r="1916">
          <cell r="A1916" t="str">
            <v>51939-558LF</v>
          </cell>
          <cell r="B1916" t="str">
            <v>51939-558LF Connector,PBRAH</v>
          </cell>
          <cell r="C1916">
            <v>2E-3</v>
          </cell>
          <cell r="D1916">
            <v>2975</v>
          </cell>
          <cell r="E1916">
            <v>8925</v>
          </cell>
          <cell r="F1916">
            <v>2.8000000000000001E-2</v>
          </cell>
        </row>
        <row r="1917">
          <cell r="A1917" t="str">
            <v>51939-561LF</v>
          </cell>
          <cell r="B1917" t="str">
            <v>51939-561LF Connector,PBRAH</v>
          </cell>
          <cell r="C1917">
            <v>2E-3</v>
          </cell>
          <cell r="D1917">
            <v>2975</v>
          </cell>
          <cell r="E1917">
            <v>8925</v>
          </cell>
          <cell r="F1917">
            <v>3.9E-2</v>
          </cell>
        </row>
        <row r="1918">
          <cell r="A1918" t="str">
            <v>51939-563LF</v>
          </cell>
          <cell r="B1918" t="str">
            <v>51939-563LF Connector,PBRAH</v>
          </cell>
          <cell r="C1918">
            <v>2E-3</v>
          </cell>
          <cell r="D1918">
            <v>2975</v>
          </cell>
          <cell r="E1918">
            <v>8925</v>
          </cell>
          <cell r="F1918">
            <v>2.9000000000000001E-2</v>
          </cell>
        </row>
        <row r="1919">
          <cell r="A1919" t="str">
            <v>51939-564LF</v>
          </cell>
          <cell r="B1919" t="str">
            <v>51939-564LF PwrBlade RAH STB</v>
          </cell>
          <cell r="C1919">
            <v>2E-3</v>
          </cell>
          <cell r="D1919">
            <v>2975</v>
          </cell>
          <cell r="E1919">
            <v>8925</v>
          </cell>
          <cell r="F1919">
            <v>3.5999999999999997E-2</v>
          </cell>
        </row>
        <row r="1920">
          <cell r="A1920" t="str">
            <v>51939-565LF</v>
          </cell>
          <cell r="B1920" t="str">
            <v>51939-565LF Connector,PBRAH</v>
          </cell>
          <cell r="C1920">
            <v>2E-3</v>
          </cell>
          <cell r="D1920">
            <v>2975</v>
          </cell>
          <cell r="E1920">
            <v>8925</v>
          </cell>
          <cell r="F1920">
            <v>2.8000000000000001E-2</v>
          </cell>
        </row>
        <row r="1921">
          <cell r="A1921" t="str">
            <v>51939-566LF</v>
          </cell>
          <cell r="B1921" t="str">
            <v>51939-566LF Connector,PBRAH</v>
          </cell>
          <cell r="C1921">
            <v>2E-3</v>
          </cell>
          <cell r="D1921">
            <v>2975</v>
          </cell>
          <cell r="E1921">
            <v>8925</v>
          </cell>
          <cell r="F1921">
            <v>2.1999999999999999E-2</v>
          </cell>
        </row>
        <row r="1922">
          <cell r="A1922" t="str">
            <v>51939-568LF</v>
          </cell>
          <cell r="B1922" t="str">
            <v>51939-568LF PwrBlade RAH STB</v>
          </cell>
          <cell r="C1922">
            <v>2E-3</v>
          </cell>
          <cell r="D1922">
            <v>2975</v>
          </cell>
          <cell r="E1922">
            <v>8925</v>
          </cell>
          <cell r="F1922">
            <v>1.7745455E-2</v>
          </cell>
        </row>
        <row r="1923">
          <cell r="A1923" t="str">
            <v>51939-569LF</v>
          </cell>
          <cell r="B1923" t="str">
            <v>51939-569LF Connector,PBRAH</v>
          </cell>
          <cell r="C1923">
            <v>2E-3</v>
          </cell>
          <cell r="D1923">
            <v>2975</v>
          </cell>
          <cell r="E1923">
            <v>8925</v>
          </cell>
          <cell r="F1923">
            <v>2.9000000000000001E-2</v>
          </cell>
        </row>
        <row r="1924">
          <cell r="A1924" t="str">
            <v>51939-571LF</v>
          </cell>
          <cell r="B1924" t="str">
            <v>51939-571LF Connector,PBRAH</v>
          </cell>
          <cell r="C1924">
            <v>2E-3</v>
          </cell>
          <cell r="D1924">
            <v>2975</v>
          </cell>
          <cell r="E1924">
            <v>8925</v>
          </cell>
          <cell r="F1924">
            <v>3.1E-2</v>
          </cell>
        </row>
        <row r="1925">
          <cell r="A1925" t="str">
            <v>51939-573LF</v>
          </cell>
          <cell r="B1925" t="str">
            <v>51939-573LF Connector,PBRAH</v>
          </cell>
          <cell r="C1925">
            <v>2E-3</v>
          </cell>
          <cell r="D1925">
            <v>2975</v>
          </cell>
          <cell r="E1925">
            <v>8925</v>
          </cell>
          <cell r="F1925">
            <v>2.46E-2</v>
          </cell>
        </row>
        <row r="1926">
          <cell r="A1926" t="str">
            <v>51939-576LF</v>
          </cell>
          <cell r="B1926" t="str">
            <v>51939-576LF PwrBlade RAH STB</v>
          </cell>
          <cell r="C1926">
            <v>2E-3</v>
          </cell>
          <cell r="D1926">
            <v>2975</v>
          </cell>
          <cell r="E1926">
            <v>8925</v>
          </cell>
          <cell r="F1926">
            <v>2.1505E-2</v>
          </cell>
        </row>
        <row r="1927">
          <cell r="A1927" t="str">
            <v>51939-577LF</v>
          </cell>
          <cell r="B1927" t="str">
            <v>51939-577LF Connector,PBRAH</v>
          </cell>
          <cell r="C1927">
            <v>2E-3</v>
          </cell>
          <cell r="D1927">
            <v>2975</v>
          </cell>
          <cell r="E1927">
            <v>8925</v>
          </cell>
          <cell r="F1927">
            <v>2.7E-2</v>
          </cell>
        </row>
        <row r="1928">
          <cell r="A1928" t="str">
            <v>51939-578LF</v>
          </cell>
          <cell r="B1928" t="str">
            <v>51939-578LF Connector,PBRAH</v>
          </cell>
          <cell r="C1928">
            <v>2E-3</v>
          </cell>
          <cell r="D1928">
            <v>2975</v>
          </cell>
          <cell r="E1928">
            <v>8925</v>
          </cell>
          <cell r="F1928">
            <v>5.1999999999999998E-2</v>
          </cell>
        </row>
        <row r="1929">
          <cell r="A1929" t="str">
            <v>51939-579LF</v>
          </cell>
          <cell r="B1929" t="str">
            <v>51939-579LF Connector,PBRAH</v>
          </cell>
          <cell r="C1929">
            <v>2E-3</v>
          </cell>
          <cell r="D1929">
            <v>2975</v>
          </cell>
          <cell r="E1929">
            <v>8925</v>
          </cell>
          <cell r="F1929">
            <v>2.9000000000000001E-2</v>
          </cell>
        </row>
        <row r="1930">
          <cell r="A1930" t="str">
            <v>51939-580LF</v>
          </cell>
          <cell r="B1930" t="str">
            <v>51939-580LF Connector,PBRAH</v>
          </cell>
          <cell r="C1930">
            <v>2E-3</v>
          </cell>
          <cell r="D1930">
            <v>2975</v>
          </cell>
          <cell r="E1930">
            <v>8925</v>
          </cell>
          <cell r="F1930">
            <v>3.2000000000000001E-2</v>
          </cell>
        </row>
        <row r="1931">
          <cell r="A1931" t="str">
            <v>51939-581LF</v>
          </cell>
          <cell r="B1931" t="str">
            <v>51939-581LF Connector,PBRAH</v>
          </cell>
          <cell r="C1931">
            <v>2E-3</v>
          </cell>
          <cell r="D1931">
            <v>2975</v>
          </cell>
          <cell r="E1931">
            <v>8925</v>
          </cell>
          <cell r="F1931">
            <v>2.52E-2</v>
          </cell>
        </row>
        <row r="1932">
          <cell r="A1932" t="str">
            <v>51939-582LF</v>
          </cell>
          <cell r="B1932" t="str">
            <v>51939-582LF Connector,PBRAH</v>
          </cell>
          <cell r="C1932">
            <v>2E-3</v>
          </cell>
          <cell r="D1932">
            <v>2975</v>
          </cell>
          <cell r="E1932">
            <v>8925</v>
          </cell>
          <cell r="F1932">
            <v>1.6E-2</v>
          </cell>
        </row>
        <row r="1933">
          <cell r="A1933" t="str">
            <v>51939-586LF</v>
          </cell>
          <cell r="B1933" t="str">
            <v>51939-586LF Connector,PBRAH</v>
          </cell>
          <cell r="C1933">
            <v>2E-3</v>
          </cell>
          <cell r="D1933">
            <v>2975</v>
          </cell>
          <cell r="E1933">
            <v>8925</v>
          </cell>
          <cell r="F1933">
            <v>2.1999999999999999E-2</v>
          </cell>
        </row>
        <row r="1934">
          <cell r="A1934" t="str">
            <v>51939-587LF</v>
          </cell>
          <cell r="B1934" t="str">
            <v>51939-587LF Connector,PBRAH</v>
          </cell>
          <cell r="C1934">
            <v>2E-3</v>
          </cell>
          <cell r="D1934">
            <v>2975</v>
          </cell>
          <cell r="E1934">
            <v>8925</v>
          </cell>
          <cell r="F1934">
            <v>2.1999999999999999E-2</v>
          </cell>
        </row>
        <row r="1935">
          <cell r="A1935" t="str">
            <v>51939-589LF</v>
          </cell>
          <cell r="B1935" t="str">
            <v>51939-589LF Connector,PBRAH</v>
          </cell>
          <cell r="C1935">
            <v>2E-3</v>
          </cell>
          <cell r="D1935">
            <v>2975</v>
          </cell>
          <cell r="E1935">
            <v>8925</v>
          </cell>
          <cell r="F1935">
            <v>2.1000000000000001E-2</v>
          </cell>
        </row>
        <row r="1936">
          <cell r="A1936" t="str">
            <v>51939-590LF</v>
          </cell>
          <cell r="B1936" t="str">
            <v>51939-590LF PwrBlade RAH</v>
          </cell>
          <cell r="C1936">
            <v>2E-3</v>
          </cell>
          <cell r="D1936">
            <v>2975</v>
          </cell>
          <cell r="E1936">
            <v>8925</v>
          </cell>
          <cell r="F1936">
            <v>2.1000000000000001E-2</v>
          </cell>
        </row>
        <row r="1937">
          <cell r="A1937" t="str">
            <v>51939-591LF</v>
          </cell>
          <cell r="B1937" t="str">
            <v>51939-591LF Connector,PBRAH</v>
          </cell>
          <cell r="C1937">
            <v>6.1000000000000004E-3</v>
          </cell>
          <cell r="D1937">
            <v>975.4098360655737</v>
          </cell>
          <cell r="E1937">
            <v>2926.2295081967213</v>
          </cell>
          <cell r="F1937">
            <v>2.7E-2</v>
          </cell>
        </row>
        <row r="1938">
          <cell r="A1938" t="str">
            <v>51939-592LF</v>
          </cell>
          <cell r="B1938" t="str">
            <v>51939-592LF PwrBlade RAH</v>
          </cell>
          <cell r="C1938">
            <v>2E-3</v>
          </cell>
          <cell r="D1938">
            <v>2975</v>
          </cell>
          <cell r="E1938">
            <v>8925</v>
          </cell>
          <cell r="F1938">
            <v>3.2883572999999999E-2</v>
          </cell>
        </row>
        <row r="1939">
          <cell r="A1939" t="str">
            <v>51939-593LF</v>
          </cell>
          <cell r="B1939" t="str">
            <v>51939-593LF Connector,PBRAH</v>
          </cell>
          <cell r="C1939">
            <v>6.1000000000000004E-3</v>
          </cell>
          <cell r="D1939">
            <v>975.4098360655737</v>
          </cell>
          <cell r="E1939">
            <v>2926.2295081967213</v>
          </cell>
          <cell r="F1939">
            <v>1.7999999999999999E-2</v>
          </cell>
        </row>
        <row r="1940">
          <cell r="A1940" t="str">
            <v>51939-594LF</v>
          </cell>
          <cell r="B1940" t="str">
            <v>51939-594LF Connector,PBRAH</v>
          </cell>
          <cell r="C1940">
            <v>2E-3</v>
          </cell>
          <cell r="D1940">
            <v>2975</v>
          </cell>
          <cell r="E1940">
            <v>8925</v>
          </cell>
          <cell r="F1940">
            <v>3.9E-2</v>
          </cell>
        </row>
        <row r="1941">
          <cell r="A1941" t="str">
            <v>51939-595LF</v>
          </cell>
          <cell r="B1941" t="str">
            <v>51939-595LF Connector,PBRAH</v>
          </cell>
          <cell r="C1941">
            <v>2E-3</v>
          </cell>
          <cell r="D1941">
            <v>2975</v>
          </cell>
          <cell r="E1941">
            <v>8925</v>
          </cell>
          <cell r="F1941">
            <v>2.1000000000000001E-2</v>
          </cell>
        </row>
        <row r="1942">
          <cell r="A1942" t="str">
            <v>51939-597LF</v>
          </cell>
          <cell r="B1942" t="str">
            <v>51939-597LF PwrBlade RAH STB</v>
          </cell>
          <cell r="C1942">
            <v>2E-3</v>
          </cell>
          <cell r="D1942">
            <v>2975</v>
          </cell>
          <cell r="E1942">
            <v>8925</v>
          </cell>
          <cell r="F1942">
            <v>2.5999999999999999E-2</v>
          </cell>
        </row>
        <row r="1943">
          <cell r="A1943" t="str">
            <v>51939-598LF</v>
          </cell>
          <cell r="B1943" t="str">
            <v>51939-598LF Connector,PBRAH</v>
          </cell>
          <cell r="C1943">
            <v>0.01</v>
          </cell>
          <cell r="D1943">
            <v>595</v>
          </cell>
          <cell r="E1943">
            <v>1785</v>
          </cell>
          <cell r="F1943">
            <v>6.5000000000000002E-2</v>
          </cell>
        </row>
        <row r="1944">
          <cell r="A1944" t="str">
            <v>51939-599LF</v>
          </cell>
          <cell r="B1944" t="str">
            <v>51939-599LF Connector,PBRAH</v>
          </cell>
          <cell r="C1944">
            <v>2E-3</v>
          </cell>
          <cell r="D1944">
            <v>2975</v>
          </cell>
          <cell r="E1944">
            <v>8925</v>
          </cell>
          <cell r="F1944">
            <v>3.2000000000000001E-2</v>
          </cell>
        </row>
        <row r="1945">
          <cell r="A1945" t="str">
            <v>51939-608LF</v>
          </cell>
          <cell r="B1945" t="str">
            <v>51939-608LF Connector,PBRAH</v>
          </cell>
          <cell r="C1945">
            <v>4.0000000000000001E-3</v>
          </cell>
          <cell r="D1945">
            <v>1487.5</v>
          </cell>
          <cell r="E1945">
            <v>4462.5</v>
          </cell>
          <cell r="F1945">
            <v>7.0999999999999994E-2</v>
          </cell>
        </row>
        <row r="1946">
          <cell r="A1946" t="str">
            <v>51939-614LF</v>
          </cell>
          <cell r="B1946" t="str">
            <v>51939-614LF Connector,PBRAH</v>
          </cell>
          <cell r="C1946">
            <v>2E-3</v>
          </cell>
          <cell r="D1946">
            <v>2975</v>
          </cell>
          <cell r="E1946">
            <v>8925</v>
          </cell>
          <cell r="F1946">
            <v>3.4000000000000002E-2</v>
          </cell>
        </row>
        <row r="1947">
          <cell r="A1947" t="str">
            <v>51939-617LF</v>
          </cell>
          <cell r="B1947" t="str">
            <v>51939-617LF Connector,PBRAH</v>
          </cell>
          <cell r="C1947">
            <v>2E-3</v>
          </cell>
          <cell r="D1947">
            <v>2975</v>
          </cell>
          <cell r="E1947">
            <v>8925</v>
          </cell>
          <cell r="F1947">
            <v>3.2000000000000001E-2</v>
          </cell>
        </row>
        <row r="1948">
          <cell r="A1948" t="str">
            <v>51939-618LF</v>
          </cell>
          <cell r="B1948" t="str">
            <v>51939-618LF Connector,PBRAH</v>
          </cell>
          <cell r="C1948">
            <v>2E-3</v>
          </cell>
          <cell r="D1948">
            <v>2975</v>
          </cell>
          <cell r="E1948">
            <v>8925</v>
          </cell>
          <cell r="F1948">
            <v>3.9E-2</v>
          </cell>
        </row>
        <row r="1949">
          <cell r="A1949" t="str">
            <v>51939-619LF</v>
          </cell>
          <cell r="B1949" t="str">
            <v>51939-619LF Connector,PBRAH</v>
          </cell>
          <cell r="C1949">
            <v>4.0000000000000001E-3</v>
          </cell>
          <cell r="D1949">
            <v>1487.5</v>
          </cell>
          <cell r="E1949">
            <v>4462.5</v>
          </cell>
          <cell r="F1949">
            <v>7.0999999999999994E-2</v>
          </cell>
        </row>
        <row r="1950">
          <cell r="A1950" t="str">
            <v>51939-620LF</v>
          </cell>
          <cell r="B1950" t="str">
            <v>51939-620LF Connector,PBRAH</v>
          </cell>
          <cell r="C1950">
            <v>2E-3</v>
          </cell>
          <cell r="D1950">
            <v>2975</v>
          </cell>
          <cell r="E1950">
            <v>8925</v>
          </cell>
          <cell r="F1950">
            <v>2.8000000000000001E-2</v>
          </cell>
        </row>
        <row r="1951">
          <cell r="A1951" t="str">
            <v>51939-622LF</v>
          </cell>
          <cell r="B1951" t="str">
            <v>51939-622LF Connector,PBRAH</v>
          </cell>
          <cell r="C1951">
            <v>2E-3</v>
          </cell>
          <cell r="D1951">
            <v>2975</v>
          </cell>
          <cell r="E1951">
            <v>8925</v>
          </cell>
          <cell r="F1951">
            <v>2.8000000000000001E-2</v>
          </cell>
        </row>
        <row r="1952">
          <cell r="A1952" t="str">
            <v>51939-623LF</v>
          </cell>
          <cell r="B1952" t="str">
            <v>51939-623LF Connector,PBRAH</v>
          </cell>
          <cell r="C1952">
            <v>2E-3</v>
          </cell>
          <cell r="D1952">
            <v>2975</v>
          </cell>
          <cell r="E1952">
            <v>8925</v>
          </cell>
          <cell r="F1952">
            <v>6.2E-2</v>
          </cell>
        </row>
        <row r="1953">
          <cell r="A1953" t="str">
            <v>51939-629LF</v>
          </cell>
          <cell r="B1953" t="str">
            <v>51939-629LF Connector,PBRAH</v>
          </cell>
          <cell r="C1953">
            <v>2E-3</v>
          </cell>
          <cell r="D1953">
            <v>2975</v>
          </cell>
          <cell r="E1953">
            <v>8925</v>
          </cell>
          <cell r="F1953">
            <v>2.5999999999999999E-2</v>
          </cell>
        </row>
        <row r="1954">
          <cell r="A1954" t="str">
            <v>51939-633LF</v>
          </cell>
          <cell r="B1954" t="str">
            <v>51939-633LF Connector,PBRAH</v>
          </cell>
          <cell r="C1954">
            <v>2E-3</v>
          </cell>
          <cell r="D1954">
            <v>2975</v>
          </cell>
          <cell r="E1954">
            <v>8925</v>
          </cell>
          <cell r="F1954">
            <v>2.9000000000000001E-2</v>
          </cell>
        </row>
        <row r="1955">
          <cell r="A1955" t="str">
            <v>51939-636LF</v>
          </cell>
          <cell r="B1955" t="str">
            <v>51939-636LF PwrBlade RAH STB</v>
          </cell>
          <cell r="C1955">
            <v>2E-3</v>
          </cell>
          <cell r="D1955">
            <v>2975</v>
          </cell>
          <cell r="E1955">
            <v>8925</v>
          </cell>
          <cell r="F1955">
            <v>8.6999999999999994E-2</v>
          </cell>
        </row>
        <row r="1956">
          <cell r="A1956" t="str">
            <v>51939-637LF</v>
          </cell>
          <cell r="B1956" t="str">
            <v>51939-637LF PwrBlade RAH STB</v>
          </cell>
          <cell r="C1956">
            <v>6.1000000000000004E-3</v>
          </cell>
          <cell r="D1956">
            <v>975.4098360655737</v>
          </cell>
          <cell r="E1956">
            <v>2926.2295081967213</v>
          </cell>
          <cell r="F1956">
            <v>2.1999999999999999E-2</v>
          </cell>
        </row>
        <row r="1957">
          <cell r="A1957" t="str">
            <v>51939-641LF</v>
          </cell>
          <cell r="B1957" t="str">
            <v>51939-641LF Connector,PBRAH</v>
          </cell>
          <cell r="C1957">
            <v>2E-3</v>
          </cell>
          <cell r="D1957">
            <v>2975</v>
          </cell>
          <cell r="E1957">
            <v>8925</v>
          </cell>
          <cell r="F1957">
            <v>3.4000000000000002E-2</v>
          </cell>
        </row>
        <row r="1958">
          <cell r="A1958" t="str">
            <v>51939-642LF</v>
          </cell>
          <cell r="B1958" t="str">
            <v>51939-642LF Connector,PBRAH</v>
          </cell>
          <cell r="C1958">
            <v>2E-3</v>
          </cell>
          <cell r="D1958">
            <v>2975</v>
          </cell>
          <cell r="E1958">
            <v>8925</v>
          </cell>
          <cell r="F1958">
            <v>3.5999999999999997E-2</v>
          </cell>
        </row>
        <row r="1959">
          <cell r="A1959" t="str">
            <v>51939-644CAULF</v>
          </cell>
          <cell r="B1959" t="str">
            <v>51939-644CAULF Connector,PBRAH</v>
          </cell>
          <cell r="C1959">
            <v>2E-3</v>
          </cell>
          <cell r="D1959">
            <v>2975</v>
          </cell>
          <cell r="E1959">
            <v>8925</v>
          </cell>
          <cell r="F1959">
            <v>1.26E-2</v>
          </cell>
        </row>
        <row r="1960">
          <cell r="A1960" t="str">
            <v>51939-646LF</v>
          </cell>
          <cell r="B1960" t="str">
            <v>51939-646LF Connector,PBRAH</v>
          </cell>
          <cell r="C1960">
            <v>2E-3</v>
          </cell>
          <cell r="D1960">
            <v>2975</v>
          </cell>
          <cell r="E1960">
            <v>8925</v>
          </cell>
          <cell r="F1960">
            <v>4.3999999999999997E-2</v>
          </cell>
        </row>
        <row r="1961">
          <cell r="A1961" t="str">
            <v>51939-647LF</v>
          </cell>
          <cell r="B1961" t="str">
            <v>51939-647LF Connector,PBRAH</v>
          </cell>
          <cell r="C1961">
            <v>2E-3</v>
          </cell>
          <cell r="D1961">
            <v>2975</v>
          </cell>
          <cell r="E1961">
            <v>8925</v>
          </cell>
          <cell r="F1961">
            <v>6.7000000000000004E-2</v>
          </cell>
        </row>
        <row r="1962">
          <cell r="A1962" t="str">
            <v>51939-648LF</v>
          </cell>
          <cell r="B1962" t="str">
            <v>51939-648LF Connector,PBRAH</v>
          </cell>
          <cell r="C1962">
            <v>2E-3</v>
          </cell>
          <cell r="D1962">
            <v>2975</v>
          </cell>
          <cell r="E1962">
            <v>8925</v>
          </cell>
          <cell r="F1962">
            <v>3.4000000000000002E-2</v>
          </cell>
        </row>
        <row r="1963">
          <cell r="A1963" t="str">
            <v>51939-649LF</v>
          </cell>
          <cell r="B1963" t="str">
            <v>51939-649LF Connector,PBRAH</v>
          </cell>
          <cell r="C1963">
            <v>6.1000000000000004E-3</v>
          </cell>
          <cell r="D1963">
            <v>975.4098360655737</v>
          </cell>
          <cell r="E1963">
            <v>2926.2295081967213</v>
          </cell>
          <cell r="F1963">
            <v>2.1000000000000001E-2</v>
          </cell>
        </row>
        <row r="1964">
          <cell r="A1964" t="str">
            <v>51939-650LF</v>
          </cell>
          <cell r="B1964" t="str">
            <v>51939-650LF Connector,PBRAH</v>
          </cell>
          <cell r="C1964">
            <v>6.1000000000000004E-3</v>
          </cell>
          <cell r="D1964">
            <v>975.4098360655737</v>
          </cell>
          <cell r="E1964">
            <v>2926.2295081967213</v>
          </cell>
          <cell r="F1964">
            <v>2.1000000000000001E-2</v>
          </cell>
        </row>
        <row r="1965">
          <cell r="A1965" t="str">
            <v>51939-652LF</v>
          </cell>
          <cell r="B1965" t="str">
            <v>51939-652LF Connector,PBRAH</v>
          </cell>
          <cell r="C1965">
            <v>6.1000000000000004E-3</v>
          </cell>
          <cell r="D1965">
            <v>975.4098360655737</v>
          </cell>
          <cell r="E1965">
            <v>2926.2295081967213</v>
          </cell>
          <cell r="F1965">
            <v>5.6000000000000001E-2</v>
          </cell>
        </row>
        <row r="1966">
          <cell r="A1966" t="str">
            <v>51939-653LF</v>
          </cell>
          <cell r="B1966" t="str">
            <v>51939-653LF Connector,PBRAH</v>
          </cell>
          <cell r="C1966">
            <v>2E-3</v>
          </cell>
          <cell r="D1966">
            <v>2975</v>
          </cell>
          <cell r="E1966">
            <v>8925</v>
          </cell>
          <cell r="F1966">
            <v>2.6200000000000001E-2</v>
          </cell>
        </row>
        <row r="1967">
          <cell r="A1967" t="str">
            <v>51939-654LF</v>
          </cell>
          <cell r="B1967" t="str">
            <v>51939-654LF Connector,PBRAH</v>
          </cell>
          <cell r="C1967">
            <v>2E-3</v>
          </cell>
          <cell r="D1967">
            <v>2975</v>
          </cell>
          <cell r="E1967">
            <v>8925</v>
          </cell>
          <cell r="F1967">
            <v>2.4E-2</v>
          </cell>
        </row>
        <row r="1968">
          <cell r="A1968" t="str">
            <v>51939-655LF</v>
          </cell>
          <cell r="B1968" t="str">
            <v>51939-655LF Connector,PBRAH</v>
          </cell>
          <cell r="C1968">
            <v>2E-3</v>
          </cell>
          <cell r="D1968">
            <v>2975</v>
          </cell>
          <cell r="E1968">
            <v>8925</v>
          </cell>
          <cell r="F1968">
            <v>2.5999999999999999E-2</v>
          </cell>
        </row>
        <row r="1969">
          <cell r="A1969" t="str">
            <v>51939-660LF</v>
          </cell>
          <cell r="B1969" t="str">
            <v>51939-660LF Connector,PBRAH</v>
          </cell>
          <cell r="C1969">
            <v>2E-3</v>
          </cell>
          <cell r="D1969">
            <v>2975</v>
          </cell>
          <cell r="E1969">
            <v>8925</v>
          </cell>
          <cell r="F1969">
            <v>3.2000000000000001E-2</v>
          </cell>
        </row>
        <row r="1970">
          <cell r="A1970" t="str">
            <v>51939-661LF</v>
          </cell>
          <cell r="B1970" t="str">
            <v>51939-661LF PwrBlade RAH STB</v>
          </cell>
          <cell r="C1970">
            <v>2E-3</v>
          </cell>
          <cell r="D1970">
            <v>2975</v>
          </cell>
          <cell r="E1970">
            <v>8925</v>
          </cell>
          <cell r="F1970">
            <v>3.6999999999999998E-2</v>
          </cell>
        </row>
        <row r="1971">
          <cell r="A1971" t="str">
            <v>51939-662LF</v>
          </cell>
          <cell r="B1971" t="str">
            <v>51939-662LF Connector,PBRAH</v>
          </cell>
          <cell r="C1971">
            <v>2E-3</v>
          </cell>
          <cell r="D1971">
            <v>2975</v>
          </cell>
          <cell r="E1971">
            <v>8925</v>
          </cell>
          <cell r="F1971">
            <v>2.1999999999999999E-2</v>
          </cell>
        </row>
        <row r="1972">
          <cell r="A1972" t="str">
            <v>51939-663LF</v>
          </cell>
          <cell r="B1972" t="str">
            <v>51939-663LF Connector,PBRAH</v>
          </cell>
          <cell r="C1972">
            <v>4.0000000000000001E-3</v>
          </cell>
          <cell r="D1972">
            <v>1487.5</v>
          </cell>
          <cell r="E1972">
            <v>4462.5</v>
          </cell>
          <cell r="F1972">
            <v>2.5999999999999999E-2</v>
          </cell>
        </row>
        <row r="1973">
          <cell r="A1973" t="str">
            <v>51939-665LF</v>
          </cell>
          <cell r="B1973" t="str">
            <v>51939-665LF Connector,PBRAH</v>
          </cell>
          <cell r="C1973">
            <v>2E-3</v>
          </cell>
          <cell r="D1973">
            <v>2975</v>
          </cell>
          <cell r="E1973">
            <v>8925</v>
          </cell>
          <cell r="F1973">
            <v>2.9000000000000001E-2</v>
          </cell>
        </row>
        <row r="1974">
          <cell r="A1974" t="str">
            <v>51939-666LF</v>
          </cell>
          <cell r="B1974" t="str">
            <v>51939-666LF Connector,PBRAH</v>
          </cell>
          <cell r="C1974">
            <v>2E-3</v>
          </cell>
          <cell r="D1974">
            <v>2975</v>
          </cell>
          <cell r="E1974">
            <v>8925</v>
          </cell>
          <cell r="F1974">
            <v>2.1999999999999999E-2</v>
          </cell>
        </row>
        <row r="1975">
          <cell r="A1975" t="str">
            <v>51939-669LF</v>
          </cell>
          <cell r="B1975" t="str">
            <v>51939-669LF Connector,PBRAH</v>
          </cell>
          <cell r="C1975">
            <v>2E-3</v>
          </cell>
          <cell r="D1975">
            <v>2975</v>
          </cell>
          <cell r="E1975">
            <v>8925</v>
          </cell>
          <cell r="F1975">
            <v>4.2000000000000003E-2</v>
          </cell>
        </row>
        <row r="1976">
          <cell r="A1976" t="str">
            <v>51939-670LF</v>
          </cell>
          <cell r="B1976" t="str">
            <v>51939-670LF Connector,PBRAH</v>
          </cell>
          <cell r="C1976">
            <v>6.1000000000000004E-3</v>
          </cell>
          <cell r="D1976">
            <v>975.4098360655737</v>
          </cell>
          <cell r="E1976">
            <v>2926.2295081967213</v>
          </cell>
          <cell r="F1976">
            <v>2.5000000000000001E-2</v>
          </cell>
        </row>
        <row r="1977">
          <cell r="A1977" t="str">
            <v>51939-674LF</v>
          </cell>
          <cell r="B1977" t="str">
            <v>51939-674LF Connector,PBRAH</v>
          </cell>
          <cell r="C1977">
            <v>2E-3</v>
          </cell>
          <cell r="D1977">
            <v>2975</v>
          </cell>
          <cell r="E1977">
            <v>8925</v>
          </cell>
          <cell r="F1977">
            <v>4.2000000000000003E-2</v>
          </cell>
        </row>
        <row r="1978">
          <cell r="A1978" t="str">
            <v>51939-675LF</v>
          </cell>
          <cell r="B1978" t="str">
            <v>51939-675LF Connector,PBRAH</v>
          </cell>
          <cell r="C1978">
            <v>2E-3</v>
          </cell>
          <cell r="D1978">
            <v>2975</v>
          </cell>
          <cell r="E1978">
            <v>8925</v>
          </cell>
          <cell r="F1978">
            <v>3.2000000000000001E-2</v>
          </cell>
        </row>
        <row r="1979">
          <cell r="A1979" t="str">
            <v>51939-676PLF</v>
          </cell>
          <cell r="B1979" t="str">
            <v>51939-676PLF Connector,PBRAH</v>
          </cell>
          <cell r="C1979">
            <v>2.8E-3</v>
          </cell>
          <cell r="D1979">
            <v>2125</v>
          </cell>
          <cell r="E1979">
            <v>6375</v>
          </cell>
          <cell r="F1979">
            <v>1.41E-2</v>
          </cell>
        </row>
        <row r="1980">
          <cell r="A1980" t="str">
            <v>51939-681LF</v>
          </cell>
          <cell r="B1980" t="str">
            <v>51939-681LF Connector,PBRAH</v>
          </cell>
          <cell r="C1980">
            <v>6.1000000000000004E-3</v>
          </cell>
          <cell r="D1980">
            <v>975.4098360655737</v>
          </cell>
          <cell r="E1980">
            <v>2926.2295081967213</v>
          </cell>
          <cell r="F1980">
            <v>3.6999999999999998E-2</v>
          </cell>
        </row>
        <row r="1981">
          <cell r="A1981" t="str">
            <v>51939-682LF</v>
          </cell>
          <cell r="B1981" t="str">
            <v>51939-682LF PwrBlade RAH</v>
          </cell>
          <cell r="C1981">
            <v>2E-3</v>
          </cell>
          <cell r="D1981">
            <v>2975</v>
          </cell>
          <cell r="E1981">
            <v>8925</v>
          </cell>
          <cell r="F1981">
            <v>3.5000000000000003E-2</v>
          </cell>
        </row>
        <row r="1982">
          <cell r="A1982" t="str">
            <v>51939-683LF</v>
          </cell>
          <cell r="B1982" t="str">
            <v>51939-683LF Connector,PBRAH</v>
          </cell>
          <cell r="C1982">
            <v>2E-3</v>
          </cell>
          <cell r="D1982">
            <v>2975</v>
          </cell>
          <cell r="E1982">
            <v>8925</v>
          </cell>
          <cell r="F1982">
            <v>3.9E-2</v>
          </cell>
        </row>
        <row r="1983">
          <cell r="A1983" t="str">
            <v>51939-689LF</v>
          </cell>
          <cell r="B1983" t="str">
            <v>51939-689LF Connector,PBRAH</v>
          </cell>
          <cell r="C1983">
            <v>2E-3</v>
          </cell>
          <cell r="D1983">
            <v>2975</v>
          </cell>
          <cell r="E1983">
            <v>8925</v>
          </cell>
          <cell r="F1983">
            <v>1.6E-2</v>
          </cell>
        </row>
        <row r="1984">
          <cell r="A1984" t="str">
            <v>51939-691LF</v>
          </cell>
          <cell r="B1984" t="str">
            <v>51939-691LF Connector,PBRAH</v>
          </cell>
          <cell r="C1984">
            <v>2E-3</v>
          </cell>
          <cell r="D1984">
            <v>2975</v>
          </cell>
          <cell r="E1984">
            <v>8925</v>
          </cell>
          <cell r="F1984">
            <v>2.1000000000000001E-2</v>
          </cell>
        </row>
        <row r="1985">
          <cell r="A1985" t="str">
            <v>51939-692LF</v>
          </cell>
          <cell r="B1985" t="str">
            <v>51939-692LF Connector,PBRAH</v>
          </cell>
          <cell r="C1985">
            <v>2E-3</v>
          </cell>
          <cell r="D1985">
            <v>2975</v>
          </cell>
          <cell r="E1985">
            <v>8925</v>
          </cell>
          <cell r="F1985">
            <v>2.5999999999999999E-2</v>
          </cell>
        </row>
        <row r="1986">
          <cell r="A1986" t="str">
            <v>51939-695LF</v>
          </cell>
          <cell r="B1986" t="str">
            <v>51939-695LF Connector,PBRAH</v>
          </cell>
          <cell r="C1986">
            <v>6.1000000000000004E-3</v>
          </cell>
          <cell r="D1986">
            <v>975.4098360655737</v>
          </cell>
          <cell r="E1986">
            <v>2926.2295081967213</v>
          </cell>
          <cell r="F1986">
            <v>5.7000000000000002E-2</v>
          </cell>
        </row>
        <row r="1987">
          <cell r="A1987" t="str">
            <v>51939-697LF</v>
          </cell>
          <cell r="B1987" t="str">
            <v>51939-697LF Connector,PBRAH</v>
          </cell>
          <cell r="C1987">
            <v>2E-3</v>
          </cell>
          <cell r="D1987">
            <v>2975</v>
          </cell>
          <cell r="E1987">
            <v>8925</v>
          </cell>
          <cell r="F1987">
            <v>3.1E-2</v>
          </cell>
        </row>
        <row r="1988">
          <cell r="A1988" t="str">
            <v>51939-698LF</v>
          </cell>
          <cell r="B1988" t="str">
            <v>51939-698LF Connector,PBRAH</v>
          </cell>
          <cell r="C1988">
            <v>2E-3</v>
          </cell>
          <cell r="D1988">
            <v>2975</v>
          </cell>
          <cell r="E1988">
            <v>8925</v>
          </cell>
          <cell r="F1988">
            <v>2.5999999999999999E-2</v>
          </cell>
        </row>
        <row r="1989">
          <cell r="A1989" t="str">
            <v>51939-699LF</v>
          </cell>
          <cell r="B1989" t="str">
            <v>51939-699LF Connector,PBRAH</v>
          </cell>
          <cell r="C1989">
            <v>2E-3</v>
          </cell>
          <cell r="D1989">
            <v>2975</v>
          </cell>
          <cell r="E1989">
            <v>8925</v>
          </cell>
          <cell r="F1989">
            <v>2.8000000000000001E-2</v>
          </cell>
        </row>
        <row r="1990">
          <cell r="A1990" t="str">
            <v>51939-700LF</v>
          </cell>
          <cell r="B1990" t="str">
            <v>51939-700LF Connector,PBRAH</v>
          </cell>
          <cell r="C1990">
            <v>2E-3</v>
          </cell>
          <cell r="D1990">
            <v>2975</v>
          </cell>
          <cell r="E1990">
            <v>8925</v>
          </cell>
          <cell r="F1990">
            <v>2.5999999999999999E-2</v>
          </cell>
        </row>
        <row r="1991">
          <cell r="A1991" t="str">
            <v>51939-701LF</v>
          </cell>
          <cell r="B1991" t="str">
            <v>51939-701LF PwrBlade RAH STB</v>
          </cell>
          <cell r="C1991">
            <v>2E-3</v>
          </cell>
          <cell r="D1991">
            <v>2975</v>
          </cell>
          <cell r="E1991">
            <v>8925</v>
          </cell>
          <cell r="F1991">
            <v>2.7E-2</v>
          </cell>
        </row>
        <row r="1992">
          <cell r="A1992" t="str">
            <v>51939-703LF</v>
          </cell>
          <cell r="B1992" t="str">
            <v>51939-703LF Connector,PBRAH</v>
          </cell>
          <cell r="C1992">
            <v>6.1000000000000004E-3</v>
          </cell>
          <cell r="D1992">
            <v>975.4098360655737</v>
          </cell>
          <cell r="E1992">
            <v>2926.2295081967213</v>
          </cell>
          <cell r="F1992">
            <v>3.2000000000000001E-2</v>
          </cell>
        </row>
        <row r="1993">
          <cell r="A1993" t="str">
            <v>51939-704LF</v>
          </cell>
          <cell r="B1993" t="str">
            <v>51939-704LF Connector,PBRAH</v>
          </cell>
          <cell r="C1993">
            <v>2E-3</v>
          </cell>
          <cell r="D1993">
            <v>2975</v>
          </cell>
          <cell r="E1993">
            <v>8925</v>
          </cell>
          <cell r="F1993">
            <v>4.4999999999999998E-2</v>
          </cell>
        </row>
        <row r="1994">
          <cell r="A1994" t="str">
            <v>51939-705LF</v>
          </cell>
          <cell r="B1994" t="str">
            <v>51939-705LF Connector,PBRAH</v>
          </cell>
          <cell r="C1994">
            <v>2E-3</v>
          </cell>
          <cell r="D1994">
            <v>2975</v>
          </cell>
          <cell r="E1994">
            <v>8925</v>
          </cell>
          <cell r="F1994">
            <v>2.5999999999999999E-2</v>
          </cell>
        </row>
        <row r="1995">
          <cell r="A1995" t="str">
            <v>51939-706LF</v>
          </cell>
          <cell r="B1995" t="str">
            <v>51939-706LF Connector,PBRAH</v>
          </cell>
          <cell r="C1995">
            <v>6.1000000000000004E-3</v>
          </cell>
          <cell r="D1995">
            <v>975.4098360655737</v>
          </cell>
          <cell r="E1995">
            <v>2926.2295081967213</v>
          </cell>
          <cell r="F1995">
            <v>1.4999999999999999E-2</v>
          </cell>
        </row>
        <row r="1996">
          <cell r="A1996" t="str">
            <v>51939-707LF</v>
          </cell>
          <cell r="B1996" t="str">
            <v>51939-707LF Connector,PBRAH</v>
          </cell>
          <cell r="C1996">
            <v>2E-3</v>
          </cell>
          <cell r="D1996">
            <v>2975</v>
          </cell>
          <cell r="E1996">
            <v>8925</v>
          </cell>
          <cell r="F1996">
            <v>3.9E-2</v>
          </cell>
        </row>
        <row r="1997">
          <cell r="A1997" t="str">
            <v>51939-708LF</v>
          </cell>
          <cell r="B1997" t="str">
            <v>51939-708LF Connector,PBRAH</v>
          </cell>
          <cell r="C1997">
            <v>3.5000000000000001E-3</v>
          </cell>
          <cell r="D1997">
            <v>1700</v>
          </cell>
          <cell r="E1997">
            <v>5100</v>
          </cell>
          <cell r="F1997">
            <v>2.5000000000000001E-2</v>
          </cell>
        </row>
        <row r="1998">
          <cell r="A1998" t="str">
            <v>51939-709LF</v>
          </cell>
          <cell r="B1998" t="str">
            <v>51939-709LF Connector,PBRAH</v>
          </cell>
          <cell r="C1998">
            <v>2E-3</v>
          </cell>
          <cell r="D1998">
            <v>2975</v>
          </cell>
          <cell r="E1998">
            <v>8925</v>
          </cell>
          <cell r="F1998">
            <v>3.9E-2</v>
          </cell>
        </row>
        <row r="1999">
          <cell r="A1999" t="str">
            <v>51939-710LF</v>
          </cell>
          <cell r="B1999" t="str">
            <v>51939-710LF Connector,PBRAH</v>
          </cell>
          <cell r="C1999">
            <v>2E-3</v>
          </cell>
          <cell r="D1999">
            <v>2975</v>
          </cell>
          <cell r="E1999">
            <v>8925</v>
          </cell>
          <cell r="F1999">
            <v>3.2000000000000001E-2</v>
          </cell>
        </row>
        <row r="2000">
          <cell r="A2000" t="str">
            <v>51939-712LF</v>
          </cell>
          <cell r="B2000" t="str">
            <v>51939-712LF Connector,PBRAH</v>
          </cell>
          <cell r="C2000">
            <v>4.0000000000000001E-3</v>
          </cell>
          <cell r="D2000">
            <v>1487.5</v>
          </cell>
          <cell r="E2000">
            <v>4462.5</v>
          </cell>
          <cell r="F2000">
            <v>7.0999999999999994E-2</v>
          </cell>
        </row>
        <row r="2001">
          <cell r="A2001" t="str">
            <v>51939-713LF</v>
          </cell>
          <cell r="B2001" t="str">
            <v>51939-713LF PwrBlade RAH STB</v>
          </cell>
          <cell r="C2001">
            <v>2E-3</v>
          </cell>
          <cell r="D2001">
            <v>2975</v>
          </cell>
          <cell r="E2001">
            <v>8925</v>
          </cell>
          <cell r="F2001">
            <v>2.9000000000000001E-2</v>
          </cell>
        </row>
        <row r="2002">
          <cell r="A2002" t="str">
            <v>51939-715LF</v>
          </cell>
          <cell r="B2002" t="str">
            <v>51939-715LF Connector,PBRAH</v>
          </cell>
          <cell r="C2002">
            <v>0.02</v>
          </cell>
          <cell r="D2002">
            <v>297.5</v>
          </cell>
          <cell r="E2002">
            <v>892.5</v>
          </cell>
          <cell r="F2002">
            <v>3.5999999999999997E-2</v>
          </cell>
        </row>
        <row r="2003">
          <cell r="A2003" t="str">
            <v>51939-716LF</v>
          </cell>
          <cell r="B2003" t="str">
            <v>51939-716LF Connector,PBRAH</v>
          </cell>
          <cell r="C2003">
            <v>6.1000000000000004E-3</v>
          </cell>
          <cell r="D2003">
            <v>975.4098360655737</v>
          </cell>
          <cell r="E2003">
            <v>2926.2295081967213</v>
          </cell>
          <cell r="F2003">
            <v>1.7999999999999999E-2</v>
          </cell>
        </row>
        <row r="2004">
          <cell r="A2004" t="str">
            <v>51939-717LF</v>
          </cell>
          <cell r="B2004" t="str">
            <v>51939-717LF Connector,PBRAH</v>
          </cell>
          <cell r="C2004">
            <v>2E-3</v>
          </cell>
          <cell r="D2004">
            <v>2975</v>
          </cell>
          <cell r="E2004">
            <v>8925</v>
          </cell>
          <cell r="F2004">
            <v>2.7E-2</v>
          </cell>
        </row>
        <row r="2005">
          <cell r="A2005" t="str">
            <v>51939-718LF</v>
          </cell>
          <cell r="B2005" t="str">
            <v>51939-718LF Connector,PBRAH</v>
          </cell>
          <cell r="C2005">
            <v>2E-3</v>
          </cell>
          <cell r="D2005">
            <v>2975</v>
          </cell>
          <cell r="E2005">
            <v>8925</v>
          </cell>
          <cell r="F2005">
            <v>8.8200000000000001E-2</v>
          </cell>
        </row>
        <row r="2006">
          <cell r="A2006" t="str">
            <v>51939-719LF</v>
          </cell>
          <cell r="B2006" t="str">
            <v>51939-719LF Connector,PBRAH</v>
          </cell>
          <cell r="C2006">
            <v>6.1000000000000004E-3</v>
          </cell>
          <cell r="D2006">
            <v>975.4098360655737</v>
          </cell>
          <cell r="E2006">
            <v>2926.2295081967213</v>
          </cell>
          <cell r="F2006">
            <v>1.7999999999999999E-2</v>
          </cell>
        </row>
        <row r="2007">
          <cell r="A2007" t="str">
            <v>51939-721LF</v>
          </cell>
          <cell r="B2007" t="str">
            <v>51939-721LF Connector,PBRAH</v>
          </cell>
          <cell r="C2007">
            <v>4.0000000000000001E-3</v>
          </cell>
          <cell r="D2007">
            <v>1487.5</v>
          </cell>
          <cell r="E2007">
            <v>4462.5</v>
          </cell>
          <cell r="F2007">
            <v>7.9000000000000001E-2</v>
          </cell>
        </row>
        <row r="2008">
          <cell r="A2008" t="str">
            <v>51939-722LF</v>
          </cell>
          <cell r="B2008" t="str">
            <v>51939-722LF PwrBlade RAH STB</v>
          </cell>
          <cell r="C2008">
            <v>2E-3</v>
          </cell>
          <cell r="D2008">
            <v>2975</v>
          </cell>
          <cell r="E2008">
            <v>8925</v>
          </cell>
          <cell r="F2008">
            <v>3.1E-2</v>
          </cell>
        </row>
        <row r="2009">
          <cell r="A2009" t="str">
            <v>51939-723LF</v>
          </cell>
          <cell r="B2009" t="str">
            <v>51939-723LF Connector,PBRAH</v>
          </cell>
          <cell r="C2009">
            <v>2E-3</v>
          </cell>
          <cell r="D2009">
            <v>2975</v>
          </cell>
          <cell r="E2009">
            <v>8925</v>
          </cell>
          <cell r="F2009">
            <v>2.7E-2</v>
          </cell>
        </row>
        <row r="2010">
          <cell r="A2010" t="str">
            <v>51939-725LF</v>
          </cell>
          <cell r="B2010" t="str">
            <v>51939-725LF PwrBlade RAH STB</v>
          </cell>
          <cell r="C2010">
            <v>2E-3</v>
          </cell>
          <cell r="D2010">
            <v>2975</v>
          </cell>
          <cell r="E2010">
            <v>8925</v>
          </cell>
          <cell r="F2010">
            <v>0.05</v>
          </cell>
        </row>
        <row r="2011">
          <cell r="A2011" t="str">
            <v>51939-727LF</v>
          </cell>
          <cell r="B2011" t="str">
            <v>51939-727LF Connector,PBRAH</v>
          </cell>
          <cell r="C2011">
            <v>2E-3</v>
          </cell>
          <cell r="D2011">
            <v>2975</v>
          </cell>
          <cell r="E2011">
            <v>8925</v>
          </cell>
          <cell r="F2011">
            <v>3.7999999999999999E-2</v>
          </cell>
        </row>
        <row r="2012">
          <cell r="A2012" t="str">
            <v>51939-730LF</v>
          </cell>
          <cell r="B2012" t="str">
            <v>51939-730LF Connector,PBRAH</v>
          </cell>
          <cell r="C2012">
            <v>2E-3</v>
          </cell>
          <cell r="D2012">
            <v>2975</v>
          </cell>
          <cell r="E2012">
            <v>8925</v>
          </cell>
          <cell r="F2012">
            <v>3.7999999999999999E-2</v>
          </cell>
        </row>
        <row r="2013">
          <cell r="A2013" t="str">
            <v>51939-731LF</v>
          </cell>
          <cell r="B2013" t="str">
            <v>51939-731LF Connector,PBRAH</v>
          </cell>
          <cell r="C2013">
            <v>2E-3</v>
          </cell>
          <cell r="D2013">
            <v>2975</v>
          </cell>
          <cell r="E2013">
            <v>8925</v>
          </cell>
          <cell r="F2013">
            <v>3.9E-2</v>
          </cell>
        </row>
        <row r="2014">
          <cell r="A2014" t="str">
            <v>51939-732LF</v>
          </cell>
          <cell r="B2014" t="str">
            <v>51939-732LF Connector,PBRAH</v>
          </cell>
          <cell r="C2014">
            <v>6.1000000000000004E-3</v>
          </cell>
          <cell r="D2014">
            <v>975.4098360655737</v>
          </cell>
          <cell r="E2014">
            <v>2926.2295081967213</v>
          </cell>
          <cell r="F2014">
            <v>1.6299999999999999E-2</v>
          </cell>
        </row>
        <row r="2015">
          <cell r="A2015" t="str">
            <v>51939-732NKLF</v>
          </cell>
          <cell r="B2015" t="str">
            <v>51939-732NKLF Connector,PBRAH</v>
          </cell>
          <cell r="C2015">
            <v>6.1000000000000004E-3</v>
          </cell>
          <cell r="D2015">
            <v>975.4098360655737</v>
          </cell>
          <cell r="E2015">
            <v>2926.2295081967213</v>
          </cell>
          <cell r="F2015">
            <v>1.47E-2</v>
          </cell>
        </row>
        <row r="2016">
          <cell r="A2016" t="str">
            <v>51939-734LF</v>
          </cell>
          <cell r="B2016" t="str">
            <v>51939-734LF Connector,PBRAH</v>
          </cell>
          <cell r="C2016">
            <v>2E-3</v>
          </cell>
          <cell r="D2016">
            <v>2975</v>
          </cell>
          <cell r="E2016">
            <v>8925</v>
          </cell>
          <cell r="F2016">
            <v>3.15E-2</v>
          </cell>
        </row>
        <row r="2017">
          <cell r="A2017" t="str">
            <v>51939-736LF</v>
          </cell>
          <cell r="B2017" t="str">
            <v>51939-736LF Connector,PBRAH</v>
          </cell>
          <cell r="C2017">
            <v>2E-3</v>
          </cell>
          <cell r="D2017">
            <v>2975</v>
          </cell>
          <cell r="E2017">
            <v>8925</v>
          </cell>
          <cell r="F2017">
            <v>2.8000000000000001E-2</v>
          </cell>
        </row>
        <row r="2018">
          <cell r="A2018" t="str">
            <v>51939-737LF</v>
          </cell>
          <cell r="B2018" t="str">
            <v>51939-737LF Connector,PBRAH</v>
          </cell>
          <cell r="C2018">
            <v>2E-3</v>
          </cell>
          <cell r="D2018">
            <v>2975</v>
          </cell>
          <cell r="E2018">
            <v>8925</v>
          </cell>
          <cell r="F2018">
            <v>3.5999999999999997E-2</v>
          </cell>
        </row>
        <row r="2019">
          <cell r="A2019" t="str">
            <v>51939-739LF</v>
          </cell>
          <cell r="B2019" t="str">
            <v>51939-739LF Connector,PBRAH</v>
          </cell>
          <cell r="C2019">
            <v>2E-3</v>
          </cell>
          <cell r="D2019">
            <v>2975</v>
          </cell>
          <cell r="E2019">
            <v>8925</v>
          </cell>
          <cell r="F2019">
            <v>3.6999999999999998E-2</v>
          </cell>
        </row>
        <row r="2020">
          <cell r="A2020" t="str">
            <v>51939-740LF</v>
          </cell>
          <cell r="B2020" t="str">
            <v>51939-740LF Connector,PBRAH</v>
          </cell>
          <cell r="C2020">
            <v>2E-3</v>
          </cell>
          <cell r="D2020">
            <v>2975</v>
          </cell>
          <cell r="E2020">
            <v>8925</v>
          </cell>
          <cell r="F2020">
            <v>4.2000000000000003E-2</v>
          </cell>
        </row>
        <row r="2021">
          <cell r="A2021" t="str">
            <v>51939-742LF</v>
          </cell>
          <cell r="B2021" t="str">
            <v>51939-742LF Connector,PBRAH</v>
          </cell>
          <cell r="C2021">
            <v>2E-3</v>
          </cell>
          <cell r="D2021">
            <v>2975</v>
          </cell>
          <cell r="E2021">
            <v>8925</v>
          </cell>
          <cell r="F2021">
            <v>2.7E-2</v>
          </cell>
        </row>
        <row r="2022">
          <cell r="A2022" t="str">
            <v>51939-744LF</v>
          </cell>
          <cell r="B2022" t="str">
            <v>51939-744LF Connector,PBRAH</v>
          </cell>
          <cell r="C2022">
            <v>6.1000000000000004E-3</v>
          </cell>
          <cell r="D2022">
            <v>975.4098360655737</v>
          </cell>
          <cell r="E2022">
            <v>2926.2295081967213</v>
          </cell>
          <cell r="F2022">
            <v>1.7999999999999999E-2</v>
          </cell>
        </row>
        <row r="2023">
          <cell r="A2023" t="str">
            <v>51939-747LF</v>
          </cell>
          <cell r="B2023" t="str">
            <v>51939-747LF Connector,PBRAH</v>
          </cell>
          <cell r="C2023">
            <v>2E-3</v>
          </cell>
          <cell r="D2023">
            <v>2975</v>
          </cell>
          <cell r="E2023">
            <v>8925</v>
          </cell>
          <cell r="F2023">
            <v>2.1999999999999999E-2</v>
          </cell>
        </row>
        <row r="2024">
          <cell r="A2024" t="str">
            <v>51939-748LF</v>
          </cell>
          <cell r="B2024" t="str">
            <v>51939-748LF Connector,PBRAH</v>
          </cell>
          <cell r="C2024">
            <v>6.1000000000000004E-3</v>
          </cell>
          <cell r="D2024">
            <v>975.4098360655737</v>
          </cell>
          <cell r="E2024">
            <v>2926.2295081967213</v>
          </cell>
          <cell r="F2024">
            <v>0.02</v>
          </cell>
        </row>
        <row r="2025">
          <cell r="A2025" t="str">
            <v>51939-751LF</v>
          </cell>
          <cell r="B2025" t="str">
            <v>51939-751LF Connector,PBRAH</v>
          </cell>
          <cell r="C2025">
            <v>6.1000000000000004E-3</v>
          </cell>
          <cell r="D2025">
            <v>975.4098360655737</v>
          </cell>
          <cell r="E2025">
            <v>2926.2295081967213</v>
          </cell>
          <cell r="F2025">
            <v>1.24E-2</v>
          </cell>
        </row>
        <row r="2026">
          <cell r="A2026" t="str">
            <v>51939-751NPPLF</v>
          </cell>
          <cell r="B2026" t="str">
            <v>51939-751NPPLF Connector,PBRAH</v>
          </cell>
          <cell r="C2026">
            <v>6.1000000000000004E-3</v>
          </cell>
          <cell r="D2026">
            <v>975.4098360655737</v>
          </cell>
          <cell r="E2026">
            <v>2926.2295081967213</v>
          </cell>
          <cell r="F2026">
            <v>1.4999999999999999E-2</v>
          </cell>
        </row>
        <row r="2027">
          <cell r="A2027" t="str">
            <v>51939-753LF</v>
          </cell>
          <cell r="B2027" t="str">
            <v>51939-753LF Connector,PBRAH</v>
          </cell>
          <cell r="C2027">
            <v>2E-3</v>
          </cell>
          <cell r="D2027">
            <v>2975</v>
          </cell>
          <cell r="E2027">
            <v>8925</v>
          </cell>
          <cell r="F2027">
            <v>3.5000000000000003E-2</v>
          </cell>
        </row>
        <row r="2028">
          <cell r="A2028" t="str">
            <v>51939-754LF</v>
          </cell>
          <cell r="B2028" t="str">
            <v>51939-754LF PwrBlade RAH PF</v>
          </cell>
          <cell r="C2028">
            <v>6.1000000000000004E-3</v>
          </cell>
          <cell r="D2028">
            <v>975.4098360655737</v>
          </cell>
          <cell r="E2028">
            <v>2926.2295081967213</v>
          </cell>
          <cell r="F2028">
            <v>1.4999999999999999E-2</v>
          </cell>
        </row>
        <row r="2029">
          <cell r="A2029" t="str">
            <v>51939-757LF</v>
          </cell>
          <cell r="B2029" t="str">
            <v>51939-757LF Connector,PBRAH</v>
          </cell>
          <cell r="C2029">
            <v>2E-3</v>
          </cell>
          <cell r="D2029">
            <v>2975</v>
          </cell>
          <cell r="E2029">
            <v>8925</v>
          </cell>
          <cell r="F2029">
            <v>2.1999999999999999E-2</v>
          </cell>
        </row>
        <row r="2030">
          <cell r="A2030" t="str">
            <v>51939-758LF</v>
          </cell>
          <cell r="B2030" t="str">
            <v>51939-758LF Connector,PBRAH</v>
          </cell>
          <cell r="C2030">
            <v>3.0000000000000001E-3</v>
          </cell>
          <cell r="D2030">
            <v>1983.3333333333333</v>
          </cell>
          <cell r="E2030">
            <v>5950</v>
          </cell>
          <cell r="F2030">
            <v>4.8000000000000001E-2</v>
          </cell>
        </row>
        <row r="2031">
          <cell r="A2031" t="str">
            <v>51939-759LF</v>
          </cell>
          <cell r="B2031" t="str">
            <v>51939-759LF Connector,PBRAH</v>
          </cell>
          <cell r="C2031">
            <v>2E-3</v>
          </cell>
          <cell r="D2031">
            <v>2975</v>
          </cell>
          <cell r="E2031">
            <v>8925</v>
          </cell>
          <cell r="F2031">
            <v>2.4E-2</v>
          </cell>
        </row>
        <row r="2032">
          <cell r="A2032" t="str">
            <v>51939-760LF</v>
          </cell>
          <cell r="B2032" t="str">
            <v>51939-760LF Connector,PBRAH</v>
          </cell>
          <cell r="C2032">
            <v>2E-3</v>
          </cell>
          <cell r="D2032">
            <v>2975</v>
          </cell>
          <cell r="E2032">
            <v>8925</v>
          </cell>
          <cell r="F2032">
            <v>2.4E-2</v>
          </cell>
        </row>
        <row r="2033">
          <cell r="A2033" t="str">
            <v>51939-761LF</v>
          </cell>
          <cell r="B2033" t="str">
            <v>51939-761LF Connector,PBRAH</v>
          </cell>
          <cell r="C2033">
            <v>2E-3</v>
          </cell>
          <cell r="D2033">
            <v>2975</v>
          </cell>
          <cell r="E2033">
            <v>8925</v>
          </cell>
          <cell r="F2033">
            <v>3.4000000000000002E-2</v>
          </cell>
        </row>
        <row r="2034">
          <cell r="A2034" t="str">
            <v>51939-765LF</v>
          </cell>
          <cell r="B2034" t="str">
            <v>51939-765LF Connector,PBRAH</v>
          </cell>
          <cell r="C2034">
            <v>3.0000000000000001E-3</v>
          </cell>
          <cell r="D2034">
            <v>1983.3333333333333</v>
          </cell>
          <cell r="E2034">
            <v>5950</v>
          </cell>
          <cell r="F2034">
            <v>5.6000000000000001E-2</v>
          </cell>
        </row>
        <row r="2035">
          <cell r="A2035" t="str">
            <v>51939-766LF</v>
          </cell>
          <cell r="B2035" t="str">
            <v>51939-766LF Connector,PBRAH</v>
          </cell>
          <cell r="C2035">
            <v>3.0000000000000001E-3</v>
          </cell>
          <cell r="D2035">
            <v>1983.3333333333333</v>
          </cell>
          <cell r="E2035">
            <v>5950</v>
          </cell>
          <cell r="F2035">
            <v>5.2499999999999998E-2</v>
          </cell>
        </row>
        <row r="2036">
          <cell r="A2036" t="str">
            <v>51939-767LF</v>
          </cell>
          <cell r="B2036" t="str">
            <v>51939-767LF Connector,PBRAH</v>
          </cell>
          <cell r="C2036">
            <v>3.0000000000000001E-3</v>
          </cell>
          <cell r="D2036">
            <v>1983.3333333333333</v>
          </cell>
          <cell r="E2036">
            <v>5950</v>
          </cell>
          <cell r="F2036">
            <v>5.5E-2</v>
          </cell>
        </row>
        <row r="2037">
          <cell r="A2037" t="str">
            <v>51939-770LF</v>
          </cell>
          <cell r="B2037" t="str">
            <v>51939-770LF Connector,PBRAH</v>
          </cell>
          <cell r="C2037">
            <v>2E-3</v>
          </cell>
          <cell r="D2037">
            <v>2975</v>
          </cell>
          <cell r="E2037">
            <v>8925</v>
          </cell>
          <cell r="F2037">
            <v>3.1E-2</v>
          </cell>
        </row>
        <row r="2038">
          <cell r="A2038" t="str">
            <v>51939-779LF</v>
          </cell>
          <cell r="B2038" t="str">
            <v>51939-779LF Connector,PBRAH</v>
          </cell>
          <cell r="C2038">
            <v>2E-3</v>
          </cell>
          <cell r="D2038">
            <v>2975</v>
          </cell>
          <cell r="E2038">
            <v>8925</v>
          </cell>
          <cell r="F2038">
            <v>4.3999999999999997E-2</v>
          </cell>
        </row>
        <row r="2039">
          <cell r="A2039" t="str">
            <v>51939-780LF</v>
          </cell>
          <cell r="B2039" t="str">
            <v>51939-780LF Connector,PBRAH</v>
          </cell>
          <cell r="C2039">
            <v>2E-3</v>
          </cell>
          <cell r="D2039">
            <v>2975</v>
          </cell>
          <cell r="E2039">
            <v>8925</v>
          </cell>
          <cell r="F2039">
            <v>3.2000000000000001E-2</v>
          </cell>
        </row>
        <row r="2040">
          <cell r="A2040" t="str">
            <v>51939-783LF</v>
          </cell>
          <cell r="B2040" t="str">
            <v>51939-783LF Connector,PBRAH</v>
          </cell>
          <cell r="C2040">
            <v>2E-3</v>
          </cell>
          <cell r="D2040">
            <v>2975</v>
          </cell>
          <cell r="E2040">
            <v>8925</v>
          </cell>
          <cell r="F2040">
            <v>2.4E-2</v>
          </cell>
        </row>
        <row r="2041">
          <cell r="A2041" t="str">
            <v>51939-784LF</v>
          </cell>
          <cell r="B2041" t="str">
            <v>51939-784LF PwrBlade RAH STB</v>
          </cell>
          <cell r="C2041">
            <v>6.1000000000000004E-3</v>
          </cell>
          <cell r="D2041">
            <v>975.4098360655737</v>
          </cell>
          <cell r="E2041">
            <v>2926.2295081967213</v>
          </cell>
          <cell r="F2041">
            <v>6.5000000000000002E-2</v>
          </cell>
        </row>
        <row r="2042">
          <cell r="A2042" t="str">
            <v>51939-785LF</v>
          </cell>
          <cell r="B2042" t="str">
            <v>51939-785LF PwrBlade RAH STB</v>
          </cell>
          <cell r="C2042" t="e">
            <v>#N/A</v>
          </cell>
          <cell r="D2042" t="e">
            <v>#N/A</v>
          </cell>
          <cell r="E2042" t="e">
            <v>#N/A</v>
          </cell>
          <cell r="F2042">
            <v>2.5000000000000001E-2</v>
          </cell>
        </row>
        <row r="2043">
          <cell r="A2043" t="str">
            <v>51939-786LF</v>
          </cell>
          <cell r="B2043" t="str">
            <v>51939-786LF PwrBlade RAH STB</v>
          </cell>
          <cell r="C2043">
            <v>2E-3</v>
          </cell>
          <cell r="D2043">
            <v>2975</v>
          </cell>
          <cell r="E2043">
            <v>8925</v>
          </cell>
          <cell r="F2043">
            <v>3.3000000000000002E-2</v>
          </cell>
        </row>
        <row r="2044">
          <cell r="A2044" t="str">
            <v>51939-787LF</v>
          </cell>
          <cell r="B2044" t="str">
            <v>51939-787LF Connector,PBRAH</v>
          </cell>
          <cell r="C2044">
            <v>3.0000000000000001E-3</v>
          </cell>
          <cell r="D2044">
            <v>1983.3333333333333</v>
          </cell>
          <cell r="E2044">
            <v>5950</v>
          </cell>
          <cell r="F2044">
            <v>5.1299999999999998E-2</v>
          </cell>
        </row>
        <row r="2045">
          <cell r="A2045" t="str">
            <v>51939-789LF</v>
          </cell>
          <cell r="B2045" t="str">
            <v>51939-789LF Connector,PBRAH</v>
          </cell>
          <cell r="C2045">
            <v>2E-3</v>
          </cell>
          <cell r="D2045">
            <v>2975</v>
          </cell>
          <cell r="E2045">
            <v>8925</v>
          </cell>
          <cell r="F2045">
            <v>2.5999999999999999E-2</v>
          </cell>
        </row>
        <row r="2046">
          <cell r="A2046" t="str">
            <v>51939-790LF</v>
          </cell>
          <cell r="B2046" t="str">
            <v>51939-790LF Connector,PBRAH</v>
          </cell>
          <cell r="C2046">
            <v>2E-3</v>
          </cell>
          <cell r="D2046">
            <v>2975</v>
          </cell>
          <cell r="E2046">
            <v>8925</v>
          </cell>
          <cell r="F2046">
            <v>2.7E-2</v>
          </cell>
        </row>
        <row r="2047">
          <cell r="A2047" t="str">
            <v>51939-792LF</v>
          </cell>
          <cell r="B2047" t="str">
            <v>51939-792LF Connector,PBRAH</v>
          </cell>
          <cell r="C2047">
            <v>2E-3</v>
          </cell>
          <cell r="D2047">
            <v>2975</v>
          </cell>
          <cell r="E2047">
            <v>8925</v>
          </cell>
          <cell r="F2047">
            <v>3.7400000000000003E-2</v>
          </cell>
        </row>
        <row r="2048">
          <cell r="A2048" t="str">
            <v>51939-796LF</v>
          </cell>
          <cell r="B2048" t="str">
            <v>51939-796LF Connector,PBRAH</v>
          </cell>
          <cell r="C2048">
            <v>4.0000000000000001E-3</v>
          </cell>
          <cell r="D2048">
            <v>1487.5</v>
          </cell>
          <cell r="E2048">
            <v>4462.5</v>
          </cell>
          <cell r="F2048">
            <v>6.8000000000000005E-2</v>
          </cell>
        </row>
        <row r="2049">
          <cell r="A2049" t="str">
            <v>51939-798LF</v>
          </cell>
          <cell r="B2049" t="str">
            <v>51939-798LF Connector,PBRAH</v>
          </cell>
          <cell r="C2049">
            <v>2E-3</v>
          </cell>
          <cell r="D2049">
            <v>2975</v>
          </cell>
          <cell r="E2049">
            <v>8925</v>
          </cell>
          <cell r="F2049">
            <v>2.8000000000000001E-2</v>
          </cell>
        </row>
        <row r="2050">
          <cell r="A2050" t="str">
            <v>51939-802LF</v>
          </cell>
          <cell r="B2050" t="str">
            <v>51939-802LF Connector,PBRAH</v>
          </cell>
          <cell r="C2050">
            <v>2E-3</v>
          </cell>
          <cell r="D2050">
            <v>2975</v>
          </cell>
          <cell r="E2050">
            <v>8925</v>
          </cell>
          <cell r="F2050">
            <v>2.7E-2</v>
          </cell>
        </row>
        <row r="2051">
          <cell r="A2051" t="str">
            <v>51939-803LF</v>
          </cell>
          <cell r="B2051" t="str">
            <v>51939-803LF Connector,PBRAH</v>
          </cell>
          <cell r="C2051">
            <v>2E-3</v>
          </cell>
          <cell r="D2051">
            <v>2975</v>
          </cell>
          <cell r="E2051">
            <v>8925</v>
          </cell>
          <cell r="F2051">
            <v>4.2000000000000003E-2</v>
          </cell>
        </row>
        <row r="2052">
          <cell r="A2052" t="str">
            <v>51939-804LF</v>
          </cell>
          <cell r="B2052" t="str">
            <v>51939-804LF Connector,PBRAH</v>
          </cell>
          <cell r="C2052">
            <v>4.0000000000000001E-3</v>
          </cell>
          <cell r="D2052">
            <v>1487.5</v>
          </cell>
          <cell r="E2052">
            <v>4462.5</v>
          </cell>
          <cell r="F2052">
            <v>6.8000000000000005E-2</v>
          </cell>
        </row>
        <row r="2053">
          <cell r="A2053" t="str">
            <v>51939-805LF</v>
          </cell>
          <cell r="B2053" t="str">
            <v>51939-805LF Connector,PBRAH</v>
          </cell>
          <cell r="C2053">
            <v>2E-3</v>
          </cell>
          <cell r="D2053">
            <v>2975</v>
          </cell>
          <cell r="E2053">
            <v>8925</v>
          </cell>
          <cell r="F2053">
            <v>2.1999999999999999E-2</v>
          </cell>
        </row>
        <row r="2054">
          <cell r="A2054" t="str">
            <v>51939-807LF</v>
          </cell>
          <cell r="B2054" t="str">
            <v>51939-807LF Connector,PBRAH</v>
          </cell>
          <cell r="C2054">
            <v>2E-3</v>
          </cell>
          <cell r="D2054">
            <v>2975</v>
          </cell>
          <cell r="E2054">
            <v>8925</v>
          </cell>
          <cell r="F2054">
            <v>2.8000000000000001E-2</v>
          </cell>
        </row>
        <row r="2055">
          <cell r="A2055" t="str">
            <v>51939-810LF</v>
          </cell>
          <cell r="B2055" t="str">
            <v>51939-810LF PwrBlade RAH STB</v>
          </cell>
          <cell r="C2055">
            <v>2E-3</v>
          </cell>
          <cell r="D2055">
            <v>2975</v>
          </cell>
          <cell r="E2055">
            <v>8925</v>
          </cell>
          <cell r="F2055">
            <v>2.9000000000000001E-2</v>
          </cell>
        </row>
        <row r="2056">
          <cell r="A2056" t="str">
            <v>51939-812LF</v>
          </cell>
          <cell r="B2056" t="str">
            <v>51939-812LF Connector,PBRAH</v>
          </cell>
          <cell r="C2056">
            <v>2E-3</v>
          </cell>
          <cell r="D2056">
            <v>2975</v>
          </cell>
          <cell r="E2056">
            <v>8925</v>
          </cell>
          <cell r="F2056">
            <v>4.9000000000000002E-2</v>
          </cell>
        </row>
        <row r="2057">
          <cell r="A2057" t="str">
            <v>51939-814NSPLF</v>
          </cell>
          <cell r="B2057" t="str">
            <v>51939-814NSPLF PwrBlade RAH PF</v>
          </cell>
          <cell r="C2057">
            <v>2E-3</v>
          </cell>
          <cell r="D2057">
            <v>2975</v>
          </cell>
          <cell r="E2057">
            <v>8925</v>
          </cell>
          <cell r="F2057">
            <v>2.9000000000000001E-2</v>
          </cell>
        </row>
        <row r="2058">
          <cell r="A2058" t="str">
            <v>51939-815LF</v>
          </cell>
          <cell r="B2058" t="str">
            <v>51939-815LF PwrBlade RAH STB</v>
          </cell>
          <cell r="C2058">
            <v>2E-3</v>
          </cell>
          <cell r="D2058">
            <v>2975</v>
          </cell>
          <cell r="E2058">
            <v>8925</v>
          </cell>
          <cell r="F2058">
            <v>3.2000000000000001E-2</v>
          </cell>
        </row>
        <row r="2059">
          <cell r="A2059" t="str">
            <v>51939-816LF</v>
          </cell>
          <cell r="B2059" t="str">
            <v>51939-816LF Connector,PBRAH</v>
          </cell>
          <cell r="C2059">
            <v>2E-3</v>
          </cell>
          <cell r="D2059">
            <v>2975</v>
          </cell>
          <cell r="E2059">
            <v>8925</v>
          </cell>
          <cell r="F2059">
            <v>2.9000000000000001E-2</v>
          </cell>
        </row>
        <row r="2060">
          <cell r="A2060" t="str">
            <v>51939-820LF</v>
          </cell>
          <cell r="B2060" t="str">
            <v>51939-820LF Connector,PBRAH</v>
          </cell>
          <cell r="C2060">
            <v>2E-3</v>
          </cell>
          <cell r="D2060">
            <v>2975</v>
          </cell>
          <cell r="E2060">
            <v>8925</v>
          </cell>
          <cell r="F2060">
            <v>3.7999999999999999E-2</v>
          </cell>
        </row>
        <row r="2061">
          <cell r="A2061" t="str">
            <v>51939-822LF</v>
          </cell>
          <cell r="B2061" t="str">
            <v>51939-822LF Connector,PBRAH</v>
          </cell>
          <cell r="C2061">
            <v>2E-3</v>
          </cell>
          <cell r="D2061">
            <v>2975</v>
          </cell>
          <cell r="E2061">
            <v>8925</v>
          </cell>
          <cell r="F2061">
            <v>4.4999999999999998E-2</v>
          </cell>
        </row>
        <row r="2062">
          <cell r="A2062" t="str">
            <v>51939-824LF</v>
          </cell>
          <cell r="B2062" t="str">
            <v>51939-824LF Connector,PBRAH</v>
          </cell>
          <cell r="C2062">
            <v>6.1000000000000004E-3</v>
          </cell>
          <cell r="D2062">
            <v>975.4098360655737</v>
          </cell>
          <cell r="E2062">
            <v>2926.2295081967213</v>
          </cell>
          <cell r="F2062">
            <v>2.8000000000000001E-2</v>
          </cell>
        </row>
        <row r="2063">
          <cell r="A2063" t="str">
            <v>51939-826LF</v>
          </cell>
          <cell r="B2063" t="str">
            <v>51939-826LF Connector,PBRAH</v>
          </cell>
          <cell r="C2063">
            <v>2E-3</v>
          </cell>
          <cell r="D2063">
            <v>2975</v>
          </cell>
          <cell r="E2063">
            <v>8925</v>
          </cell>
          <cell r="F2063">
            <v>3.6999999999999998E-2</v>
          </cell>
        </row>
        <row r="2064">
          <cell r="A2064" t="str">
            <v>51939-829LF</v>
          </cell>
          <cell r="B2064" t="str">
            <v>51939-829LF Connector,PBRAH</v>
          </cell>
          <cell r="C2064">
            <v>2E-3</v>
          </cell>
          <cell r="D2064">
            <v>2975</v>
          </cell>
          <cell r="E2064">
            <v>8925</v>
          </cell>
          <cell r="F2064">
            <v>3.6999999999999998E-2</v>
          </cell>
        </row>
        <row r="2065">
          <cell r="A2065" t="str">
            <v>51939-830LF</v>
          </cell>
          <cell r="B2065" t="str">
            <v>51939-830LF Connector,PBRAH</v>
          </cell>
          <cell r="C2065">
            <v>2E-3</v>
          </cell>
          <cell r="D2065">
            <v>2975</v>
          </cell>
          <cell r="E2065">
            <v>8925</v>
          </cell>
          <cell r="F2065">
            <v>2.7E-2</v>
          </cell>
        </row>
        <row r="2066">
          <cell r="A2066" t="str">
            <v>51939-833LF</v>
          </cell>
          <cell r="B2066" t="str">
            <v>51939-833LF Connector,PBRAH</v>
          </cell>
          <cell r="C2066">
            <v>2E-3</v>
          </cell>
          <cell r="D2066">
            <v>2975</v>
          </cell>
          <cell r="E2066">
            <v>8925</v>
          </cell>
          <cell r="F2066">
            <v>2.1999999999999999E-2</v>
          </cell>
        </row>
        <row r="2067">
          <cell r="A2067" t="str">
            <v>51939-834LF</v>
          </cell>
          <cell r="B2067" t="str">
            <v>51939-834LF PwrBlade RAH</v>
          </cell>
          <cell r="C2067">
            <v>5.0000000000000001E-3</v>
          </cell>
          <cell r="D2067">
            <v>1190</v>
          </cell>
          <cell r="E2067">
            <v>3570</v>
          </cell>
          <cell r="F2067">
            <v>2.1984119999999999E-2</v>
          </cell>
        </row>
        <row r="2068">
          <cell r="A2068" t="str">
            <v>51939-835LF</v>
          </cell>
          <cell r="B2068" t="str">
            <v>51939-835LF Connector,PBRAH</v>
          </cell>
          <cell r="C2068">
            <v>2E-3</v>
          </cell>
          <cell r="D2068">
            <v>2975</v>
          </cell>
          <cell r="E2068">
            <v>8925</v>
          </cell>
          <cell r="F2068">
            <v>4.3999999999999997E-2</v>
          </cell>
        </row>
        <row r="2069">
          <cell r="A2069" t="str">
            <v>51939-838LF</v>
          </cell>
          <cell r="B2069" t="str">
            <v>51939-838LF Connector,PBRAH</v>
          </cell>
          <cell r="C2069">
            <v>2E-3</v>
          </cell>
          <cell r="D2069">
            <v>2975</v>
          </cell>
          <cell r="E2069">
            <v>8925</v>
          </cell>
          <cell r="F2069">
            <v>3.5999999999999997E-2</v>
          </cell>
        </row>
        <row r="2070">
          <cell r="A2070" t="str">
            <v>51939-841LF</v>
          </cell>
          <cell r="B2070" t="str">
            <v>51939-841LF Connector,PBRAH</v>
          </cell>
          <cell r="C2070">
            <v>6.1000000000000004E-3</v>
          </cell>
          <cell r="D2070">
            <v>975.4098360655737</v>
          </cell>
          <cell r="E2070">
            <v>2926.2295081967213</v>
          </cell>
          <cell r="F2070">
            <v>1.7600000000000001E-2</v>
          </cell>
        </row>
        <row r="2071">
          <cell r="A2071" t="str">
            <v>51939-842LF</v>
          </cell>
          <cell r="B2071" t="str">
            <v>51939-842LF Connector,PBRAH</v>
          </cell>
          <cell r="C2071">
            <v>4.0000000000000001E-3</v>
          </cell>
          <cell r="D2071">
            <v>1487.5</v>
          </cell>
          <cell r="E2071">
            <v>4462.5</v>
          </cell>
          <cell r="F2071">
            <v>5.1999999999999998E-2</v>
          </cell>
        </row>
        <row r="2072">
          <cell r="A2072" t="str">
            <v>51939-843LF</v>
          </cell>
          <cell r="B2072" t="str">
            <v>51939-843LF Connector,PBRAH</v>
          </cell>
          <cell r="C2072">
            <v>6.1000000000000004E-3</v>
          </cell>
          <cell r="D2072">
            <v>975.4098360655737</v>
          </cell>
          <cell r="E2072">
            <v>2926.2295081967213</v>
          </cell>
          <cell r="F2072">
            <v>1.7000000000000001E-2</v>
          </cell>
        </row>
        <row r="2073">
          <cell r="A2073" t="str">
            <v>51939-845LF</v>
          </cell>
          <cell r="B2073" t="str">
            <v>51939-845LF Connector,PBRAH</v>
          </cell>
          <cell r="C2073">
            <v>2E-3</v>
          </cell>
          <cell r="D2073">
            <v>2975</v>
          </cell>
          <cell r="E2073">
            <v>8925</v>
          </cell>
          <cell r="F2073">
            <v>2.9000000000000001E-2</v>
          </cell>
        </row>
        <row r="2074">
          <cell r="A2074" t="str">
            <v>51939-846LF</v>
          </cell>
          <cell r="B2074" t="str">
            <v>51939-846LF Connector,PBRAH</v>
          </cell>
          <cell r="C2074">
            <v>6.1000000000000004E-3</v>
          </cell>
          <cell r="D2074">
            <v>975.4098360655737</v>
          </cell>
          <cell r="E2074">
            <v>2926.2295081967213</v>
          </cell>
          <cell r="F2074">
            <v>1.7000000000000001E-2</v>
          </cell>
        </row>
        <row r="2075">
          <cell r="A2075" t="str">
            <v>51939-847LF</v>
          </cell>
          <cell r="B2075" t="str">
            <v>51939-847LF Connector,PBRAH</v>
          </cell>
          <cell r="C2075">
            <v>2E-3</v>
          </cell>
          <cell r="D2075">
            <v>2975</v>
          </cell>
          <cell r="E2075">
            <v>8925</v>
          </cell>
          <cell r="F2075">
            <v>3.5000000000000003E-2</v>
          </cell>
        </row>
        <row r="2076">
          <cell r="A2076" t="str">
            <v>51939-848LF</v>
          </cell>
          <cell r="B2076" t="str">
            <v>51939-848LF PwrBlade RAH STB</v>
          </cell>
          <cell r="C2076">
            <v>2E-3</v>
          </cell>
          <cell r="D2076">
            <v>2975</v>
          </cell>
          <cell r="E2076">
            <v>8925</v>
          </cell>
          <cell r="F2076">
            <v>2.1100000000000001E-2</v>
          </cell>
        </row>
        <row r="2077">
          <cell r="A2077" t="str">
            <v>51939-849LF</v>
          </cell>
          <cell r="B2077" t="str">
            <v>51939-849LF Connector,PBRAH</v>
          </cell>
          <cell r="C2077">
            <v>2E-3</v>
          </cell>
          <cell r="D2077">
            <v>2975</v>
          </cell>
          <cell r="E2077">
            <v>8925</v>
          </cell>
          <cell r="F2077">
            <v>3.9E-2</v>
          </cell>
        </row>
        <row r="2078">
          <cell r="A2078" t="str">
            <v>51939-850LF</v>
          </cell>
          <cell r="B2078" t="str">
            <v>51939-850LF Connector,PBRAH</v>
          </cell>
          <cell r="C2078">
            <v>2E-3</v>
          </cell>
          <cell r="D2078">
            <v>2975</v>
          </cell>
          <cell r="E2078">
            <v>8925</v>
          </cell>
          <cell r="F2078">
            <v>2.9000000000000001E-2</v>
          </cell>
        </row>
        <row r="2079">
          <cell r="A2079" t="str">
            <v>51939-851LF</v>
          </cell>
          <cell r="B2079" t="str">
            <v>51939-851LF Connector,PBRAH</v>
          </cell>
          <cell r="C2079">
            <v>4.0000000000000001E-3</v>
          </cell>
          <cell r="D2079">
            <v>1487.5</v>
          </cell>
          <cell r="E2079">
            <v>4462.5</v>
          </cell>
          <cell r="F2079">
            <v>0.04</v>
          </cell>
        </row>
        <row r="2080">
          <cell r="A2080" t="str">
            <v>51939-853LF</v>
          </cell>
          <cell r="B2080" t="str">
            <v>51939-853LF Connector,PBRAH</v>
          </cell>
          <cell r="C2080">
            <v>2E-3</v>
          </cell>
          <cell r="D2080">
            <v>2975</v>
          </cell>
          <cell r="E2080">
            <v>8925</v>
          </cell>
          <cell r="F2080">
            <v>3.1E-2</v>
          </cell>
        </row>
        <row r="2081">
          <cell r="A2081" t="str">
            <v>51939-857LF</v>
          </cell>
          <cell r="B2081" t="str">
            <v>51939-857LF Connector,PBRAH</v>
          </cell>
          <cell r="C2081">
            <v>2E-3</v>
          </cell>
          <cell r="D2081">
            <v>2975</v>
          </cell>
          <cell r="E2081">
            <v>8925</v>
          </cell>
          <cell r="F2081">
            <v>2.5999999999999999E-2</v>
          </cell>
        </row>
        <row r="2082">
          <cell r="A2082" t="str">
            <v>51939-861LF</v>
          </cell>
          <cell r="B2082" t="str">
            <v>51939-861LF Connector,PBRAH</v>
          </cell>
          <cell r="C2082">
            <v>2E-3</v>
          </cell>
          <cell r="D2082">
            <v>2975</v>
          </cell>
          <cell r="E2082">
            <v>8925</v>
          </cell>
          <cell r="F2082">
            <v>3.9E-2</v>
          </cell>
        </row>
        <row r="2083">
          <cell r="A2083" t="str">
            <v>51939-862LF</v>
          </cell>
          <cell r="B2083" t="str">
            <v>51939-862LF Connector,PBRAH</v>
          </cell>
          <cell r="C2083">
            <v>2E-3</v>
          </cell>
          <cell r="D2083">
            <v>2975</v>
          </cell>
          <cell r="E2083">
            <v>8925</v>
          </cell>
          <cell r="F2083">
            <v>2.7E-2</v>
          </cell>
        </row>
        <row r="2084">
          <cell r="A2084" t="str">
            <v>51939-863LF</v>
          </cell>
          <cell r="B2084" t="str">
            <v>51939-863LF Connector,PBRAH</v>
          </cell>
          <cell r="C2084">
            <v>2E-3</v>
          </cell>
          <cell r="D2084">
            <v>2975</v>
          </cell>
          <cell r="E2084">
            <v>8925</v>
          </cell>
          <cell r="F2084">
            <v>2.7E-2</v>
          </cell>
        </row>
        <row r="2085">
          <cell r="A2085" t="str">
            <v>51939-864LF</v>
          </cell>
          <cell r="B2085" t="str">
            <v>51939-864LF PWR BLADE</v>
          </cell>
          <cell r="C2085">
            <v>2E-3</v>
          </cell>
          <cell r="D2085">
            <v>2975</v>
          </cell>
          <cell r="E2085">
            <v>8925</v>
          </cell>
          <cell r="F2085">
            <v>2.0799999999999999E-2</v>
          </cell>
        </row>
        <row r="2086">
          <cell r="A2086" t="str">
            <v>51939-865LF</v>
          </cell>
          <cell r="B2086" t="str">
            <v>51939-865LF Connector,PBRAH</v>
          </cell>
          <cell r="C2086">
            <v>6.1000000000000004E-3</v>
          </cell>
          <cell r="D2086">
            <v>975.4098360655737</v>
          </cell>
          <cell r="E2086">
            <v>2926.2295081967213</v>
          </cell>
          <cell r="F2086">
            <v>6.5000000000000002E-2</v>
          </cell>
        </row>
        <row r="2087">
          <cell r="A2087" t="str">
            <v>51939-866LF</v>
          </cell>
          <cell r="B2087" t="str">
            <v>51939-866LF Connector,PBRAH</v>
          </cell>
          <cell r="C2087">
            <v>6.1000000000000004E-3</v>
          </cell>
          <cell r="D2087">
            <v>975.4098360655737</v>
          </cell>
          <cell r="E2087">
            <v>2926.2295081967213</v>
          </cell>
          <cell r="F2087">
            <v>1.7999999999999999E-2</v>
          </cell>
        </row>
        <row r="2088">
          <cell r="A2088" t="str">
            <v>51939-868LF</v>
          </cell>
          <cell r="B2088" t="str">
            <v>51939-868LF Connector,PBRAH</v>
          </cell>
          <cell r="C2088">
            <v>2E-3</v>
          </cell>
          <cell r="D2088">
            <v>2975</v>
          </cell>
          <cell r="E2088">
            <v>8925</v>
          </cell>
          <cell r="F2088">
            <v>4.5999999999999999E-2</v>
          </cell>
        </row>
        <row r="2089">
          <cell r="A2089" t="str">
            <v>51939-869LF</v>
          </cell>
          <cell r="B2089" t="str">
            <v>51939-869LF Connector,PBRAH</v>
          </cell>
          <cell r="C2089">
            <v>4.0000000000000001E-3</v>
          </cell>
          <cell r="D2089">
            <v>1487.5</v>
          </cell>
          <cell r="E2089">
            <v>4462.5</v>
          </cell>
          <cell r="F2089">
            <v>6.5000000000000002E-2</v>
          </cell>
        </row>
        <row r="2090">
          <cell r="A2090" t="str">
            <v>51939-881NSPLF</v>
          </cell>
          <cell r="B2090" t="str">
            <v>51939-881NSPLF PwrBlade RAH PF</v>
          </cell>
          <cell r="C2090">
            <v>2E-3</v>
          </cell>
          <cell r="D2090">
            <v>2975</v>
          </cell>
          <cell r="E2090">
            <v>8925</v>
          </cell>
          <cell r="F2090">
            <v>2.9000000000000001E-2</v>
          </cell>
        </row>
        <row r="2091">
          <cell r="A2091" t="str">
            <v>51939-882LF</v>
          </cell>
          <cell r="B2091" t="str">
            <v>51939-882LF Connector,PBRAH</v>
          </cell>
          <cell r="C2091">
            <v>2E-3</v>
          </cell>
          <cell r="D2091">
            <v>2975</v>
          </cell>
          <cell r="E2091">
            <v>8925</v>
          </cell>
          <cell r="F2091">
            <v>4.1000000000000002E-2</v>
          </cell>
        </row>
        <row r="2092">
          <cell r="A2092" t="str">
            <v>51939-883NSPLF</v>
          </cell>
          <cell r="B2092" t="str">
            <v>51939-883NSPLF PwrBlade RAH PF</v>
          </cell>
          <cell r="C2092">
            <v>2E-3</v>
          </cell>
          <cell r="D2092">
            <v>2975</v>
          </cell>
          <cell r="E2092">
            <v>8925</v>
          </cell>
          <cell r="F2092">
            <v>2.7E-2</v>
          </cell>
        </row>
        <row r="2093">
          <cell r="A2093" t="str">
            <v>51939-884LF</v>
          </cell>
          <cell r="B2093" t="str">
            <v>51939-884LF Connector,PBRAH</v>
          </cell>
          <cell r="C2093">
            <v>6.1000000000000004E-3</v>
          </cell>
          <cell r="D2093">
            <v>975.4098360655737</v>
          </cell>
          <cell r="E2093">
            <v>2926.2295081967213</v>
          </cell>
          <cell r="F2093">
            <v>3.5999999999999997E-2</v>
          </cell>
        </row>
        <row r="2094">
          <cell r="A2094" t="str">
            <v>51939-888LF</v>
          </cell>
          <cell r="B2094" t="str">
            <v>51939-888LF Connector,PBRAH</v>
          </cell>
          <cell r="C2094">
            <v>2E-3</v>
          </cell>
          <cell r="D2094">
            <v>2975</v>
          </cell>
          <cell r="E2094">
            <v>8925</v>
          </cell>
          <cell r="F2094">
            <v>4.2000000000000003E-2</v>
          </cell>
        </row>
        <row r="2095">
          <cell r="A2095" t="str">
            <v>51939-889LF</v>
          </cell>
          <cell r="B2095" t="str">
            <v>51939-889LF Connector,PBRAH</v>
          </cell>
          <cell r="C2095">
            <v>6.1000000000000004E-3</v>
          </cell>
          <cell r="D2095">
            <v>975.4098360655737</v>
          </cell>
          <cell r="E2095">
            <v>2926.2295081967213</v>
          </cell>
          <cell r="F2095">
            <v>0.02</v>
          </cell>
        </row>
        <row r="2096">
          <cell r="A2096" t="str">
            <v>51939-890LF</v>
          </cell>
          <cell r="B2096" t="str">
            <v>51939-890LF PwrBlade RAH STB</v>
          </cell>
          <cell r="C2096">
            <v>2E-3</v>
          </cell>
          <cell r="D2096">
            <v>2975</v>
          </cell>
          <cell r="E2096">
            <v>8925</v>
          </cell>
          <cell r="F2096">
            <v>2.8000000000000001E-2</v>
          </cell>
        </row>
        <row r="2097">
          <cell r="A2097" t="str">
            <v>51939-893LF</v>
          </cell>
          <cell r="B2097" t="str">
            <v>51939-893LF Connector,PBRAH</v>
          </cell>
          <cell r="C2097">
            <v>2E-3</v>
          </cell>
          <cell r="D2097">
            <v>2975</v>
          </cell>
          <cell r="E2097">
            <v>8925</v>
          </cell>
          <cell r="F2097">
            <v>3.1E-2</v>
          </cell>
        </row>
        <row r="2098">
          <cell r="A2098" t="str">
            <v>51939-894LF</v>
          </cell>
          <cell r="B2098" t="str">
            <v>51939-894LF PwrBlade RAH STB</v>
          </cell>
          <cell r="C2098">
            <v>6.1000000000000004E-3</v>
          </cell>
          <cell r="D2098">
            <v>975.4098360655737</v>
          </cell>
          <cell r="E2098">
            <v>2926.2295081967213</v>
          </cell>
          <cell r="F2098">
            <v>1.4999999999999999E-2</v>
          </cell>
        </row>
        <row r="2099">
          <cell r="A2099" t="str">
            <v>51939-898LF</v>
          </cell>
          <cell r="B2099" t="str">
            <v>51939-898LF Connector,PBRAH</v>
          </cell>
          <cell r="C2099">
            <v>2E-3</v>
          </cell>
          <cell r="D2099">
            <v>2975</v>
          </cell>
          <cell r="E2099">
            <v>8925</v>
          </cell>
          <cell r="F2099">
            <v>3.5999999999999997E-2</v>
          </cell>
        </row>
        <row r="2100">
          <cell r="A2100" t="str">
            <v>51939-900LF</v>
          </cell>
          <cell r="B2100" t="str">
            <v>51939-900LF Connector,PBRAH</v>
          </cell>
          <cell r="C2100">
            <v>2E-3</v>
          </cell>
          <cell r="D2100">
            <v>2975</v>
          </cell>
          <cell r="E2100">
            <v>8925</v>
          </cell>
          <cell r="F2100">
            <v>2.5999999999999999E-2</v>
          </cell>
        </row>
        <row r="2101">
          <cell r="A2101" t="str">
            <v>51939-901SLF</v>
          </cell>
          <cell r="B2101" t="str">
            <v>51939-901SLF Connector,PBRAH</v>
          </cell>
          <cell r="C2101">
            <v>6.1000000000000004E-3</v>
          </cell>
          <cell r="D2101">
            <v>975.4098360655737</v>
          </cell>
          <cell r="E2101">
            <v>2926.2295081967213</v>
          </cell>
          <cell r="F2101">
            <v>6.5000000000000002E-2</v>
          </cell>
        </row>
        <row r="2102">
          <cell r="A2102" t="str">
            <v>51939-902LF</v>
          </cell>
          <cell r="B2102" t="str">
            <v>51939-902LF PwrBlade RAH STB</v>
          </cell>
          <cell r="C2102">
            <v>3.0000000000000001E-3</v>
          </cell>
          <cell r="D2102">
            <v>1983.3333333333333</v>
          </cell>
          <cell r="E2102">
            <v>5950</v>
          </cell>
          <cell r="F2102">
            <v>5.5E-2</v>
          </cell>
        </row>
        <row r="2103">
          <cell r="A2103" t="str">
            <v>51939-903LF</v>
          </cell>
          <cell r="B2103" t="str">
            <v>51939-903LF PwrBlade RAH STB</v>
          </cell>
          <cell r="C2103">
            <v>2E-3</v>
          </cell>
          <cell r="D2103">
            <v>2975</v>
          </cell>
          <cell r="E2103">
            <v>8925</v>
          </cell>
          <cell r="F2103">
            <v>2.5999999999999999E-2</v>
          </cell>
        </row>
        <row r="2104">
          <cell r="A2104" t="str">
            <v>51939-904LF</v>
          </cell>
          <cell r="B2104" t="str">
            <v>51939-904LF PwrBlade RAH STB</v>
          </cell>
          <cell r="C2104">
            <v>3.0000000000000001E-3</v>
          </cell>
          <cell r="D2104">
            <v>1983.3333333333333</v>
          </cell>
          <cell r="E2104">
            <v>5950</v>
          </cell>
          <cell r="F2104">
            <v>0.05</v>
          </cell>
        </row>
        <row r="2105">
          <cell r="A2105" t="str">
            <v>51939-905LF</v>
          </cell>
          <cell r="B2105" t="str">
            <v>51939-905LF PwrBlade RAH STB</v>
          </cell>
          <cell r="C2105">
            <v>2E-3</v>
          </cell>
          <cell r="D2105">
            <v>2975</v>
          </cell>
          <cell r="E2105">
            <v>8925</v>
          </cell>
          <cell r="F2105">
            <v>2.5999999999999999E-2</v>
          </cell>
        </row>
        <row r="2106">
          <cell r="A2106" t="str">
            <v>51939-906LF</v>
          </cell>
          <cell r="B2106" t="str">
            <v>51939-906LF PwrBlade RAH STB</v>
          </cell>
          <cell r="C2106">
            <v>2E-3</v>
          </cell>
          <cell r="D2106">
            <v>2975</v>
          </cell>
          <cell r="E2106">
            <v>8925</v>
          </cell>
          <cell r="F2106">
            <v>2.6977273E-2</v>
          </cell>
        </row>
        <row r="2107">
          <cell r="A2107" t="str">
            <v>51939-907LF</v>
          </cell>
          <cell r="B2107" t="str">
            <v>51939-907LF PwrBlade RAH STB</v>
          </cell>
          <cell r="C2107">
            <v>3.0000000000000001E-3</v>
          </cell>
          <cell r="D2107">
            <v>1983.3333333333333</v>
          </cell>
          <cell r="E2107">
            <v>5950</v>
          </cell>
          <cell r="F2107">
            <v>5.6000000000000001E-2</v>
          </cell>
        </row>
        <row r="2108">
          <cell r="A2108" t="str">
            <v>51939-908LF</v>
          </cell>
          <cell r="B2108" t="str">
            <v>51939-908LF Connector,PBRAH</v>
          </cell>
          <cell r="C2108">
            <v>2E-3</v>
          </cell>
          <cell r="D2108">
            <v>2975</v>
          </cell>
          <cell r="E2108">
            <v>8925</v>
          </cell>
          <cell r="F2108">
            <v>5.6000000000000001E-2</v>
          </cell>
        </row>
        <row r="2109">
          <cell r="A2109" t="str">
            <v>51939-909LF</v>
          </cell>
          <cell r="B2109" t="str">
            <v>51939-909LF Connector,PBRAH</v>
          </cell>
          <cell r="C2109">
            <v>2.7000000000000001E-3</v>
          </cell>
          <cell r="D2109">
            <v>2203.7037037037035</v>
          </cell>
          <cell r="E2109">
            <v>6611.1111111111104</v>
          </cell>
          <cell r="F2109">
            <v>4.1000000000000002E-2</v>
          </cell>
        </row>
        <row r="2110">
          <cell r="A2110" t="str">
            <v>51939-910LF</v>
          </cell>
          <cell r="B2110" t="str">
            <v>51939-910LF PwrBlade RAH STB</v>
          </cell>
          <cell r="C2110">
            <v>2E-3</v>
          </cell>
          <cell r="D2110">
            <v>2975</v>
          </cell>
          <cell r="E2110">
            <v>8925</v>
          </cell>
          <cell r="F2110">
            <v>2.1999999999999999E-2</v>
          </cell>
        </row>
        <row r="2111">
          <cell r="A2111" t="str">
            <v>51939-911LF</v>
          </cell>
          <cell r="B2111" t="str">
            <v>51939-911LF Connector,PBRAH</v>
          </cell>
          <cell r="C2111">
            <v>6.1000000000000004E-3</v>
          </cell>
          <cell r="D2111">
            <v>975.4098360655737</v>
          </cell>
          <cell r="E2111">
            <v>2926.2295081967213</v>
          </cell>
          <cell r="F2111">
            <v>0.02</v>
          </cell>
        </row>
        <row r="2112">
          <cell r="A2112" t="str">
            <v>51939-911SLF</v>
          </cell>
          <cell r="B2112" t="str">
            <v>51939-911SLF PwrBlade RAH STB</v>
          </cell>
          <cell r="C2112">
            <v>6.1000000000000004E-3</v>
          </cell>
          <cell r="D2112">
            <v>975.4098360655737</v>
          </cell>
          <cell r="E2112">
            <v>2926.2295081967213</v>
          </cell>
          <cell r="F2112">
            <v>0.02</v>
          </cell>
        </row>
        <row r="2113">
          <cell r="A2113" t="str">
            <v>51939-912LF</v>
          </cell>
          <cell r="B2113" t="str">
            <v>51939-912LF Connector,PBRAH</v>
          </cell>
          <cell r="C2113">
            <v>2E-3</v>
          </cell>
          <cell r="D2113">
            <v>2975</v>
          </cell>
          <cell r="E2113">
            <v>8925</v>
          </cell>
          <cell r="F2113">
            <v>2.7E-2</v>
          </cell>
        </row>
        <row r="2114">
          <cell r="A2114" t="str">
            <v>51939-913LF</v>
          </cell>
          <cell r="B2114" t="str">
            <v>51939-913LF Connector,PBRAH</v>
          </cell>
          <cell r="C2114">
            <v>2E-3</v>
          </cell>
          <cell r="D2114">
            <v>2975</v>
          </cell>
          <cell r="E2114">
            <v>8925</v>
          </cell>
          <cell r="F2114">
            <v>2.7E-2</v>
          </cell>
        </row>
        <row r="2115">
          <cell r="A2115" t="str">
            <v>51939-917LF</v>
          </cell>
          <cell r="B2115" t="str">
            <v>51939-917LF Connector,PBRAH</v>
          </cell>
          <cell r="C2115">
            <v>2E-3</v>
          </cell>
          <cell r="D2115">
            <v>2975</v>
          </cell>
          <cell r="E2115">
            <v>8925</v>
          </cell>
          <cell r="F2115">
            <v>4.2000000000000003E-2</v>
          </cell>
        </row>
        <row r="2116">
          <cell r="A2116" t="str">
            <v>51939-920LF</v>
          </cell>
          <cell r="B2116" t="str">
            <v>51939-920LF Connector,PBRAH</v>
          </cell>
          <cell r="C2116">
            <v>2E-3</v>
          </cell>
          <cell r="D2116">
            <v>2975</v>
          </cell>
          <cell r="E2116">
            <v>8925</v>
          </cell>
          <cell r="F2116">
            <v>2.1999999999999999E-2</v>
          </cell>
        </row>
        <row r="2117">
          <cell r="A2117" t="str">
            <v>51939-921LF</v>
          </cell>
          <cell r="B2117" t="str">
            <v>51939-921LF Connector,PBRAH</v>
          </cell>
          <cell r="C2117">
            <v>2E-3</v>
          </cell>
          <cell r="D2117">
            <v>2975</v>
          </cell>
          <cell r="E2117">
            <v>8925</v>
          </cell>
          <cell r="F2117">
            <v>4.3999999999999997E-2</v>
          </cell>
        </row>
        <row r="2118">
          <cell r="A2118" t="str">
            <v>51939-922LF</v>
          </cell>
          <cell r="B2118" t="str">
            <v>51939-922LF PwrBlade RAH STB</v>
          </cell>
          <cell r="C2118">
            <v>3.0000000000000001E-3</v>
          </cell>
          <cell r="D2118">
            <v>1983.3333333333333</v>
          </cell>
          <cell r="E2118">
            <v>5950</v>
          </cell>
          <cell r="F2118">
            <v>2.5999999999999999E-2</v>
          </cell>
        </row>
        <row r="2119">
          <cell r="A2119" t="str">
            <v>51939-923LF</v>
          </cell>
          <cell r="B2119" t="str">
            <v>51939-923LF Connector,PBRAH</v>
          </cell>
          <cell r="C2119">
            <v>2E-3</v>
          </cell>
          <cell r="D2119">
            <v>2975</v>
          </cell>
          <cell r="E2119">
            <v>8925</v>
          </cell>
          <cell r="F2119">
            <v>0.04</v>
          </cell>
        </row>
        <row r="2120">
          <cell r="A2120" t="str">
            <v>51939-926LF</v>
          </cell>
          <cell r="B2120" t="str">
            <v>51939-926LF Connector,PBRAH</v>
          </cell>
          <cell r="C2120">
            <v>2E-3</v>
          </cell>
          <cell r="D2120">
            <v>2975</v>
          </cell>
          <cell r="E2120">
            <v>8925</v>
          </cell>
          <cell r="F2120">
            <v>3.2000000000000001E-2</v>
          </cell>
        </row>
        <row r="2121">
          <cell r="A2121" t="str">
            <v>51939-927LF</v>
          </cell>
          <cell r="B2121" t="str">
            <v>51939-927LF PwrBlade RAH STB</v>
          </cell>
          <cell r="C2121">
            <v>2E-3</v>
          </cell>
          <cell r="D2121">
            <v>2975</v>
          </cell>
          <cell r="E2121">
            <v>8925</v>
          </cell>
          <cell r="F2121">
            <v>2.3800000000000002E-2</v>
          </cell>
        </row>
        <row r="2122">
          <cell r="A2122" t="str">
            <v>51939-928LF</v>
          </cell>
          <cell r="B2122" t="str">
            <v>51939-928LF PwrBlade RAH STB</v>
          </cell>
          <cell r="C2122">
            <v>4.0000000000000001E-3</v>
          </cell>
          <cell r="D2122">
            <v>1487.5</v>
          </cell>
          <cell r="E2122">
            <v>4462.5</v>
          </cell>
          <cell r="F2122">
            <v>8.3000000000000004E-2</v>
          </cell>
        </row>
        <row r="2123">
          <cell r="A2123" t="str">
            <v>51939-929LF</v>
          </cell>
          <cell r="B2123" t="str">
            <v>51939-929LF Connector,PBRAH</v>
          </cell>
          <cell r="C2123">
            <v>6.1000000000000004E-3</v>
          </cell>
          <cell r="D2123">
            <v>975.4098360655737</v>
          </cell>
          <cell r="E2123">
            <v>2926.2295081967213</v>
          </cell>
          <cell r="F2123">
            <v>1.7000000000000001E-2</v>
          </cell>
        </row>
        <row r="2124">
          <cell r="A2124" t="str">
            <v>51939-933LF</v>
          </cell>
          <cell r="B2124" t="str">
            <v>51939-933LF PwrBlade RAH STB</v>
          </cell>
          <cell r="C2124">
            <v>2E-3</v>
          </cell>
          <cell r="D2124">
            <v>2975</v>
          </cell>
          <cell r="E2124">
            <v>8925</v>
          </cell>
          <cell r="F2124">
            <v>4.2000000000000003E-2</v>
          </cell>
        </row>
        <row r="2125">
          <cell r="A2125" t="str">
            <v>51939-935LF</v>
          </cell>
          <cell r="B2125" t="str">
            <v>51939-935LF Connector,PBRAH</v>
          </cell>
          <cell r="C2125">
            <v>2E-3</v>
          </cell>
          <cell r="D2125">
            <v>2975</v>
          </cell>
          <cell r="E2125">
            <v>8925</v>
          </cell>
          <cell r="F2125">
            <v>3.1E-2</v>
          </cell>
        </row>
        <row r="2126">
          <cell r="A2126" t="str">
            <v>51939-936LF</v>
          </cell>
          <cell r="B2126" t="str">
            <v>51939-936LF Connector,PBRAH</v>
          </cell>
          <cell r="C2126">
            <v>6.1000000000000004E-3</v>
          </cell>
          <cell r="D2126">
            <v>975.4098360655737</v>
          </cell>
          <cell r="E2126">
            <v>2926.2295081967213</v>
          </cell>
          <cell r="F2126">
            <v>1.7000000000000001E-2</v>
          </cell>
        </row>
        <row r="2127">
          <cell r="A2127" t="str">
            <v>51939-937LF</v>
          </cell>
          <cell r="B2127" t="str">
            <v>51939-937LF Connector,PBRAH</v>
          </cell>
          <cell r="C2127">
            <v>2E-3</v>
          </cell>
          <cell r="D2127">
            <v>2975</v>
          </cell>
          <cell r="E2127">
            <v>8925</v>
          </cell>
          <cell r="F2127">
            <v>2.7E-2</v>
          </cell>
        </row>
        <row r="2128">
          <cell r="A2128" t="str">
            <v>51939-938LF</v>
          </cell>
          <cell r="B2128" t="str">
            <v>51939-938LF Connector,PBRAH</v>
          </cell>
          <cell r="C2128">
            <v>6.1000000000000004E-3</v>
          </cell>
          <cell r="D2128">
            <v>975.4098360655737</v>
          </cell>
          <cell r="E2128">
            <v>2926.2295081967213</v>
          </cell>
          <cell r="F2128">
            <v>2.5999999999999999E-2</v>
          </cell>
        </row>
        <row r="2129">
          <cell r="A2129" t="str">
            <v>51939-941LF</v>
          </cell>
          <cell r="B2129" t="str">
            <v>51939-941LF Connector,PBRAH</v>
          </cell>
          <cell r="C2129">
            <v>6.1000000000000004E-3</v>
          </cell>
          <cell r="D2129">
            <v>975.4098360655737</v>
          </cell>
          <cell r="E2129">
            <v>2926.2295081967213</v>
          </cell>
          <cell r="F2129">
            <v>2.1999999999999999E-2</v>
          </cell>
        </row>
        <row r="2130">
          <cell r="A2130" t="str">
            <v>51939-942LF</v>
          </cell>
          <cell r="B2130" t="str">
            <v>51939-942LF PwrBlade RAH STB</v>
          </cell>
          <cell r="C2130">
            <v>2E-3</v>
          </cell>
          <cell r="D2130">
            <v>2975</v>
          </cell>
          <cell r="E2130">
            <v>8925</v>
          </cell>
          <cell r="F2130">
            <v>2.9000000000000001E-2</v>
          </cell>
        </row>
        <row r="2131">
          <cell r="A2131" t="str">
            <v>51939-947LHLF</v>
          </cell>
          <cell r="B2131" t="str">
            <v>51939-947LHLF Connector,PBRAH</v>
          </cell>
          <cell r="C2131">
            <v>2E-3</v>
          </cell>
          <cell r="D2131">
            <v>2975</v>
          </cell>
          <cell r="E2131">
            <v>8925</v>
          </cell>
          <cell r="F2131">
            <v>3.1E-2</v>
          </cell>
        </row>
        <row r="2132">
          <cell r="A2132" t="str">
            <v>51939-948LHLF</v>
          </cell>
          <cell r="B2132" t="str">
            <v>51939-948LHLF Connector,PBRAH</v>
          </cell>
          <cell r="C2132">
            <v>3.3E-3</v>
          </cell>
          <cell r="D2132">
            <v>1803.030303030303</v>
          </cell>
          <cell r="E2132">
            <v>5409.090909090909</v>
          </cell>
          <cell r="F2132">
            <v>2.8000000000000001E-2</v>
          </cell>
        </row>
        <row r="2133">
          <cell r="A2133" t="str">
            <v>51939-949LHLF</v>
          </cell>
          <cell r="B2133" t="str">
            <v>51939-949LHLF Connector,PBRAH</v>
          </cell>
          <cell r="C2133">
            <v>2E-3</v>
          </cell>
          <cell r="D2133">
            <v>2975</v>
          </cell>
          <cell r="E2133">
            <v>8925</v>
          </cell>
          <cell r="F2133">
            <v>2.9000000000000001E-2</v>
          </cell>
        </row>
        <row r="2134">
          <cell r="A2134" t="str">
            <v>51939-950LF</v>
          </cell>
          <cell r="B2134" t="str">
            <v>51939-950LF Connector,PBRAH</v>
          </cell>
          <cell r="C2134">
            <v>2E-3</v>
          </cell>
          <cell r="D2134">
            <v>2975</v>
          </cell>
          <cell r="E2134">
            <v>8925</v>
          </cell>
          <cell r="F2134">
            <v>2.8000000000000001E-2</v>
          </cell>
        </row>
        <row r="2135">
          <cell r="A2135" t="str">
            <v>51939-953LF</v>
          </cell>
          <cell r="B2135" t="str">
            <v>51939-953LF PwrBlade RAH PF</v>
          </cell>
          <cell r="C2135">
            <v>2E-3</v>
          </cell>
          <cell r="D2135">
            <v>2975</v>
          </cell>
          <cell r="E2135">
            <v>8925</v>
          </cell>
          <cell r="F2135">
            <v>4.2000000000000003E-2</v>
          </cell>
        </row>
        <row r="2136">
          <cell r="A2136" t="str">
            <v>51939-954LF</v>
          </cell>
          <cell r="B2136" t="str">
            <v>51939-954LF Connector,PBRAH</v>
          </cell>
          <cell r="C2136">
            <v>2E-3</v>
          </cell>
          <cell r="D2136">
            <v>2975</v>
          </cell>
          <cell r="E2136">
            <v>8925</v>
          </cell>
          <cell r="F2136">
            <v>2.9000000000000001E-2</v>
          </cell>
        </row>
        <row r="2137">
          <cell r="A2137" t="str">
            <v>51939-957LF</v>
          </cell>
          <cell r="B2137" t="str">
            <v>51939-957LF Connector,PBRAH</v>
          </cell>
          <cell r="C2137">
            <v>5.0000000000000001E-3</v>
          </cell>
          <cell r="D2137">
            <v>1190</v>
          </cell>
          <cell r="E2137">
            <v>3570</v>
          </cell>
          <cell r="F2137">
            <v>0.05</v>
          </cell>
        </row>
        <row r="2138">
          <cell r="A2138" t="str">
            <v>51939-960LF</v>
          </cell>
          <cell r="B2138" t="str">
            <v>51939-960LF Connector,PBRAH</v>
          </cell>
          <cell r="C2138">
            <v>6.0000000000000001E-3</v>
          </cell>
          <cell r="D2138">
            <v>991.66666666666663</v>
          </cell>
          <cell r="E2138">
            <v>2975</v>
          </cell>
          <cell r="F2138">
            <v>0.05</v>
          </cell>
        </row>
        <row r="2139">
          <cell r="A2139" t="str">
            <v>51939-965LF</v>
          </cell>
          <cell r="B2139" t="str">
            <v>51939-965LF Connector,PBRAH</v>
          </cell>
          <cell r="C2139">
            <v>2E-3</v>
          </cell>
          <cell r="D2139">
            <v>2975</v>
          </cell>
          <cell r="E2139">
            <v>8925</v>
          </cell>
          <cell r="F2139">
            <v>3.5999999999999997E-2</v>
          </cell>
        </row>
        <row r="2140">
          <cell r="A2140" t="str">
            <v>51939-966LF</v>
          </cell>
          <cell r="B2140" t="str">
            <v>51939-966LF Connector,PBRAH</v>
          </cell>
          <cell r="C2140">
            <v>2E-3</v>
          </cell>
          <cell r="D2140">
            <v>2975</v>
          </cell>
          <cell r="E2140">
            <v>8925</v>
          </cell>
          <cell r="F2140">
            <v>2.8000000000000001E-2</v>
          </cell>
        </row>
        <row r="2141">
          <cell r="A2141" t="str">
            <v>51939-967LF</v>
          </cell>
          <cell r="B2141" t="str">
            <v>51939-967LF PwrBlade RAH STB</v>
          </cell>
          <cell r="C2141">
            <v>3.3E-3</v>
          </cell>
          <cell r="D2141">
            <v>1803.030303030303</v>
          </cell>
          <cell r="E2141">
            <v>5409.090909090909</v>
          </cell>
          <cell r="F2141">
            <v>0.04</v>
          </cell>
        </row>
        <row r="2142">
          <cell r="A2142" t="str">
            <v>51939-969LF</v>
          </cell>
          <cell r="B2142" t="str">
            <v>51939-969LF PwrBlade RAH STB</v>
          </cell>
          <cell r="C2142">
            <v>2E-3</v>
          </cell>
          <cell r="D2142">
            <v>2975</v>
          </cell>
          <cell r="E2142">
            <v>8925</v>
          </cell>
          <cell r="F2142">
            <v>2.7E-2</v>
          </cell>
        </row>
        <row r="2143">
          <cell r="A2143" t="str">
            <v>51939-970LF</v>
          </cell>
          <cell r="B2143" t="str">
            <v>51939-970LF PwrBlade RAH STB</v>
          </cell>
          <cell r="C2143">
            <v>6.1000000000000004E-3</v>
          </cell>
          <cell r="D2143">
            <v>975.4098360655737</v>
          </cell>
          <cell r="E2143">
            <v>2926.2295081967213</v>
          </cell>
          <cell r="F2143">
            <v>2.3E-2</v>
          </cell>
        </row>
        <row r="2144">
          <cell r="A2144" t="str">
            <v>51939-974NSPLF</v>
          </cell>
          <cell r="B2144" t="str">
            <v>51939-974NSPLF Connector,PBRAH</v>
          </cell>
          <cell r="C2144">
            <v>6.1000000000000004E-3</v>
          </cell>
          <cell r="D2144">
            <v>975.4098360655737</v>
          </cell>
          <cell r="E2144">
            <v>2926.2295081967213</v>
          </cell>
          <cell r="F2144">
            <v>2.5000000000000001E-2</v>
          </cell>
        </row>
        <row r="2145">
          <cell r="A2145" t="str">
            <v>51939-979LF</v>
          </cell>
          <cell r="B2145" t="str">
            <v>51939-979LF Connector,PBRAH</v>
          </cell>
          <cell r="C2145">
            <v>3.3E-3</v>
          </cell>
          <cell r="D2145">
            <v>1803.030303030303</v>
          </cell>
          <cell r="E2145">
            <v>5409.090909090909</v>
          </cell>
          <cell r="F2145">
            <v>5.5E-2</v>
          </cell>
        </row>
        <row r="2146">
          <cell r="A2146" t="str">
            <v>51939-980NSPLF</v>
          </cell>
          <cell r="B2146" t="str">
            <v>51939-980NSPLF Connector,PBRAH</v>
          </cell>
          <cell r="C2146">
            <v>6.1000000000000004E-3</v>
          </cell>
          <cell r="D2146">
            <v>975.4098360655737</v>
          </cell>
          <cell r="E2146">
            <v>2926.2295081967213</v>
          </cell>
          <cell r="F2146">
            <v>3.2000000000000001E-2</v>
          </cell>
        </row>
        <row r="2147">
          <cell r="A2147" t="str">
            <v>51939-982LF</v>
          </cell>
          <cell r="B2147" t="str">
            <v>51939-982LF Connector,PBRAH</v>
          </cell>
          <cell r="C2147">
            <v>3.3E-3</v>
          </cell>
          <cell r="D2147">
            <v>1803.030303030303</v>
          </cell>
          <cell r="E2147">
            <v>5409.090909090909</v>
          </cell>
          <cell r="F2147">
            <v>4.3999999999999997E-2</v>
          </cell>
        </row>
        <row r="2148">
          <cell r="A2148" t="str">
            <v>51939-983LF</v>
          </cell>
          <cell r="B2148" t="str">
            <v>51939-983LF Connector,PBRAH</v>
          </cell>
          <cell r="C2148">
            <v>6.7000000000000002E-3</v>
          </cell>
          <cell r="D2148">
            <v>888.05970149253733</v>
          </cell>
          <cell r="E2148">
            <v>2664.1791044776119</v>
          </cell>
          <cell r="F2148">
            <v>6.6000000000000003E-2</v>
          </cell>
        </row>
        <row r="2149">
          <cell r="A2149" t="str">
            <v>51939-984LF</v>
          </cell>
          <cell r="B2149" t="str">
            <v>51939-984LF PwrBlade RAH STB</v>
          </cell>
          <cell r="C2149">
            <v>3.3E-3</v>
          </cell>
          <cell r="D2149">
            <v>1803.030303030303</v>
          </cell>
          <cell r="E2149">
            <v>5409.090909090909</v>
          </cell>
          <cell r="F2149">
            <v>5.0999999999999997E-2</v>
          </cell>
        </row>
        <row r="2150">
          <cell r="A2150" t="str">
            <v>51939-985LF</v>
          </cell>
          <cell r="B2150" t="str">
            <v>51939-985LF Connector,PBRAH</v>
          </cell>
          <cell r="C2150">
            <v>2E-3</v>
          </cell>
          <cell r="D2150">
            <v>2975</v>
          </cell>
          <cell r="E2150">
            <v>8925</v>
          </cell>
          <cell r="F2150">
            <v>3.6999999999999998E-2</v>
          </cell>
        </row>
        <row r="2151">
          <cell r="A2151" t="str">
            <v>51939-986LF</v>
          </cell>
          <cell r="B2151" t="str">
            <v>51939-986LF Connector,PBRAH</v>
          </cell>
          <cell r="C2151">
            <v>2E-3</v>
          </cell>
          <cell r="D2151">
            <v>2975</v>
          </cell>
          <cell r="E2151">
            <v>8925</v>
          </cell>
          <cell r="F2151">
            <v>3.5999999999999997E-2</v>
          </cell>
        </row>
        <row r="2152">
          <cell r="A2152" t="str">
            <v>51939-987LF</v>
          </cell>
          <cell r="B2152" t="str">
            <v>51939-987LF Connector,PBRAH</v>
          </cell>
          <cell r="C2152">
            <v>6.1000000000000004E-3</v>
          </cell>
          <cell r="D2152">
            <v>975.4098360655737</v>
          </cell>
          <cell r="E2152">
            <v>2926.2295081967213</v>
          </cell>
          <cell r="F2152">
            <v>1.7999999999999999E-2</v>
          </cell>
        </row>
        <row r="2153">
          <cell r="A2153" t="str">
            <v>51939-988LF</v>
          </cell>
          <cell r="B2153" t="str">
            <v>51939-988LF Connector,PBRAH</v>
          </cell>
          <cell r="C2153">
            <v>2E-3</v>
          </cell>
          <cell r="D2153">
            <v>2975</v>
          </cell>
          <cell r="E2153">
            <v>8925</v>
          </cell>
          <cell r="F2153">
            <v>2.8000000000000001E-2</v>
          </cell>
        </row>
        <row r="2154">
          <cell r="A2154" t="str">
            <v>51939-990LF</v>
          </cell>
          <cell r="B2154" t="str">
            <v>51939-990LF Connector,PBRAH</v>
          </cell>
          <cell r="C2154">
            <v>2E-3</v>
          </cell>
          <cell r="D2154">
            <v>2975</v>
          </cell>
          <cell r="E2154">
            <v>8925</v>
          </cell>
          <cell r="F2154">
            <v>4.3999999999999997E-2</v>
          </cell>
        </row>
        <row r="2155">
          <cell r="A2155" t="str">
            <v>51939-992PLF</v>
          </cell>
          <cell r="B2155" t="str">
            <v>51939-992PLF Connector,PBRAH</v>
          </cell>
          <cell r="C2155">
            <v>2E-3</v>
          </cell>
          <cell r="D2155">
            <v>2975</v>
          </cell>
          <cell r="E2155">
            <v>8925</v>
          </cell>
          <cell r="F2155">
            <v>3.2000000000000001E-2</v>
          </cell>
        </row>
        <row r="2156">
          <cell r="A2156" t="str">
            <v>51939-993LF</v>
          </cell>
          <cell r="B2156" t="str">
            <v>51939-993LF Connector,PBRAH</v>
          </cell>
          <cell r="C2156">
            <v>0.01</v>
          </cell>
          <cell r="D2156">
            <v>595</v>
          </cell>
          <cell r="E2156">
            <v>1785</v>
          </cell>
          <cell r="F2156">
            <v>4.1000000000000002E-2</v>
          </cell>
        </row>
        <row r="2157">
          <cell r="A2157" t="str">
            <v>51939-995LF</v>
          </cell>
          <cell r="B2157" t="str">
            <v>51939-995LF Connector,PBRAH</v>
          </cell>
          <cell r="C2157">
            <v>0.01</v>
          </cell>
          <cell r="D2157">
            <v>595</v>
          </cell>
          <cell r="E2157">
            <v>1785</v>
          </cell>
          <cell r="F2157">
            <v>4.4999999999999998E-2</v>
          </cell>
        </row>
        <row r="2158">
          <cell r="A2158" t="str">
            <v>51939-996LHLF</v>
          </cell>
          <cell r="B2158" t="str">
            <v>51939-996LHLF Connector,PBRAH</v>
          </cell>
          <cell r="C2158">
            <v>2E-3</v>
          </cell>
          <cell r="D2158">
            <v>2975</v>
          </cell>
          <cell r="E2158">
            <v>8925</v>
          </cell>
          <cell r="F2158">
            <v>3.2000000000000001E-2</v>
          </cell>
        </row>
        <row r="2159">
          <cell r="A2159" t="str">
            <v>51939-997LF</v>
          </cell>
          <cell r="B2159" t="str">
            <v>51939-997LF Connector,PBRAH</v>
          </cell>
          <cell r="C2159">
            <v>6.7000000000000002E-3</v>
          </cell>
          <cell r="D2159">
            <v>888.05970149253733</v>
          </cell>
          <cell r="E2159">
            <v>2664.1791044776119</v>
          </cell>
          <cell r="F2159">
            <v>3.5999999999999997E-2</v>
          </cell>
        </row>
        <row r="2160">
          <cell r="A2160" t="str">
            <v>51939-A002001LF</v>
          </cell>
          <cell r="B2160" t="str">
            <v>51939-A002001LF Connector,PBRAH</v>
          </cell>
          <cell r="C2160">
            <v>3.3E-3</v>
          </cell>
          <cell r="D2160">
            <v>1803.030303030303</v>
          </cell>
          <cell r="E2160">
            <v>5409.090909090909</v>
          </cell>
          <cell r="F2160">
            <v>3.2000000000000001E-2</v>
          </cell>
        </row>
        <row r="2161">
          <cell r="A2161" t="str">
            <v>51939-A004001LF</v>
          </cell>
          <cell r="B2161" t="str">
            <v>51939-A004001LF Connector,PBRAH</v>
          </cell>
          <cell r="C2161">
            <v>3.3E-3</v>
          </cell>
          <cell r="D2161">
            <v>1803.030303030303</v>
          </cell>
          <cell r="E2161">
            <v>5409.090909090909</v>
          </cell>
          <cell r="F2161">
            <v>3.5000000000000003E-2</v>
          </cell>
        </row>
        <row r="2162">
          <cell r="A2162" t="str">
            <v>51940-009LF</v>
          </cell>
          <cell r="B2162" t="str">
            <v>51940-009LF Connector,PBVTR</v>
          </cell>
          <cell r="C2162">
            <v>3.0000000000000001E-3</v>
          </cell>
          <cell r="D2162">
            <v>1983.3333333333333</v>
          </cell>
          <cell r="E2162">
            <v>5950</v>
          </cell>
          <cell r="F2162">
            <v>1.83E-2</v>
          </cell>
        </row>
        <row r="2163">
          <cell r="A2163" t="str">
            <v>51940-010LF</v>
          </cell>
          <cell r="B2163" t="str">
            <v>51940-010LF Connector,PBVTR</v>
          </cell>
          <cell r="C2163">
            <v>3.0000000000000001E-3</v>
          </cell>
          <cell r="D2163">
            <v>1983.3333333333333</v>
          </cell>
          <cell r="E2163">
            <v>5950</v>
          </cell>
          <cell r="F2163">
            <v>1.04E-2</v>
          </cell>
        </row>
        <row r="2164">
          <cell r="A2164" t="str">
            <v>51940-016LF</v>
          </cell>
          <cell r="B2164" t="str">
            <v>51940-016LF PwrBlade VR</v>
          </cell>
          <cell r="C2164">
            <v>3.0000000000000001E-3</v>
          </cell>
          <cell r="D2164">
            <v>1983.3333333333333</v>
          </cell>
          <cell r="E2164">
            <v>5950</v>
          </cell>
          <cell r="F2164">
            <v>1.9880999999999999E-2</v>
          </cell>
        </row>
        <row r="2165">
          <cell r="A2165" t="str">
            <v>51940-022LF</v>
          </cell>
          <cell r="B2165" t="str">
            <v>51940-022LF Connector,PBVTR</v>
          </cell>
          <cell r="C2165">
            <v>2E-3</v>
          </cell>
          <cell r="D2165">
            <v>2975</v>
          </cell>
          <cell r="E2165">
            <v>8925</v>
          </cell>
          <cell r="F2165">
            <v>1.6E-2</v>
          </cell>
        </row>
        <row r="2166">
          <cell r="A2166" t="str">
            <v>51940-024LF</v>
          </cell>
          <cell r="B2166" t="str">
            <v>51940-024LF Connector,PBVTR</v>
          </cell>
          <cell r="C2166">
            <v>3.0000000000000001E-3</v>
          </cell>
          <cell r="D2166">
            <v>1983.3333333333333</v>
          </cell>
          <cell r="E2166">
            <v>5950</v>
          </cell>
          <cell r="F2166">
            <v>1.6500000000000001E-2</v>
          </cell>
        </row>
        <row r="2167">
          <cell r="A2167" t="str">
            <v>51940-027LF</v>
          </cell>
          <cell r="B2167" t="str">
            <v>51940-027LF PwrBlade VR PF</v>
          </cell>
          <cell r="C2167">
            <v>4.0000000000000001E-3</v>
          </cell>
          <cell r="D2167">
            <v>1487.5</v>
          </cell>
          <cell r="E2167">
            <v>4462.5</v>
          </cell>
          <cell r="F2167">
            <v>1.130431E-2</v>
          </cell>
        </row>
        <row r="2168">
          <cell r="A2168" t="str">
            <v>51940-028LF</v>
          </cell>
          <cell r="B2168" t="str">
            <v>51940-028LF Connector,PBVTR</v>
          </cell>
          <cell r="C2168">
            <v>3.0000000000000001E-3</v>
          </cell>
          <cell r="D2168">
            <v>1983.3333333333333</v>
          </cell>
          <cell r="E2168">
            <v>5950</v>
          </cell>
          <cell r="F2168">
            <v>1.3599999999999999E-2</v>
          </cell>
        </row>
        <row r="2169">
          <cell r="A2169" t="str">
            <v>51940-030LF</v>
          </cell>
          <cell r="B2169" t="str">
            <v>51940-030LF PwrBlade VR</v>
          </cell>
          <cell r="C2169">
            <v>3.0000000000000001E-3</v>
          </cell>
          <cell r="D2169">
            <v>1983.3333333333333</v>
          </cell>
          <cell r="E2169">
            <v>5950</v>
          </cell>
          <cell r="F2169">
            <v>8.6102100000000001E-3</v>
          </cell>
        </row>
        <row r="2170">
          <cell r="A2170" t="str">
            <v>51940-031LF</v>
          </cell>
          <cell r="B2170" t="str">
            <v>51940-031LF Connector,PBVTR</v>
          </cell>
          <cell r="C2170">
            <v>3.0000000000000001E-3</v>
          </cell>
          <cell r="D2170">
            <v>1983.3333333333333</v>
          </cell>
          <cell r="E2170">
            <v>5950</v>
          </cell>
          <cell r="F2170">
            <v>2.9399999999999999E-2</v>
          </cell>
        </row>
        <row r="2171">
          <cell r="A2171" t="str">
            <v>51940-032LF</v>
          </cell>
          <cell r="B2171" t="str">
            <v>51940-032LF Connector,PBVTR</v>
          </cell>
          <cell r="C2171">
            <v>3.0000000000000001E-3</v>
          </cell>
          <cell r="D2171">
            <v>1983.3333333333333</v>
          </cell>
          <cell r="E2171">
            <v>5950</v>
          </cell>
          <cell r="F2171">
            <v>2.5000000000000001E-2</v>
          </cell>
        </row>
        <row r="2172">
          <cell r="A2172" t="str">
            <v>51940-035LF</v>
          </cell>
          <cell r="B2172" t="str">
            <v>51940-035LF Connector,PBVTR</v>
          </cell>
          <cell r="C2172">
            <v>3.0000000000000001E-3</v>
          </cell>
          <cell r="D2172">
            <v>1983.3333333333333</v>
          </cell>
          <cell r="E2172">
            <v>5950</v>
          </cell>
          <cell r="F2172">
            <v>1.2999999999999999E-2</v>
          </cell>
        </row>
        <row r="2173">
          <cell r="A2173" t="str">
            <v>51940-038LF</v>
          </cell>
          <cell r="B2173" t="str">
            <v>51940-038LF Connector,PBVTR</v>
          </cell>
          <cell r="C2173">
            <v>3.5999999999999999E-3</v>
          </cell>
          <cell r="D2173">
            <v>1652.7777777777778</v>
          </cell>
          <cell r="E2173">
            <v>4958.3333333333339</v>
          </cell>
          <cell r="F2173">
            <v>1.54E-2</v>
          </cell>
        </row>
        <row r="2174">
          <cell r="A2174" t="str">
            <v>51940-039LF</v>
          </cell>
          <cell r="B2174" t="str">
            <v>51940-039LF Connector,PBVTR</v>
          </cell>
          <cell r="C2174">
            <v>6.1000000000000004E-3</v>
          </cell>
          <cell r="D2174">
            <v>975.4098360655737</v>
          </cell>
          <cell r="E2174">
            <v>2926.2295081967213</v>
          </cell>
          <cell r="F2174">
            <v>0.02</v>
          </cell>
        </row>
        <row r="2175">
          <cell r="A2175" t="str">
            <v>51940-042LF</v>
          </cell>
          <cell r="B2175" t="str">
            <v>51940-042LF Connector,PBVTR</v>
          </cell>
          <cell r="C2175">
            <v>5.0000000000000001E-3</v>
          </cell>
          <cell r="D2175">
            <v>1190</v>
          </cell>
          <cell r="E2175">
            <v>3570</v>
          </cell>
          <cell r="F2175">
            <v>2.4E-2</v>
          </cell>
        </row>
        <row r="2176">
          <cell r="A2176" t="str">
            <v>51940-043LF</v>
          </cell>
          <cell r="B2176" t="str">
            <v>51940-043LF Connector,PBVTR</v>
          </cell>
          <cell r="C2176">
            <v>3.0000000000000001E-3</v>
          </cell>
          <cell r="D2176">
            <v>1983.3333333333333</v>
          </cell>
          <cell r="E2176">
            <v>5950</v>
          </cell>
          <cell r="F2176">
            <v>3.2000000000000001E-2</v>
          </cell>
        </row>
        <row r="2177">
          <cell r="A2177" t="str">
            <v>51940-046LF</v>
          </cell>
          <cell r="B2177" t="str">
            <v>51940-046LF PwrBlade VR</v>
          </cell>
          <cell r="C2177">
            <v>7.9000000000000008E-3</v>
          </cell>
          <cell r="D2177">
            <v>753.16455696202524</v>
          </cell>
          <cell r="E2177">
            <v>2259.493670886076</v>
          </cell>
          <cell r="F2177">
            <v>1.14E-2</v>
          </cell>
        </row>
        <row r="2178">
          <cell r="A2178" t="str">
            <v>51940-054LF</v>
          </cell>
          <cell r="B2178" t="str">
            <v>51940-054LF Connector,PBVTR</v>
          </cell>
          <cell r="C2178">
            <v>3.0000000000000001E-3</v>
          </cell>
          <cell r="D2178">
            <v>1983.3333333333333</v>
          </cell>
          <cell r="E2178">
            <v>5950</v>
          </cell>
          <cell r="F2178">
            <v>2.2100000000000002E-2</v>
          </cell>
        </row>
        <row r="2179">
          <cell r="A2179" t="str">
            <v>51940-058LF</v>
          </cell>
          <cell r="B2179" t="str">
            <v>51940-058LF Connector,PBVTR</v>
          </cell>
          <cell r="C2179">
            <v>4.0000000000000001E-3</v>
          </cell>
          <cell r="D2179">
            <v>1487.5</v>
          </cell>
          <cell r="E2179">
            <v>4462.5</v>
          </cell>
          <cell r="F2179">
            <v>8.8000000000000005E-3</v>
          </cell>
        </row>
        <row r="2180">
          <cell r="A2180" t="str">
            <v>51940-059LF</v>
          </cell>
          <cell r="B2180" t="str">
            <v>51940-059LF Connector,PBVTR</v>
          </cell>
          <cell r="C2180">
            <v>6.1000000000000004E-3</v>
          </cell>
          <cell r="D2180">
            <v>975.4098360655737</v>
          </cell>
          <cell r="E2180">
            <v>2926.2295081967213</v>
          </cell>
          <cell r="F2180">
            <v>1.84E-2</v>
          </cell>
        </row>
        <row r="2181">
          <cell r="A2181" t="str">
            <v>51940-063LF</v>
          </cell>
          <cell r="B2181" t="str">
            <v>51940-063LF Connector,PBVTR</v>
          </cell>
          <cell r="C2181">
            <v>7.0000000000000001E-3</v>
          </cell>
          <cell r="D2181">
            <v>850</v>
          </cell>
          <cell r="E2181">
            <v>2550</v>
          </cell>
          <cell r="F2181">
            <v>0.01</v>
          </cell>
        </row>
        <row r="2182">
          <cell r="A2182" t="str">
            <v>51940-066LF</v>
          </cell>
          <cell r="B2182" t="str">
            <v>51940-066LF Connector,PBVTR</v>
          </cell>
          <cell r="C2182">
            <v>6.1000000000000004E-3</v>
          </cell>
          <cell r="D2182">
            <v>975.4098360655737</v>
          </cell>
          <cell r="E2182">
            <v>2926.2295081967213</v>
          </cell>
          <cell r="F2182">
            <v>0.02</v>
          </cell>
        </row>
        <row r="2183">
          <cell r="A2183" t="str">
            <v>51940-067LF</v>
          </cell>
          <cell r="B2183" t="str">
            <v>51940-067LF Connector,PBVTR</v>
          </cell>
          <cell r="C2183">
            <v>3.0000000000000001E-3</v>
          </cell>
          <cell r="D2183">
            <v>1983.3333333333333</v>
          </cell>
          <cell r="E2183">
            <v>5950</v>
          </cell>
          <cell r="F2183">
            <v>3.1E-2</v>
          </cell>
        </row>
        <row r="2184">
          <cell r="A2184" t="str">
            <v>51940-075LF</v>
          </cell>
          <cell r="B2184" t="str">
            <v>51940-075LF Connector,PBVTR</v>
          </cell>
          <cell r="C2184">
            <v>3.3E-3</v>
          </cell>
          <cell r="D2184">
            <v>1803.030303030303</v>
          </cell>
          <cell r="E2184">
            <v>5409.090909090909</v>
          </cell>
          <cell r="F2184">
            <v>2.5000000000000001E-2</v>
          </cell>
        </row>
        <row r="2185">
          <cell r="A2185" t="str">
            <v>51940-076LF</v>
          </cell>
          <cell r="B2185" t="str">
            <v>51940-076LF Connector,PBVTR</v>
          </cell>
          <cell r="C2185">
            <v>6.1000000000000004E-3</v>
          </cell>
          <cell r="D2185">
            <v>975.4098360655737</v>
          </cell>
          <cell r="E2185">
            <v>2926.2295081967213</v>
          </cell>
          <cell r="F2185">
            <v>1.15E-2</v>
          </cell>
        </row>
        <row r="2186">
          <cell r="A2186" t="str">
            <v>51940-081PGSALF</v>
          </cell>
          <cell r="B2186" t="str">
            <v>51940-081PGSALF Connector,PBVTR</v>
          </cell>
          <cell r="C2186">
            <v>3.0000000000000001E-3</v>
          </cell>
          <cell r="D2186">
            <v>1983.3333333333333</v>
          </cell>
          <cell r="E2186">
            <v>5950</v>
          </cell>
          <cell r="F2186">
            <v>3.2000000000000001E-2</v>
          </cell>
        </row>
        <row r="2187">
          <cell r="A2187" t="str">
            <v>51940-082LF</v>
          </cell>
          <cell r="B2187" t="str">
            <v>51940-082LF Connector,PBVTR</v>
          </cell>
          <cell r="C2187">
            <v>3.3E-3</v>
          </cell>
          <cell r="D2187">
            <v>1803.030303030303</v>
          </cell>
          <cell r="E2187">
            <v>5409.090909090909</v>
          </cell>
          <cell r="F2187">
            <v>1.24E-2</v>
          </cell>
        </row>
        <row r="2188">
          <cell r="A2188" t="str">
            <v>51940-084LF</v>
          </cell>
          <cell r="B2188" t="str">
            <v>51940-084LF Connector,PBVTR</v>
          </cell>
          <cell r="C2188">
            <v>2E-3</v>
          </cell>
          <cell r="D2188">
            <v>2975</v>
          </cell>
          <cell r="E2188">
            <v>8925</v>
          </cell>
          <cell r="F2188">
            <v>2.3E-2</v>
          </cell>
        </row>
        <row r="2189">
          <cell r="A2189" t="str">
            <v>51940-089LF</v>
          </cell>
          <cell r="B2189" t="str">
            <v>51940-089LF Connector,PBVTR</v>
          </cell>
          <cell r="C2189">
            <v>3.0000000000000001E-3</v>
          </cell>
          <cell r="D2189">
            <v>1983.3333333333333</v>
          </cell>
          <cell r="E2189">
            <v>5950</v>
          </cell>
          <cell r="F2189">
            <v>1.7399999999999999E-2</v>
          </cell>
        </row>
        <row r="2190">
          <cell r="A2190" t="str">
            <v>51940-094LF</v>
          </cell>
          <cell r="B2190" t="str">
            <v>51940-094LF PwrBlade VR</v>
          </cell>
          <cell r="C2190">
            <v>2E-3</v>
          </cell>
          <cell r="D2190">
            <v>2975</v>
          </cell>
          <cell r="E2190">
            <v>8925</v>
          </cell>
          <cell r="F2190">
            <v>3.4000000000000002E-2</v>
          </cell>
        </row>
        <row r="2191">
          <cell r="A2191" t="str">
            <v>51940-096LF</v>
          </cell>
          <cell r="B2191" t="str">
            <v>51940-096LF Connector,PBVTR</v>
          </cell>
          <cell r="C2191">
            <v>2E-3</v>
          </cell>
          <cell r="D2191">
            <v>2975</v>
          </cell>
          <cell r="E2191">
            <v>8925</v>
          </cell>
          <cell r="F2191">
            <v>3.4000000000000002E-2</v>
          </cell>
        </row>
        <row r="2192">
          <cell r="A2192" t="str">
            <v>51940-099LF</v>
          </cell>
          <cell r="B2192" t="str">
            <v>51940-099LF PwrBlade VR</v>
          </cell>
          <cell r="C2192">
            <v>6.1000000000000004E-3</v>
          </cell>
          <cell r="D2192">
            <v>975.4098360655737</v>
          </cell>
          <cell r="E2192">
            <v>2926.2295081967213</v>
          </cell>
          <cell r="F2192">
            <v>1.2273621E-2</v>
          </cell>
        </row>
        <row r="2193">
          <cell r="A2193" t="str">
            <v>51940-101LF</v>
          </cell>
          <cell r="B2193" t="str">
            <v>51940-101LF Connector,PBVTR</v>
          </cell>
          <cell r="C2193">
            <v>3.0000000000000001E-3</v>
          </cell>
          <cell r="D2193">
            <v>1983.3333333333333</v>
          </cell>
          <cell r="E2193">
            <v>5950</v>
          </cell>
          <cell r="F2193">
            <v>0.04</v>
          </cell>
        </row>
        <row r="2194">
          <cell r="A2194" t="str">
            <v>51940-103LF</v>
          </cell>
          <cell r="B2194" t="str">
            <v>51940-103LF PwrBlade VR</v>
          </cell>
          <cell r="C2194">
            <v>6.0000000000000001E-3</v>
          </cell>
          <cell r="D2194">
            <v>991.66666666666663</v>
          </cell>
          <cell r="E2194">
            <v>2975</v>
          </cell>
          <cell r="F2194">
            <v>0.01</v>
          </cell>
        </row>
        <row r="2195">
          <cell r="A2195" t="str">
            <v>51940-104LF</v>
          </cell>
          <cell r="B2195" t="str">
            <v>51940-104LF PwrBlade VR</v>
          </cell>
          <cell r="C2195">
            <v>3.0000000000000001E-3</v>
          </cell>
          <cell r="D2195">
            <v>1983.3333333333333</v>
          </cell>
          <cell r="E2195">
            <v>5950</v>
          </cell>
          <cell r="F2195">
            <v>1.5618E-2</v>
          </cell>
        </row>
        <row r="2196">
          <cell r="A2196" t="str">
            <v>51940-105LF</v>
          </cell>
          <cell r="B2196" t="str">
            <v>51940-105LF Connector,PBVTR</v>
          </cell>
          <cell r="C2196">
            <v>3.0000000000000001E-3</v>
          </cell>
          <cell r="D2196">
            <v>1983.3333333333333</v>
          </cell>
          <cell r="E2196">
            <v>5950</v>
          </cell>
          <cell r="F2196">
            <v>1.0699999999999999E-2</v>
          </cell>
        </row>
        <row r="2197">
          <cell r="A2197" t="str">
            <v>51940-107LF</v>
          </cell>
          <cell r="B2197" t="str">
            <v>51940-107LF PwrBlade VR</v>
          </cell>
          <cell r="C2197">
            <v>6.6E-3</v>
          </cell>
          <cell r="D2197">
            <v>901.5151515151515</v>
          </cell>
          <cell r="E2197">
            <v>2704.5454545454545</v>
          </cell>
          <cell r="F2197">
            <v>1.09E-2</v>
          </cell>
        </row>
        <row r="2198">
          <cell r="A2198" t="str">
            <v>51940-109LF</v>
          </cell>
          <cell r="B2198" t="str">
            <v>51940-109LF Connector,PBVTR</v>
          </cell>
          <cell r="C2198">
            <v>2E-3</v>
          </cell>
          <cell r="D2198">
            <v>2975</v>
          </cell>
          <cell r="E2198">
            <v>8925</v>
          </cell>
          <cell r="F2198">
            <v>2.3E-2</v>
          </cell>
        </row>
        <row r="2199">
          <cell r="A2199" t="str">
            <v>51940-110LF</v>
          </cell>
          <cell r="B2199" t="str">
            <v>51940-110LF Connector,PBVTR</v>
          </cell>
          <cell r="C2199">
            <v>2E-3</v>
          </cell>
          <cell r="D2199">
            <v>2975</v>
          </cell>
          <cell r="E2199">
            <v>8925</v>
          </cell>
          <cell r="F2199">
            <v>2.7E-2</v>
          </cell>
        </row>
        <row r="2200">
          <cell r="A2200" t="str">
            <v>51940-112LF</v>
          </cell>
          <cell r="B2200" t="str">
            <v>51940-112LF Connector,PBVTR</v>
          </cell>
          <cell r="C2200">
            <v>7.0000000000000001E-3</v>
          </cell>
          <cell r="D2200">
            <v>850</v>
          </cell>
          <cell r="E2200">
            <v>2550</v>
          </cell>
          <cell r="F2200">
            <v>0.01</v>
          </cell>
        </row>
        <row r="2201">
          <cell r="A2201" t="str">
            <v>51940-113LF</v>
          </cell>
          <cell r="B2201" t="str">
            <v>51940-113LF Connector,PBVTR</v>
          </cell>
          <cell r="C2201">
            <v>6.0000000000000001E-3</v>
          </cell>
          <cell r="D2201">
            <v>991.66666666666663</v>
          </cell>
          <cell r="E2201">
            <v>2975</v>
          </cell>
          <cell r="F2201">
            <v>1.2500000000000001E-2</v>
          </cell>
        </row>
        <row r="2202">
          <cell r="A2202" t="str">
            <v>51940-114LF</v>
          </cell>
          <cell r="B2202" t="str">
            <v>51940-114LF Connector,PBVTR</v>
          </cell>
          <cell r="C2202">
            <v>6.1000000000000004E-3</v>
          </cell>
          <cell r="D2202">
            <v>975.4098360655737</v>
          </cell>
          <cell r="E2202">
            <v>2926.2295081967213</v>
          </cell>
          <cell r="F2202">
            <v>2.9000000000000001E-2</v>
          </cell>
        </row>
        <row r="2203">
          <cell r="A2203" t="str">
            <v>51940-116LF</v>
          </cell>
          <cell r="B2203" t="str">
            <v>51940-116LF Connector,PBVTR</v>
          </cell>
          <cell r="C2203">
            <v>8.0000000000000002E-3</v>
          </cell>
          <cell r="D2203">
            <v>743.75</v>
          </cell>
          <cell r="E2203">
            <v>2231.25</v>
          </cell>
          <cell r="F2203">
            <v>6.8999999999999999E-3</v>
          </cell>
        </row>
        <row r="2204">
          <cell r="A2204" t="str">
            <v>51940-117LF</v>
          </cell>
          <cell r="B2204" t="str">
            <v>51940-117LF PwrBlade VR</v>
          </cell>
          <cell r="C2204">
            <v>3.0000000000000001E-3</v>
          </cell>
          <cell r="D2204">
            <v>1983.3333333333333</v>
          </cell>
          <cell r="E2204">
            <v>5950</v>
          </cell>
          <cell r="F2204">
            <v>1.2195856E-2</v>
          </cell>
        </row>
        <row r="2205">
          <cell r="A2205" t="str">
            <v>51940-119LF</v>
          </cell>
          <cell r="B2205" t="str">
            <v>51940-119LF Connector,PBVTR</v>
          </cell>
          <cell r="C2205">
            <v>3.0000000000000001E-3</v>
          </cell>
          <cell r="D2205">
            <v>1983.3333333333333</v>
          </cell>
          <cell r="E2205">
            <v>5950</v>
          </cell>
          <cell r="F2205">
            <v>2.7E-2</v>
          </cell>
        </row>
        <row r="2206">
          <cell r="A2206" t="str">
            <v>51940-121LF</v>
          </cell>
          <cell r="B2206" t="str">
            <v>51940-121LF Connector,PBVTR</v>
          </cell>
          <cell r="C2206">
            <v>7.0000000000000001E-3</v>
          </cell>
          <cell r="D2206">
            <v>850</v>
          </cell>
          <cell r="E2206">
            <v>2550</v>
          </cell>
          <cell r="F2206">
            <v>0.01</v>
          </cell>
        </row>
        <row r="2207">
          <cell r="A2207" t="str">
            <v>51940-122LF</v>
          </cell>
          <cell r="B2207" t="str">
            <v>51940-122LF PwrBlade VR PF</v>
          </cell>
          <cell r="C2207">
            <v>4.0000000000000001E-3</v>
          </cell>
          <cell r="D2207">
            <v>1487.5</v>
          </cell>
          <cell r="E2207">
            <v>4462.5</v>
          </cell>
          <cell r="F2207">
            <v>2.1524999999999999E-2</v>
          </cell>
        </row>
        <row r="2208">
          <cell r="A2208" t="str">
            <v>51940-123LF</v>
          </cell>
          <cell r="B2208" t="str">
            <v>51940-123LF Connector,PBVTR</v>
          </cell>
          <cell r="C2208">
            <v>7.6E-3</v>
          </cell>
          <cell r="D2208">
            <v>782.89473684210532</v>
          </cell>
          <cell r="E2208">
            <v>2348.6842105263158</v>
          </cell>
          <cell r="F2208">
            <v>1.0999999999999999E-2</v>
          </cell>
        </row>
        <row r="2209">
          <cell r="A2209" t="str">
            <v>51940-125LF</v>
          </cell>
          <cell r="B2209" t="str">
            <v>51940-125LF Connector,PBVTR</v>
          </cell>
          <cell r="C2209">
            <v>3.0000000000000001E-3</v>
          </cell>
          <cell r="D2209">
            <v>1983.3333333333333</v>
          </cell>
          <cell r="E2209">
            <v>5950</v>
          </cell>
          <cell r="F2209">
            <v>2.4E-2</v>
          </cell>
        </row>
        <row r="2210">
          <cell r="A2210" t="str">
            <v>51940-126LF</v>
          </cell>
          <cell r="B2210" t="str">
            <v>51940-126LF Connector,PBVTR</v>
          </cell>
          <cell r="C2210">
            <v>3.0000000000000001E-3</v>
          </cell>
          <cell r="D2210">
            <v>1983.3333333333333</v>
          </cell>
          <cell r="E2210">
            <v>5950</v>
          </cell>
          <cell r="F2210">
            <v>2.69E-2</v>
          </cell>
        </row>
        <row r="2211">
          <cell r="A2211" t="str">
            <v>51940-127LF</v>
          </cell>
          <cell r="B2211" t="str">
            <v>51940-127LF Connector,PBVTR</v>
          </cell>
          <cell r="C2211">
            <v>4.0000000000000001E-3</v>
          </cell>
          <cell r="D2211">
            <v>1487.5</v>
          </cell>
          <cell r="E2211">
            <v>4462.5</v>
          </cell>
          <cell r="F2211">
            <v>1.6500000000000001E-2</v>
          </cell>
        </row>
        <row r="2212">
          <cell r="A2212" t="str">
            <v>51940-130LF</v>
          </cell>
          <cell r="B2212" t="str">
            <v>51940-130LF Connector,PBVTR</v>
          </cell>
          <cell r="C2212">
            <v>3.0000000000000001E-3</v>
          </cell>
          <cell r="D2212">
            <v>1983.3333333333333</v>
          </cell>
          <cell r="E2212">
            <v>5950</v>
          </cell>
          <cell r="F2212">
            <v>2.9000000000000001E-2</v>
          </cell>
        </row>
        <row r="2213">
          <cell r="A2213" t="str">
            <v>51940-131LF</v>
          </cell>
          <cell r="B2213" t="str">
            <v>51940-131LF Connector,PBVTR</v>
          </cell>
          <cell r="C2213">
            <v>5.0000000000000001E-3</v>
          </cell>
          <cell r="D2213">
            <v>1190</v>
          </cell>
          <cell r="E2213">
            <v>3570</v>
          </cell>
          <cell r="F2213">
            <v>1.9599999999999999E-2</v>
          </cell>
        </row>
        <row r="2214">
          <cell r="A2214" t="str">
            <v>51940-135LF</v>
          </cell>
          <cell r="B2214" t="str">
            <v>51940-135LF Connector,PBVTR</v>
          </cell>
          <cell r="C2214">
            <v>4.0000000000000001E-3</v>
          </cell>
          <cell r="D2214">
            <v>1487.5</v>
          </cell>
          <cell r="E2214">
            <v>4462.5</v>
          </cell>
          <cell r="F2214">
            <v>2.1000000000000001E-2</v>
          </cell>
        </row>
        <row r="2215">
          <cell r="A2215" t="str">
            <v>51940-136LF</v>
          </cell>
          <cell r="B2215" t="str">
            <v>51940-136LF Connector,PBVTR</v>
          </cell>
          <cell r="C2215">
            <v>3.0000000000000001E-3</v>
          </cell>
          <cell r="D2215">
            <v>1983.3333333333333</v>
          </cell>
          <cell r="E2215">
            <v>5950</v>
          </cell>
          <cell r="F2215">
            <v>1.15E-2</v>
          </cell>
        </row>
        <row r="2216">
          <cell r="A2216" t="str">
            <v>51940-139LF</v>
          </cell>
          <cell r="B2216" t="str">
            <v>51940-139LF Connector,PBVTR</v>
          </cell>
          <cell r="C2216">
            <v>3.0000000000000001E-3</v>
          </cell>
          <cell r="D2216">
            <v>1983.3333333333333</v>
          </cell>
          <cell r="E2216">
            <v>5950</v>
          </cell>
          <cell r="F2216">
            <v>3.2199999999999999E-2</v>
          </cell>
        </row>
        <row r="2217">
          <cell r="A2217" t="str">
            <v>51940-141LF</v>
          </cell>
          <cell r="B2217" t="str">
            <v>51940-141LF Connector,PBVTR</v>
          </cell>
          <cell r="C2217">
            <v>2E-3</v>
          </cell>
          <cell r="D2217">
            <v>2975</v>
          </cell>
          <cell r="E2217">
            <v>8925</v>
          </cell>
          <cell r="F2217">
            <v>2.3E-2</v>
          </cell>
        </row>
        <row r="2218">
          <cell r="A2218" t="str">
            <v>51940-142LF</v>
          </cell>
          <cell r="B2218" t="str">
            <v>51940-142LF Connector,PBVTR</v>
          </cell>
          <cell r="C2218">
            <v>7.6E-3</v>
          </cell>
          <cell r="D2218">
            <v>782.89473684210532</v>
          </cell>
          <cell r="E2218">
            <v>2348.6842105263158</v>
          </cell>
          <cell r="F2218">
            <v>1.15E-2</v>
          </cell>
        </row>
        <row r="2219">
          <cell r="A2219" t="str">
            <v>51940-147LF</v>
          </cell>
          <cell r="B2219" t="str">
            <v>51940-147LF Connector,PBVTR</v>
          </cell>
          <cell r="C2219">
            <v>3.0000000000000001E-3</v>
          </cell>
          <cell r="D2219">
            <v>1983.3333333333333</v>
          </cell>
          <cell r="E2219">
            <v>5950</v>
          </cell>
          <cell r="F2219">
            <v>1.23E-2</v>
          </cell>
        </row>
        <row r="2220">
          <cell r="A2220" t="str">
            <v>51940-149LF</v>
          </cell>
          <cell r="B2220" t="str">
            <v>51940-149LF Connector,PBVTR</v>
          </cell>
          <cell r="C2220">
            <v>3.0000000000000001E-3</v>
          </cell>
          <cell r="D2220">
            <v>1983.3333333333333</v>
          </cell>
          <cell r="E2220">
            <v>5950</v>
          </cell>
          <cell r="F2220">
            <v>2.1999999999999999E-2</v>
          </cell>
        </row>
        <row r="2221">
          <cell r="A2221" t="str">
            <v>51940-150LF</v>
          </cell>
          <cell r="B2221" t="str">
            <v>51940-150LF Connector,PBVTR</v>
          </cell>
          <cell r="C2221">
            <v>6.1000000000000004E-3</v>
          </cell>
          <cell r="D2221">
            <v>975.4098360655737</v>
          </cell>
          <cell r="E2221">
            <v>2926.2295081967213</v>
          </cell>
          <cell r="F2221">
            <v>2.1000000000000001E-2</v>
          </cell>
        </row>
        <row r="2222">
          <cell r="A2222" t="str">
            <v>51940-151LF</v>
          </cell>
          <cell r="B2222" t="str">
            <v>51940-151LF Connector,PBVTR</v>
          </cell>
          <cell r="C2222">
            <v>2E-3</v>
          </cell>
          <cell r="D2222">
            <v>2975</v>
          </cell>
          <cell r="E2222">
            <v>8925</v>
          </cell>
          <cell r="F2222">
            <v>3.2000000000000001E-2</v>
          </cell>
        </row>
        <row r="2223">
          <cell r="A2223" t="str">
            <v>51940-152LF</v>
          </cell>
          <cell r="B2223" t="str">
            <v>51940-152LF Connector,PBVTR</v>
          </cell>
          <cell r="C2223">
            <v>3.0000000000000001E-3</v>
          </cell>
          <cell r="D2223">
            <v>1983.3333333333333</v>
          </cell>
          <cell r="E2223">
            <v>5950</v>
          </cell>
          <cell r="F2223">
            <v>1.1299999999999999E-2</v>
          </cell>
        </row>
        <row r="2224">
          <cell r="A2224" t="str">
            <v>51940-154LF</v>
          </cell>
          <cell r="B2224" t="str">
            <v>51940-154LF Connector,PBVTR</v>
          </cell>
          <cell r="C2224">
            <v>6.1000000000000004E-3</v>
          </cell>
          <cell r="D2224">
            <v>975.4098360655737</v>
          </cell>
          <cell r="E2224">
            <v>2926.2295081967213</v>
          </cell>
          <cell r="F2224">
            <v>2.7E-2</v>
          </cell>
        </row>
        <row r="2225">
          <cell r="A2225" t="str">
            <v>51940-157LF</v>
          </cell>
          <cell r="B2225" t="str">
            <v>51940-157LF Connector,PBVTR</v>
          </cell>
          <cell r="C2225">
            <v>6.4000000000000003E-3</v>
          </cell>
          <cell r="D2225">
            <v>929.6875</v>
          </cell>
          <cell r="E2225">
            <v>2789.0625</v>
          </cell>
          <cell r="F2225">
            <v>0.01</v>
          </cell>
        </row>
        <row r="2226">
          <cell r="A2226" t="str">
            <v>51940-160LF</v>
          </cell>
          <cell r="B2226" t="str">
            <v>51940-160LF Connector,PBVTR</v>
          </cell>
          <cell r="C2226">
            <v>2E-3</v>
          </cell>
          <cell r="D2226">
            <v>2975</v>
          </cell>
          <cell r="E2226">
            <v>8925</v>
          </cell>
          <cell r="F2226">
            <v>2.58E-2</v>
          </cell>
        </row>
        <row r="2227">
          <cell r="A2227" t="str">
            <v>51940-162LF</v>
          </cell>
          <cell r="B2227" t="str">
            <v>51940-162LF Connector,PBVTR</v>
          </cell>
          <cell r="C2227">
            <v>5.0000000000000001E-3</v>
          </cell>
          <cell r="D2227">
            <v>1190</v>
          </cell>
          <cell r="E2227">
            <v>3570</v>
          </cell>
          <cell r="F2227">
            <v>1.6E-2</v>
          </cell>
        </row>
        <row r="2228">
          <cell r="A2228" t="str">
            <v>51940-163LF</v>
          </cell>
          <cell r="B2228" t="str">
            <v>51940-163LF Connector,PBVTR</v>
          </cell>
          <cell r="C2228">
            <v>1.2699999999999999E-2</v>
          </cell>
          <cell r="D2228">
            <v>468.50393700787407</v>
          </cell>
          <cell r="E2228">
            <v>1405.5118110236222</v>
          </cell>
          <cell r="F2228">
            <v>2.3E-2</v>
          </cell>
        </row>
        <row r="2229">
          <cell r="A2229" t="str">
            <v>51940-164LF</v>
          </cell>
          <cell r="B2229" t="str">
            <v>51940-164LF PwrBlade VR</v>
          </cell>
          <cell r="C2229">
            <v>3.0000000000000001E-3</v>
          </cell>
          <cell r="D2229">
            <v>1983.3333333333333</v>
          </cell>
          <cell r="E2229">
            <v>5950</v>
          </cell>
          <cell r="F2229">
            <v>3.2000000000000001E-2</v>
          </cell>
        </row>
        <row r="2230">
          <cell r="A2230" t="str">
            <v>51940-165LF</v>
          </cell>
          <cell r="B2230" t="str">
            <v>51940-165LF Connector,PBVTR</v>
          </cell>
          <cell r="C2230">
            <v>1.6999999999999999E-3</v>
          </cell>
          <cell r="D2230">
            <v>3500.0000000000005</v>
          </cell>
          <cell r="E2230">
            <v>10500.000000000002</v>
          </cell>
          <cell r="F2230">
            <v>2.9000000000000001E-2</v>
          </cell>
        </row>
        <row r="2231">
          <cell r="A2231" t="str">
            <v>51940-165PGSALF</v>
          </cell>
          <cell r="B2231" t="str">
            <v>51940-165PGSALF Connector,PBVTR</v>
          </cell>
          <cell r="C2231">
            <v>1.6999999999999999E-3</v>
          </cell>
          <cell r="D2231">
            <v>3500.0000000000005</v>
          </cell>
          <cell r="E2231">
            <v>10500.000000000002</v>
          </cell>
          <cell r="F2231">
            <v>2.9000000000000001E-2</v>
          </cell>
        </row>
        <row r="2232">
          <cell r="A2232" t="str">
            <v>51940-166LF</v>
          </cell>
          <cell r="B2232" t="str">
            <v>51940-166LF PwrBlade VR</v>
          </cell>
          <cell r="C2232">
            <v>7.9000000000000008E-3</v>
          </cell>
          <cell r="D2232">
            <v>753.16455696202524</v>
          </cell>
          <cell r="E2232">
            <v>2259.493670886076</v>
          </cell>
          <cell r="F2232">
            <v>1.14E-2</v>
          </cell>
        </row>
        <row r="2233">
          <cell r="A2233" t="str">
            <v>51940-168LF</v>
          </cell>
          <cell r="B2233" t="str">
            <v>51940-168LF Connector,PBVTR</v>
          </cell>
          <cell r="C2233">
            <v>3.0000000000000001E-3</v>
          </cell>
          <cell r="D2233">
            <v>1983.3333333333333</v>
          </cell>
          <cell r="E2233">
            <v>5950</v>
          </cell>
          <cell r="F2233">
            <v>2.1000000000000001E-2</v>
          </cell>
        </row>
        <row r="2234">
          <cell r="A2234" t="str">
            <v>51940-169LF</v>
          </cell>
          <cell r="B2234" t="str">
            <v>51940-169LF Connector,PBVTR</v>
          </cell>
          <cell r="C2234">
            <v>8.0000000000000002E-3</v>
          </cell>
          <cell r="D2234">
            <v>743.75</v>
          </cell>
          <cell r="E2234">
            <v>2231.25</v>
          </cell>
          <cell r="F2234">
            <v>4.2999999999999997E-2</v>
          </cell>
        </row>
        <row r="2235">
          <cell r="A2235" t="str">
            <v>51940-170LF</v>
          </cell>
          <cell r="B2235" t="str">
            <v>51940-170LF Connector,PBVTR</v>
          </cell>
          <cell r="C2235">
            <v>8.0000000000000002E-3</v>
          </cell>
          <cell r="D2235">
            <v>743.75</v>
          </cell>
          <cell r="E2235">
            <v>2231.25</v>
          </cell>
          <cell r="F2235">
            <v>4.2999999999999997E-2</v>
          </cell>
        </row>
        <row r="2236">
          <cell r="A2236" t="str">
            <v>51940-171LF</v>
          </cell>
          <cell r="B2236" t="str">
            <v>51940-171LF Connector,PBVTR</v>
          </cell>
          <cell r="C2236">
            <v>3.0000000000000001E-3</v>
          </cell>
          <cell r="D2236">
            <v>1983.3333333333333</v>
          </cell>
          <cell r="E2236">
            <v>5950</v>
          </cell>
          <cell r="F2236">
            <v>4.2000000000000003E-2</v>
          </cell>
        </row>
        <row r="2237">
          <cell r="A2237" t="str">
            <v>51940-172LF</v>
          </cell>
          <cell r="B2237" t="str">
            <v>51940-172LF Connector,PBVTR</v>
          </cell>
          <cell r="C2237">
            <v>3.0000000000000001E-3</v>
          </cell>
          <cell r="D2237">
            <v>1983.3333333333333</v>
          </cell>
          <cell r="E2237">
            <v>5950</v>
          </cell>
          <cell r="F2237">
            <v>3.3000000000000002E-2</v>
          </cell>
        </row>
        <row r="2238">
          <cell r="A2238" t="str">
            <v>51940-173LF</v>
          </cell>
          <cell r="B2238" t="str">
            <v>51940-173LF PwrBlade VR</v>
          </cell>
          <cell r="C2238">
            <v>2E-3</v>
          </cell>
          <cell r="D2238">
            <v>2975</v>
          </cell>
          <cell r="E2238">
            <v>8925</v>
          </cell>
          <cell r="F2238">
            <v>9.5259999999999997E-3</v>
          </cell>
        </row>
        <row r="2239">
          <cell r="A2239" t="str">
            <v>51940-174LF</v>
          </cell>
          <cell r="B2239" t="str">
            <v>51940-174LF PwrBlade VR</v>
          </cell>
          <cell r="C2239">
            <v>3.0000000000000001E-3</v>
          </cell>
          <cell r="D2239">
            <v>1983.3333333333333</v>
          </cell>
          <cell r="E2239">
            <v>5950</v>
          </cell>
          <cell r="F2239">
            <v>2.5000000000000001E-2</v>
          </cell>
        </row>
        <row r="2240">
          <cell r="A2240" t="str">
            <v>51940-175LF</v>
          </cell>
          <cell r="B2240" t="str">
            <v>51940-175LF PwrBlade VR</v>
          </cell>
          <cell r="C2240">
            <v>3.0000000000000001E-3</v>
          </cell>
          <cell r="D2240">
            <v>1983.3333333333333</v>
          </cell>
          <cell r="E2240">
            <v>5950</v>
          </cell>
          <cell r="F2240">
            <v>2.8202478999999999E-2</v>
          </cell>
        </row>
        <row r="2241">
          <cell r="A2241" t="str">
            <v>51940-177LF</v>
          </cell>
          <cell r="B2241" t="str">
            <v>51940-177LF Connector,PBVTR</v>
          </cell>
          <cell r="C2241">
            <v>6.1000000000000004E-3</v>
          </cell>
          <cell r="D2241">
            <v>975.4098360655737</v>
          </cell>
          <cell r="E2241">
            <v>2926.2295081967213</v>
          </cell>
          <cell r="F2241">
            <v>1.32E-2</v>
          </cell>
        </row>
        <row r="2242">
          <cell r="A2242" t="str">
            <v>51940-178LF</v>
          </cell>
          <cell r="B2242" t="str">
            <v>51940-178LF Connector,PBVTR</v>
          </cell>
          <cell r="C2242">
            <v>4.5999999999999999E-3</v>
          </cell>
          <cell r="D2242">
            <v>1293.4782608695652</v>
          </cell>
          <cell r="E2242">
            <v>3880.434782608696</v>
          </cell>
          <cell r="F2242">
            <v>9.7000000000000003E-3</v>
          </cell>
        </row>
        <row r="2243">
          <cell r="A2243" t="str">
            <v>51940-179LF</v>
          </cell>
          <cell r="B2243" t="str">
            <v>51940-179LF Connector,PBVTR</v>
          </cell>
          <cell r="C2243">
            <v>2E-3</v>
          </cell>
          <cell r="D2243">
            <v>2975</v>
          </cell>
          <cell r="E2243">
            <v>8925</v>
          </cell>
          <cell r="F2243">
            <v>2.1600000000000001E-2</v>
          </cell>
        </row>
        <row r="2244">
          <cell r="A2244" t="str">
            <v>51940-180LF</v>
          </cell>
          <cell r="B2244" t="str">
            <v>51940-180LF Connector,PBVTR</v>
          </cell>
          <cell r="C2244">
            <v>4.0000000000000001E-3</v>
          </cell>
          <cell r="D2244">
            <v>1487.5</v>
          </cell>
          <cell r="E2244">
            <v>4462.5</v>
          </cell>
          <cell r="F2244">
            <v>1.9900000000000001E-2</v>
          </cell>
        </row>
        <row r="2245">
          <cell r="A2245" t="str">
            <v>51940-181LF</v>
          </cell>
          <cell r="B2245" t="str">
            <v>51940-181LF Connector,PBVTR</v>
          </cell>
          <cell r="C2245">
            <v>3.0000000000000001E-3</v>
          </cell>
          <cell r="D2245">
            <v>1983.3333333333333</v>
          </cell>
          <cell r="E2245">
            <v>5950</v>
          </cell>
          <cell r="F2245">
            <v>2.1999999999999999E-2</v>
          </cell>
        </row>
        <row r="2246">
          <cell r="A2246" t="str">
            <v>51940-182LF</v>
          </cell>
          <cell r="B2246" t="str">
            <v>51940-182LF Connector,PBVTR</v>
          </cell>
          <cell r="C2246">
            <v>3.0000000000000001E-3</v>
          </cell>
          <cell r="D2246">
            <v>1983.3333333333333</v>
          </cell>
          <cell r="E2246">
            <v>5950</v>
          </cell>
          <cell r="F2246">
            <v>4.1000000000000002E-2</v>
          </cell>
        </row>
        <row r="2247">
          <cell r="A2247" t="str">
            <v>51940-184LF</v>
          </cell>
          <cell r="B2247" t="str">
            <v>51940-184LF Connector,PBVTR</v>
          </cell>
          <cell r="C2247">
            <v>3.0000000000000001E-3</v>
          </cell>
          <cell r="D2247">
            <v>1983.3333333333333</v>
          </cell>
          <cell r="E2247">
            <v>5950</v>
          </cell>
          <cell r="F2247">
            <v>2.9000000000000001E-2</v>
          </cell>
        </row>
        <row r="2248">
          <cell r="A2248" t="str">
            <v>51940-184PGSALF</v>
          </cell>
          <cell r="B2248" t="str">
            <v>51940-184PGSALF Connector,PBVTR</v>
          </cell>
          <cell r="C2248">
            <v>3.0000000000000001E-3</v>
          </cell>
          <cell r="D2248">
            <v>1983.3333333333333</v>
          </cell>
          <cell r="E2248">
            <v>5950</v>
          </cell>
          <cell r="F2248">
            <v>2.9000000000000001E-2</v>
          </cell>
        </row>
        <row r="2249">
          <cell r="A2249" t="str">
            <v>51940-185LF</v>
          </cell>
          <cell r="B2249" t="str">
            <v>51940-185LF Connector,PBVTR</v>
          </cell>
          <cell r="C2249">
            <v>3.0000000000000001E-3</v>
          </cell>
          <cell r="D2249">
            <v>1983.3333333333333</v>
          </cell>
          <cell r="E2249">
            <v>5950</v>
          </cell>
          <cell r="F2249">
            <v>2.4E-2</v>
          </cell>
        </row>
        <row r="2250">
          <cell r="A2250" t="str">
            <v>51940-187LF</v>
          </cell>
          <cell r="B2250" t="str">
            <v>51940-187LF Connector,PBVTR</v>
          </cell>
          <cell r="C2250">
            <v>2.8E-3</v>
          </cell>
          <cell r="D2250">
            <v>2125</v>
          </cell>
          <cell r="E2250">
            <v>6375</v>
          </cell>
          <cell r="F2250">
            <v>2.7099999999999999E-2</v>
          </cell>
        </row>
        <row r="2251">
          <cell r="A2251" t="str">
            <v>51940-188LF</v>
          </cell>
          <cell r="B2251" t="str">
            <v>51940-188LF Connector,PBVTR</v>
          </cell>
          <cell r="C2251">
            <v>2.8E-3</v>
          </cell>
          <cell r="D2251">
            <v>2125</v>
          </cell>
          <cell r="E2251">
            <v>6375</v>
          </cell>
          <cell r="F2251">
            <v>1.8100000000000002E-2</v>
          </cell>
        </row>
        <row r="2252">
          <cell r="A2252" t="str">
            <v>51940-189LF</v>
          </cell>
          <cell r="B2252" t="str">
            <v>51940-189LF PwrBlade VR</v>
          </cell>
          <cell r="C2252">
            <v>7.3000000000000001E-3</v>
          </cell>
          <cell r="D2252">
            <v>815.06849315068496</v>
          </cell>
          <cell r="E2252">
            <v>2445.205479452055</v>
          </cell>
          <cell r="F2252">
            <v>0.01</v>
          </cell>
        </row>
        <row r="2253">
          <cell r="A2253" t="str">
            <v>51940-189PGSALF</v>
          </cell>
          <cell r="B2253" t="str">
            <v>51940-189PGSALF Connector,PBVTR</v>
          </cell>
          <cell r="C2253">
            <v>7.3000000000000001E-3</v>
          </cell>
          <cell r="D2253">
            <v>815.06849315068496</v>
          </cell>
          <cell r="E2253">
            <v>2445.205479452055</v>
          </cell>
          <cell r="F2253">
            <v>0.01</v>
          </cell>
        </row>
        <row r="2254">
          <cell r="A2254" t="str">
            <v>51940-191LF</v>
          </cell>
          <cell r="B2254" t="str">
            <v>51940-191LF Connector,PBVTR</v>
          </cell>
          <cell r="C2254">
            <v>3.0000000000000001E-3</v>
          </cell>
          <cell r="D2254">
            <v>1983.3333333333333</v>
          </cell>
          <cell r="E2254">
            <v>5950</v>
          </cell>
          <cell r="F2254">
            <v>1.2500000000000001E-2</v>
          </cell>
        </row>
        <row r="2255">
          <cell r="A2255" t="str">
            <v>51940-192LF</v>
          </cell>
          <cell r="B2255" t="str">
            <v>51940-192LF Connector,PBVTR</v>
          </cell>
          <cell r="C2255">
            <v>6.1000000000000004E-3</v>
          </cell>
          <cell r="D2255">
            <v>975.4098360655737</v>
          </cell>
          <cell r="E2255">
            <v>2926.2295081967213</v>
          </cell>
          <cell r="F2255">
            <v>2.5000000000000001E-2</v>
          </cell>
        </row>
        <row r="2256">
          <cell r="A2256" t="str">
            <v>51940-193LF</v>
          </cell>
          <cell r="B2256" t="str">
            <v>51940-193LF Connector,PBVTR</v>
          </cell>
          <cell r="C2256">
            <v>2E-3</v>
          </cell>
          <cell r="D2256">
            <v>2975</v>
          </cell>
          <cell r="E2256">
            <v>8925</v>
          </cell>
          <cell r="F2256">
            <v>3.3000000000000002E-2</v>
          </cell>
        </row>
        <row r="2257">
          <cell r="A2257" t="str">
            <v>51940-194LF</v>
          </cell>
          <cell r="B2257" t="str">
            <v>51940-194LF Connector,PBVTR</v>
          </cell>
          <cell r="C2257">
            <v>6.1000000000000004E-3</v>
          </cell>
          <cell r="D2257">
            <v>975.4098360655737</v>
          </cell>
          <cell r="E2257">
            <v>2926.2295081967213</v>
          </cell>
          <cell r="F2257">
            <v>2.5000000000000001E-2</v>
          </cell>
        </row>
        <row r="2258">
          <cell r="A2258" t="str">
            <v>51940-195LF</v>
          </cell>
          <cell r="B2258" t="str">
            <v>51940-195LF Connector,PBVTR</v>
          </cell>
          <cell r="C2258">
            <v>3.0000000000000001E-3</v>
          </cell>
          <cell r="D2258">
            <v>1983.3333333333333</v>
          </cell>
          <cell r="E2258">
            <v>5950</v>
          </cell>
          <cell r="F2258">
            <v>1.4E-2</v>
          </cell>
        </row>
        <row r="2259">
          <cell r="A2259" t="str">
            <v>51940-199LF</v>
          </cell>
          <cell r="B2259" t="str">
            <v>51940-199LF Connector,PBVTR</v>
          </cell>
          <cell r="C2259">
            <v>6.1000000000000004E-3</v>
          </cell>
          <cell r="D2259">
            <v>975.4098360655737</v>
          </cell>
          <cell r="E2259">
            <v>2926.2295081967213</v>
          </cell>
          <cell r="F2259">
            <v>2.8000000000000001E-2</v>
          </cell>
        </row>
        <row r="2260">
          <cell r="A2260" t="str">
            <v>51940-200LF</v>
          </cell>
          <cell r="B2260" t="str">
            <v>51940-200LF Connector,PBVTR</v>
          </cell>
          <cell r="C2260">
            <v>4.3E-3</v>
          </cell>
          <cell r="D2260">
            <v>1383.7209302325582</v>
          </cell>
          <cell r="E2260">
            <v>4151.1627906976746</v>
          </cell>
          <cell r="F2260">
            <v>6.4999999999999997E-3</v>
          </cell>
        </row>
        <row r="2261">
          <cell r="A2261" t="str">
            <v>51940-202LF</v>
          </cell>
          <cell r="B2261" t="str">
            <v>51940-202LF PwrBlade VR STB</v>
          </cell>
          <cell r="C2261">
            <v>6.1000000000000004E-3</v>
          </cell>
          <cell r="D2261">
            <v>975.4098360655737</v>
          </cell>
          <cell r="E2261">
            <v>2926.2295081967213</v>
          </cell>
          <cell r="F2261">
            <v>1.650809E-2</v>
          </cell>
        </row>
        <row r="2262">
          <cell r="A2262" t="str">
            <v>51940-203LF</v>
          </cell>
          <cell r="B2262" t="str">
            <v>51940-203LF Connector,PBVTR</v>
          </cell>
          <cell r="C2262">
            <v>3.0000000000000001E-3</v>
          </cell>
          <cell r="D2262">
            <v>1983.3333333333333</v>
          </cell>
          <cell r="E2262">
            <v>5950</v>
          </cell>
          <cell r="F2262">
            <v>3.7999999999999999E-2</v>
          </cell>
        </row>
        <row r="2263">
          <cell r="A2263" t="str">
            <v>51940-204LF</v>
          </cell>
          <cell r="B2263" t="str">
            <v>51940-204LF Connector,PBVTR</v>
          </cell>
          <cell r="C2263">
            <v>3.0000000000000001E-3</v>
          </cell>
          <cell r="D2263">
            <v>1983.3333333333333</v>
          </cell>
          <cell r="E2263">
            <v>5950</v>
          </cell>
          <cell r="F2263">
            <v>3.5000000000000003E-2</v>
          </cell>
        </row>
        <row r="2264">
          <cell r="A2264" t="str">
            <v>51940-205LF</v>
          </cell>
          <cell r="B2264" t="str">
            <v>51940-205LF Connector,PBVTR</v>
          </cell>
          <cell r="C2264">
            <v>3.0000000000000001E-3</v>
          </cell>
          <cell r="D2264">
            <v>1983.3333333333333</v>
          </cell>
          <cell r="E2264">
            <v>5950</v>
          </cell>
          <cell r="F2264">
            <v>1.9300000000000001E-2</v>
          </cell>
        </row>
        <row r="2265">
          <cell r="A2265" t="str">
            <v>51940-206LF</v>
          </cell>
          <cell r="B2265" t="str">
            <v>51940-206LF Connector,PBVTR</v>
          </cell>
          <cell r="C2265">
            <v>3.0000000000000001E-3</v>
          </cell>
          <cell r="D2265">
            <v>1983.3333333333333</v>
          </cell>
          <cell r="E2265">
            <v>5950</v>
          </cell>
          <cell r="F2265">
            <v>3.3000000000000002E-2</v>
          </cell>
        </row>
        <row r="2266">
          <cell r="A2266" t="str">
            <v>51940-207LF</v>
          </cell>
          <cell r="B2266" t="str">
            <v>51940-207LF Connector,PBVTR</v>
          </cell>
          <cell r="C2266">
            <v>2E-3</v>
          </cell>
          <cell r="D2266">
            <v>2975</v>
          </cell>
          <cell r="E2266">
            <v>8925</v>
          </cell>
          <cell r="F2266">
            <v>2.7E-2</v>
          </cell>
        </row>
        <row r="2267">
          <cell r="A2267" t="str">
            <v>51940-208LF</v>
          </cell>
          <cell r="B2267" t="str">
            <v>51940-208LF Connector,PBVTR</v>
          </cell>
          <cell r="C2267">
            <v>3.0000000000000001E-3</v>
          </cell>
          <cell r="D2267">
            <v>1983.3333333333333</v>
          </cell>
          <cell r="E2267">
            <v>5950</v>
          </cell>
          <cell r="F2267">
            <v>3.2000000000000001E-2</v>
          </cell>
        </row>
        <row r="2268">
          <cell r="A2268" t="str">
            <v>51940-209LF</v>
          </cell>
          <cell r="B2268" t="str">
            <v>51940-209LF Connector,PBVTR</v>
          </cell>
          <cell r="C2268">
            <v>3.0000000000000001E-3</v>
          </cell>
          <cell r="D2268">
            <v>1983.3333333333333</v>
          </cell>
          <cell r="E2268">
            <v>5950</v>
          </cell>
          <cell r="F2268">
            <v>0.03</v>
          </cell>
        </row>
        <row r="2269">
          <cell r="A2269" t="str">
            <v>51940-211LF</v>
          </cell>
          <cell r="B2269" t="str">
            <v>51940-211LF Connector,PBVTR</v>
          </cell>
          <cell r="C2269">
            <v>3.0000000000000001E-3</v>
          </cell>
          <cell r="D2269">
            <v>1983.3333333333333</v>
          </cell>
          <cell r="E2269">
            <v>5950</v>
          </cell>
          <cell r="F2269">
            <v>3.5999999999999997E-2</v>
          </cell>
        </row>
        <row r="2270">
          <cell r="A2270" t="str">
            <v>51940-213LF</v>
          </cell>
          <cell r="B2270" t="str">
            <v>51940-213LF Connector,PBVTR</v>
          </cell>
          <cell r="C2270">
            <v>3.0000000000000001E-3</v>
          </cell>
          <cell r="D2270">
            <v>1983.3333333333333</v>
          </cell>
          <cell r="E2270">
            <v>5950</v>
          </cell>
          <cell r="F2270">
            <v>3.7999999999999999E-2</v>
          </cell>
        </row>
        <row r="2271">
          <cell r="A2271" t="str">
            <v>51940-214LF</v>
          </cell>
          <cell r="B2271" t="str">
            <v>51940-214LF Connector,PBVTR</v>
          </cell>
          <cell r="C2271">
            <v>2E-3</v>
          </cell>
          <cell r="D2271">
            <v>2975</v>
          </cell>
          <cell r="E2271">
            <v>8925</v>
          </cell>
          <cell r="F2271">
            <v>2.2499999999999999E-2</v>
          </cell>
        </row>
        <row r="2272">
          <cell r="A2272" t="str">
            <v>51940-215LF</v>
          </cell>
          <cell r="B2272" t="str">
            <v>51940-215LF Connector,PBVTR</v>
          </cell>
          <cell r="C2272">
            <v>6.1000000000000004E-3</v>
          </cell>
          <cell r="D2272">
            <v>975.4098360655737</v>
          </cell>
          <cell r="E2272">
            <v>2926.2295081967213</v>
          </cell>
          <cell r="F2272">
            <v>1.67E-2</v>
          </cell>
        </row>
        <row r="2273">
          <cell r="A2273" t="str">
            <v>51940-216LF</v>
          </cell>
          <cell r="B2273" t="str">
            <v>51940-216LF Connector,PBVTR</v>
          </cell>
          <cell r="C2273">
            <v>3.0000000000000001E-3</v>
          </cell>
          <cell r="D2273">
            <v>1983.3333333333333</v>
          </cell>
          <cell r="E2273">
            <v>5950</v>
          </cell>
          <cell r="F2273">
            <v>0.03</v>
          </cell>
        </row>
        <row r="2274">
          <cell r="A2274" t="str">
            <v>51940-217LF</v>
          </cell>
          <cell r="B2274" t="str">
            <v>51940-217LF Connector,PBVTR</v>
          </cell>
          <cell r="C2274">
            <v>2E-3</v>
          </cell>
          <cell r="D2274">
            <v>2975</v>
          </cell>
          <cell r="E2274">
            <v>8925</v>
          </cell>
          <cell r="F2274">
            <v>2.9000000000000001E-2</v>
          </cell>
        </row>
        <row r="2275">
          <cell r="A2275" t="str">
            <v>51940-218LF</v>
          </cell>
          <cell r="B2275" t="str">
            <v>51940-218LF Connector,PBVTR</v>
          </cell>
          <cell r="C2275">
            <v>3.0000000000000001E-3</v>
          </cell>
          <cell r="D2275">
            <v>1983.3333333333333</v>
          </cell>
          <cell r="E2275">
            <v>5950</v>
          </cell>
          <cell r="F2275">
            <v>3.2000000000000001E-2</v>
          </cell>
        </row>
        <row r="2276">
          <cell r="A2276" t="str">
            <v>51940-219LF</v>
          </cell>
          <cell r="B2276" t="str">
            <v>51940-219LF Connector,PBVTR</v>
          </cell>
          <cell r="C2276">
            <v>6.3E-3</v>
          </cell>
          <cell r="D2276">
            <v>944.44444444444446</v>
          </cell>
          <cell r="E2276">
            <v>2833.3333333333335</v>
          </cell>
          <cell r="F2276">
            <v>3.4000000000000002E-2</v>
          </cell>
        </row>
        <row r="2277">
          <cell r="A2277" t="str">
            <v>51940-220LF</v>
          </cell>
          <cell r="B2277" t="str">
            <v>51940-220LF PwrBlade VR STB</v>
          </cell>
          <cell r="C2277">
            <v>3.0000000000000001E-3</v>
          </cell>
          <cell r="D2277">
            <v>1983.3333333333333</v>
          </cell>
          <cell r="E2277">
            <v>5950</v>
          </cell>
          <cell r="F2277">
            <v>2.5000000000000001E-2</v>
          </cell>
        </row>
        <row r="2278">
          <cell r="A2278" t="str">
            <v>51940-221LF</v>
          </cell>
          <cell r="B2278" t="str">
            <v>51940-221LF Connector,PBVTR</v>
          </cell>
          <cell r="C2278">
            <v>5.0000000000000001E-3</v>
          </cell>
          <cell r="D2278">
            <v>1190</v>
          </cell>
          <cell r="E2278">
            <v>3570</v>
          </cell>
          <cell r="F2278">
            <v>2.4E-2</v>
          </cell>
        </row>
        <row r="2279">
          <cell r="A2279" t="str">
            <v>51940-222LF</v>
          </cell>
          <cell r="B2279" t="str">
            <v>51940-222LF Connector,PBVTR</v>
          </cell>
          <cell r="C2279">
            <v>3.0000000000000001E-3</v>
          </cell>
          <cell r="D2279">
            <v>1983.3333333333333</v>
          </cell>
          <cell r="E2279">
            <v>5950</v>
          </cell>
          <cell r="F2279">
            <v>0.03</v>
          </cell>
        </row>
        <row r="2280">
          <cell r="A2280" t="str">
            <v>51940-224LF</v>
          </cell>
          <cell r="B2280" t="str">
            <v>51940-224LF Connector,PBVTR</v>
          </cell>
          <cell r="C2280">
            <v>3.0000000000000001E-3</v>
          </cell>
          <cell r="D2280">
            <v>1983.3333333333333</v>
          </cell>
          <cell r="E2280">
            <v>5950</v>
          </cell>
          <cell r="F2280">
            <v>3.2000000000000001E-2</v>
          </cell>
        </row>
        <row r="2281">
          <cell r="A2281" t="str">
            <v>51940-226LF</v>
          </cell>
          <cell r="B2281" t="str">
            <v>51940-226LF PwrBlade VR STB</v>
          </cell>
          <cell r="C2281">
            <v>3.0000000000000001E-3</v>
          </cell>
          <cell r="D2281">
            <v>1983.3333333333333</v>
          </cell>
          <cell r="E2281">
            <v>5950</v>
          </cell>
          <cell r="F2281">
            <v>2.8363636000000001E-2</v>
          </cell>
        </row>
        <row r="2282">
          <cell r="A2282" t="str">
            <v>51940-228LF</v>
          </cell>
          <cell r="B2282" t="str">
            <v>51940-228LF Connector,PBVTR</v>
          </cell>
          <cell r="C2282">
            <v>6.3E-3</v>
          </cell>
          <cell r="D2282">
            <v>944.44444444444446</v>
          </cell>
          <cell r="E2282">
            <v>2833.3333333333335</v>
          </cell>
          <cell r="F2282">
            <v>9.1999999999999998E-3</v>
          </cell>
        </row>
        <row r="2283">
          <cell r="A2283" t="str">
            <v>51940-230LF</v>
          </cell>
          <cell r="B2283" t="str">
            <v>51940-230LF Connector,PBVTR</v>
          </cell>
          <cell r="C2283">
            <v>3.0000000000000001E-3</v>
          </cell>
          <cell r="D2283">
            <v>1983.3333333333333</v>
          </cell>
          <cell r="E2283">
            <v>5950</v>
          </cell>
          <cell r="F2283">
            <v>5.2999999999999999E-2</v>
          </cell>
        </row>
        <row r="2284">
          <cell r="A2284" t="str">
            <v>51940-231LF</v>
          </cell>
          <cell r="B2284" t="str">
            <v>51940-231LF Connector,PBVTR</v>
          </cell>
          <cell r="C2284">
            <v>3.0000000000000001E-3</v>
          </cell>
          <cell r="D2284">
            <v>1983.3333333333333</v>
          </cell>
          <cell r="E2284">
            <v>5950</v>
          </cell>
          <cell r="F2284">
            <v>2.9000000000000001E-2</v>
          </cell>
        </row>
        <row r="2285">
          <cell r="A2285" t="str">
            <v>51940-233LF</v>
          </cell>
          <cell r="B2285" t="str">
            <v>51940-233LF PwrBlade VR STB</v>
          </cell>
          <cell r="C2285">
            <v>3.0000000000000001E-3</v>
          </cell>
          <cell r="D2285">
            <v>1983.3333333333333</v>
          </cell>
          <cell r="E2285">
            <v>5950</v>
          </cell>
          <cell r="F2285">
            <v>1.5886999999999998E-2</v>
          </cell>
        </row>
        <row r="2286">
          <cell r="A2286" t="str">
            <v>51940-234LF</v>
          </cell>
          <cell r="B2286" t="str">
            <v>51940-234LF Connector,PBVTR</v>
          </cell>
          <cell r="C2286">
            <v>3.0000000000000001E-3</v>
          </cell>
          <cell r="D2286">
            <v>1983.3333333333333</v>
          </cell>
          <cell r="E2286">
            <v>5950</v>
          </cell>
          <cell r="F2286">
            <v>0.02</v>
          </cell>
        </row>
        <row r="2287">
          <cell r="A2287" t="str">
            <v>51940-235LF</v>
          </cell>
          <cell r="B2287" t="str">
            <v>51940-235LF Connector,PBVTR</v>
          </cell>
          <cell r="C2287">
            <v>3.0000000000000001E-3</v>
          </cell>
          <cell r="D2287">
            <v>1983.3333333333333</v>
          </cell>
          <cell r="E2287">
            <v>5950</v>
          </cell>
          <cell r="F2287">
            <v>2.12E-2</v>
          </cell>
        </row>
        <row r="2288">
          <cell r="A2288" t="str">
            <v>51940-236LF</v>
          </cell>
          <cell r="B2288" t="str">
            <v>51940-236LF Connector,PBVTR</v>
          </cell>
          <cell r="C2288">
            <v>3.0000000000000001E-3</v>
          </cell>
          <cell r="D2288">
            <v>1983.3333333333333</v>
          </cell>
          <cell r="E2288">
            <v>5950</v>
          </cell>
          <cell r="F2288">
            <v>2.9000000000000001E-2</v>
          </cell>
        </row>
        <row r="2289">
          <cell r="A2289" t="str">
            <v>51940-237LF</v>
          </cell>
          <cell r="B2289" t="str">
            <v>51940-237LF Connector,PBVTR</v>
          </cell>
          <cell r="C2289">
            <v>1E-3</v>
          </cell>
          <cell r="D2289">
            <v>5950</v>
          </cell>
          <cell r="E2289">
            <v>17850</v>
          </cell>
          <cell r="F2289">
            <v>2.9000000000000001E-2</v>
          </cell>
        </row>
        <row r="2290">
          <cell r="A2290" t="str">
            <v>51940-238LF</v>
          </cell>
          <cell r="B2290" t="str">
            <v>51940-238LF Connector,PBVTR</v>
          </cell>
          <cell r="C2290">
            <v>3.0000000000000001E-3</v>
          </cell>
          <cell r="D2290">
            <v>1983.3333333333333</v>
          </cell>
          <cell r="E2290">
            <v>5950</v>
          </cell>
          <cell r="F2290">
            <v>0.03</v>
          </cell>
        </row>
        <row r="2291">
          <cell r="A2291" t="str">
            <v>51940-241LF</v>
          </cell>
          <cell r="B2291" t="str">
            <v>51940-241LF Connector,PBVTR</v>
          </cell>
          <cell r="C2291">
            <v>3.0000000000000001E-3</v>
          </cell>
          <cell r="D2291">
            <v>1983.3333333333333</v>
          </cell>
          <cell r="E2291">
            <v>5950</v>
          </cell>
          <cell r="F2291">
            <v>3.5999999999999997E-2</v>
          </cell>
        </row>
        <row r="2292">
          <cell r="A2292" t="str">
            <v>51940-243LF</v>
          </cell>
          <cell r="B2292" t="str">
            <v>51940-243LF Connector,PBVTR</v>
          </cell>
          <cell r="C2292">
            <v>8.3999999999999995E-3</v>
          </cell>
          <cell r="D2292">
            <v>708.33333333333337</v>
          </cell>
          <cell r="E2292">
            <v>2125</v>
          </cell>
          <cell r="F2292">
            <v>2.5000000000000001E-2</v>
          </cell>
        </row>
        <row r="2293">
          <cell r="A2293" t="str">
            <v>51940-248LF</v>
          </cell>
          <cell r="B2293" t="str">
            <v>51940-248LF Connector,PBVTR</v>
          </cell>
          <cell r="C2293">
            <v>8.3999999999999995E-3</v>
          </cell>
          <cell r="D2293">
            <v>708.33333333333337</v>
          </cell>
          <cell r="E2293">
            <v>2125</v>
          </cell>
          <cell r="F2293">
            <v>3.7199999999999997E-2</v>
          </cell>
        </row>
        <row r="2294">
          <cell r="A2294" t="str">
            <v>51940-251LF</v>
          </cell>
          <cell r="B2294" t="str">
            <v>51940-251LF Connector,PBVTR</v>
          </cell>
          <cell r="C2294">
            <v>2E-3</v>
          </cell>
          <cell r="D2294">
            <v>2975</v>
          </cell>
          <cell r="E2294">
            <v>8925</v>
          </cell>
          <cell r="F2294">
            <v>0.03</v>
          </cell>
        </row>
        <row r="2295">
          <cell r="A2295" t="str">
            <v>51940-252LF</v>
          </cell>
          <cell r="B2295" t="str">
            <v>51940-252LF Connector,PBVTR</v>
          </cell>
          <cell r="C2295">
            <v>4.0000000000000001E-3</v>
          </cell>
          <cell r="D2295">
            <v>1487.5</v>
          </cell>
          <cell r="E2295">
            <v>4462.5</v>
          </cell>
          <cell r="F2295">
            <v>3.3000000000000002E-2</v>
          </cell>
        </row>
        <row r="2296">
          <cell r="A2296" t="str">
            <v>51940-253LF</v>
          </cell>
          <cell r="B2296" t="str">
            <v>51940-253LF Connector,PBVTR</v>
          </cell>
          <cell r="C2296">
            <v>3.0000000000000001E-3</v>
          </cell>
          <cell r="D2296">
            <v>1983.3333333333333</v>
          </cell>
          <cell r="E2296">
            <v>5950</v>
          </cell>
          <cell r="F2296">
            <v>1.0800000000000001E-2</v>
          </cell>
        </row>
        <row r="2297">
          <cell r="A2297" t="str">
            <v>51940-254LF</v>
          </cell>
          <cell r="B2297" t="str">
            <v>51940-254LF Connector,PBVTR</v>
          </cell>
          <cell r="C2297">
            <v>6.1000000000000004E-3</v>
          </cell>
          <cell r="D2297">
            <v>975.4098360655737</v>
          </cell>
          <cell r="E2297">
            <v>2926.2295081967213</v>
          </cell>
          <cell r="F2297">
            <v>1.9E-2</v>
          </cell>
        </row>
        <row r="2298">
          <cell r="A2298" t="str">
            <v>51940-255LF</v>
          </cell>
          <cell r="B2298" t="str">
            <v>51940-255LF Connector,PBVTR</v>
          </cell>
          <cell r="C2298">
            <v>3.0000000000000001E-3</v>
          </cell>
          <cell r="D2298">
            <v>1983.3333333333333</v>
          </cell>
          <cell r="E2298">
            <v>5950</v>
          </cell>
          <cell r="F2298">
            <v>2.5000000000000001E-2</v>
          </cell>
        </row>
        <row r="2299">
          <cell r="A2299" t="str">
            <v>51940-256LF</v>
          </cell>
          <cell r="B2299" t="str">
            <v>51940-256LF Connector,PBVTR</v>
          </cell>
          <cell r="C2299">
            <v>6.1000000000000004E-3</v>
          </cell>
          <cell r="D2299">
            <v>975.4098360655737</v>
          </cell>
          <cell r="E2299">
            <v>2926.2295081967213</v>
          </cell>
          <cell r="F2299">
            <v>0.02</v>
          </cell>
        </row>
        <row r="2300">
          <cell r="A2300" t="str">
            <v>51940-257LF</v>
          </cell>
          <cell r="B2300" t="str">
            <v>51940-257LF Connector,PBVTR</v>
          </cell>
          <cell r="C2300">
            <v>2E-3</v>
          </cell>
          <cell r="D2300">
            <v>2975</v>
          </cell>
          <cell r="E2300">
            <v>8925</v>
          </cell>
          <cell r="F2300">
            <v>2.8000000000000001E-2</v>
          </cell>
        </row>
        <row r="2301">
          <cell r="A2301" t="str">
            <v>51940-258LF</v>
          </cell>
          <cell r="B2301" t="str">
            <v>51940-258LF Connector,PBVTR</v>
          </cell>
          <cell r="C2301">
            <v>3.0000000000000001E-3</v>
          </cell>
          <cell r="D2301">
            <v>1983.3333333333333</v>
          </cell>
          <cell r="E2301">
            <v>5950</v>
          </cell>
          <cell r="F2301">
            <v>3.1E-2</v>
          </cell>
        </row>
        <row r="2302">
          <cell r="A2302" t="str">
            <v>51940-259LF</v>
          </cell>
          <cell r="B2302" t="str">
            <v>51940-259LF Connector,PBVTR</v>
          </cell>
          <cell r="C2302">
            <v>3.0000000000000001E-3</v>
          </cell>
          <cell r="D2302">
            <v>1983.3333333333333</v>
          </cell>
          <cell r="E2302">
            <v>5950</v>
          </cell>
          <cell r="F2302">
            <v>3.3000000000000002E-2</v>
          </cell>
        </row>
        <row r="2303">
          <cell r="A2303" t="str">
            <v>51940-260LF</v>
          </cell>
          <cell r="B2303" t="str">
            <v>51940-260LF Connector,PBVTR</v>
          </cell>
          <cell r="C2303">
            <v>3.0000000000000001E-3</v>
          </cell>
          <cell r="D2303">
            <v>1983.3333333333333</v>
          </cell>
          <cell r="E2303">
            <v>5950</v>
          </cell>
          <cell r="F2303">
            <v>2.4E-2</v>
          </cell>
        </row>
        <row r="2304">
          <cell r="A2304" t="str">
            <v>51940-261LF</v>
          </cell>
          <cell r="B2304" t="str">
            <v>51940-261LF Connector,PBVTR</v>
          </cell>
          <cell r="C2304">
            <v>8.9999999999999993E-3</v>
          </cell>
          <cell r="D2304">
            <v>661.1111111111112</v>
          </cell>
          <cell r="E2304">
            <v>1983.3333333333335</v>
          </cell>
          <cell r="F2304">
            <v>3.2000000000000001E-2</v>
          </cell>
        </row>
        <row r="2305">
          <cell r="A2305" t="str">
            <v>51940-263LF</v>
          </cell>
          <cell r="B2305" t="str">
            <v>51940-263LF Connector,PBVTR</v>
          </cell>
          <cell r="C2305">
            <v>3.0000000000000001E-3</v>
          </cell>
          <cell r="D2305">
            <v>1983.3333333333333</v>
          </cell>
          <cell r="E2305">
            <v>5950</v>
          </cell>
          <cell r="F2305">
            <v>3.2000000000000001E-2</v>
          </cell>
        </row>
        <row r="2306">
          <cell r="A2306" t="str">
            <v>51940-265LF</v>
          </cell>
          <cell r="B2306" t="str">
            <v>51940-265LF Connector,PBVTR</v>
          </cell>
          <cell r="C2306">
            <v>7.6E-3</v>
          </cell>
          <cell r="D2306">
            <v>782.89473684210532</v>
          </cell>
          <cell r="E2306">
            <v>2348.6842105263158</v>
          </cell>
          <cell r="F2306">
            <v>1.03E-2</v>
          </cell>
        </row>
        <row r="2307">
          <cell r="A2307" t="str">
            <v>51940-266LF</v>
          </cell>
          <cell r="B2307" t="str">
            <v>51940-266LF Connector,PBVTR</v>
          </cell>
          <cell r="C2307">
            <v>6.1000000000000004E-3</v>
          </cell>
          <cell r="D2307">
            <v>975.4098360655737</v>
          </cell>
          <cell r="E2307">
            <v>2926.2295081967213</v>
          </cell>
          <cell r="F2307">
            <v>1.29E-2</v>
          </cell>
        </row>
        <row r="2308">
          <cell r="A2308" t="str">
            <v>51940-269LF</v>
          </cell>
          <cell r="B2308" t="str">
            <v>51940-269LF Connector,PBVTR</v>
          </cell>
          <cell r="C2308">
            <v>3.0000000000000001E-3</v>
          </cell>
          <cell r="D2308">
            <v>1983.3333333333333</v>
          </cell>
          <cell r="E2308">
            <v>5950</v>
          </cell>
          <cell r="F2308">
            <v>2.0199999999999999E-2</v>
          </cell>
        </row>
        <row r="2309">
          <cell r="A2309" t="str">
            <v>51940-270LF</v>
          </cell>
          <cell r="B2309" t="str">
            <v>51940-270LF Connector,PBVTR</v>
          </cell>
          <cell r="C2309">
            <v>2E-3</v>
          </cell>
          <cell r="D2309">
            <v>2975</v>
          </cell>
          <cell r="E2309">
            <v>8925</v>
          </cell>
          <cell r="F2309">
            <v>3.1E-2</v>
          </cell>
        </row>
        <row r="2310">
          <cell r="A2310" t="str">
            <v>51940-271LF</v>
          </cell>
          <cell r="B2310" t="str">
            <v>51940-271LF Connector,PBVTR</v>
          </cell>
          <cell r="C2310">
            <v>3.0000000000000001E-3</v>
          </cell>
          <cell r="D2310">
            <v>1983.3333333333333</v>
          </cell>
          <cell r="E2310">
            <v>5950</v>
          </cell>
          <cell r="F2310">
            <v>3.6999999999999998E-2</v>
          </cell>
        </row>
        <row r="2311">
          <cell r="A2311" t="str">
            <v>51940-272LF</v>
          </cell>
          <cell r="B2311" t="str">
            <v>51940-272LF Connector,PBVTR</v>
          </cell>
          <cell r="C2311">
            <v>0.01</v>
          </cell>
          <cell r="D2311">
            <v>595</v>
          </cell>
          <cell r="E2311">
            <v>1785</v>
          </cell>
          <cell r="F2311">
            <v>4.9000000000000002E-2</v>
          </cell>
        </row>
        <row r="2312">
          <cell r="A2312" t="str">
            <v>51940-273LF</v>
          </cell>
          <cell r="B2312" t="str">
            <v>51940-273LF Connector,PBVTR</v>
          </cell>
          <cell r="C2312">
            <v>6.1000000000000004E-3</v>
          </cell>
          <cell r="D2312">
            <v>975.4098360655737</v>
          </cell>
          <cell r="E2312">
            <v>2926.2295081967213</v>
          </cell>
          <cell r="F2312">
            <v>2.8000000000000001E-2</v>
          </cell>
        </row>
        <row r="2313">
          <cell r="A2313" t="str">
            <v>51940-275LF</v>
          </cell>
          <cell r="B2313" t="str">
            <v>51940-275LF Connector,PBVTR</v>
          </cell>
          <cell r="C2313">
            <v>6.1000000000000004E-3</v>
          </cell>
          <cell r="D2313">
            <v>975.4098360655737</v>
          </cell>
          <cell r="E2313">
            <v>2926.2295081967213</v>
          </cell>
          <cell r="F2313">
            <v>1.7500000000000002E-2</v>
          </cell>
        </row>
        <row r="2314">
          <cell r="A2314" t="str">
            <v>51940-276LF</v>
          </cell>
          <cell r="B2314" t="str">
            <v>51940-276LF Connector,PBVTR</v>
          </cell>
          <cell r="C2314">
            <v>3.0000000000000001E-3</v>
          </cell>
          <cell r="D2314">
            <v>1983.3333333333333</v>
          </cell>
          <cell r="E2314">
            <v>5950</v>
          </cell>
          <cell r="F2314">
            <v>6.4399999999999999E-2</v>
          </cell>
        </row>
        <row r="2315">
          <cell r="A2315" t="str">
            <v>51940-277LF</v>
          </cell>
          <cell r="B2315" t="str">
            <v>51940-277LF Connector,PBVTR</v>
          </cell>
          <cell r="C2315">
            <v>2E-3</v>
          </cell>
          <cell r="D2315">
            <v>2975</v>
          </cell>
          <cell r="E2315">
            <v>8925</v>
          </cell>
          <cell r="F2315">
            <v>3.4000000000000002E-2</v>
          </cell>
        </row>
        <row r="2316">
          <cell r="A2316" t="str">
            <v>51940-278LF</v>
          </cell>
          <cell r="B2316" t="str">
            <v>51940-278LF Connector,PBVTR</v>
          </cell>
          <cell r="C2316">
            <v>4.0000000000000001E-3</v>
          </cell>
          <cell r="D2316">
            <v>1487.5</v>
          </cell>
          <cell r="E2316">
            <v>4462.5</v>
          </cell>
          <cell r="F2316">
            <v>2.9000000000000001E-2</v>
          </cell>
        </row>
        <row r="2317">
          <cell r="A2317" t="str">
            <v>51940-279LF</v>
          </cell>
          <cell r="B2317" t="str">
            <v>51940-279LF Connector,PBVTR</v>
          </cell>
          <cell r="C2317">
            <v>3.0000000000000001E-3</v>
          </cell>
          <cell r="D2317">
            <v>1983.3333333333333</v>
          </cell>
          <cell r="E2317">
            <v>5950</v>
          </cell>
          <cell r="F2317">
            <v>3.2000000000000001E-2</v>
          </cell>
        </row>
        <row r="2318">
          <cell r="A2318" t="str">
            <v>51940-280LF</v>
          </cell>
          <cell r="B2318" t="str">
            <v>51940-280LF PwrBlade VR</v>
          </cell>
          <cell r="C2318">
            <v>8.6E-3</v>
          </cell>
          <cell r="D2318">
            <v>691.8604651162791</v>
          </cell>
          <cell r="E2318">
            <v>2075.5813953488373</v>
          </cell>
          <cell r="F2318">
            <v>1.1900000000000001E-2</v>
          </cell>
        </row>
        <row r="2319">
          <cell r="A2319" t="str">
            <v>51940-281LF</v>
          </cell>
          <cell r="B2319" t="str">
            <v>51940-281LF Connector,PBVTR</v>
          </cell>
          <cell r="C2319">
            <v>3.0000000000000001E-3</v>
          </cell>
          <cell r="D2319">
            <v>1983.3333333333333</v>
          </cell>
          <cell r="E2319">
            <v>5950</v>
          </cell>
          <cell r="F2319">
            <v>2.4E-2</v>
          </cell>
        </row>
        <row r="2320">
          <cell r="A2320" t="str">
            <v>51940-282LF</v>
          </cell>
          <cell r="B2320" t="str">
            <v>51940-282LF Connector,PBVTR</v>
          </cell>
          <cell r="C2320">
            <v>2E-3</v>
          </cell>
          <cell r="D2320">
            <v>2975</v>
          </cell>
          <cell r="E2320">
            <v>8925</v>
          </cell>
          <cell r="F2320">
            <v>2.7E-2</v>
          </cell>
        </row>
        <row r="2321">
          <cell r="A2321" t="str">
            <v>51940-283LF</v>
          </cell>
          <cell r="B2321" t="str">
            <v>51940-283LF Connector,PBVTR</v>
          </cell>
          <cell r="C2321">
            <v>3.0000000000000001E-3</v>
          </cell>
          <cell r="D2321">
            <v>1983.3333333333333</v>
          </cell>
          <cell r="E2321">
            <v>5950</v>
          </cell>
          <cell r="F2321">
            <v>3.4000000000000002E-2</v>
          </cell>
        </row>
        <row r="2322">
          <cell r="A2322" t="str">
            <v>51940-286LF</v>
          </cell>
          <cell r="B2322" t="str">
            <v>51940-286LF Connector,PBVTR</v>
          </cell>
          <cell r="C2322">
            <v>3.0000000000000001E-3</v>
          </cell>
          <cell r="D2322">
            <v>1983.3333333333333</v>
          </cell>
          <cell r="E2322">
            <v>5950</v>
          </cell>
          <cell r="F2322">
            <v>3.2000000000000001E-2</v>
          </cell>
        </row>
        <row r="2323">
          <cell r="A2323" t="str">
            <v>51940-287LF</v>
          </cell>
          <cell r="B2323" t="str">
            <v>51940-287LF Connector,PBVTR</v>
          </cell>
          <cell r="C2323">
            <v>2E-3</v>
          </cell>
          <cell r="D2323">
            <v>2975</v>
          </cell>
          <cell r="E2323">
            <v>8925</v>
          </cell>
          <cell r="F2323">
            <v>2.8500000000000001E-2</v>
          </cell>
        </row>
        <row r="2324">
          <cell r="A2324" t="str">
            <v>51940-288LF</v>
          </cell>
          <cell r="B2324" t="str">
            <v>51940-288LF PwrBlade VR</v>
          </cell>
          <cell r="C2324">
            <v>3.0000000000000001E-3</v>
          </cell>
          <cell r="D2324">
            <v>1983.3333333333333</v>
          </cell>
          <cell r="E2324">
            <v>5950</v>
          </cell>
          <cell r="F2324">
            <v>2.2362054999999999E-2</v>
          </cell>
        </row>
        <row r="2325">
          <cell r="A2325" t="str">
            <v>51940-289LF</v>
          </cell>
          <cell r="B2325" t="str">
            <v>51940-289LF Connector,PBVTR</v>
          </cell>
          <cell r="C2325">
            <v>2E-3</v>
          </cell>
          <cell r="D2325">
            <v>2975</v>
          </cell>
          <cell r="E2325">
            <v>8925</v>
          </cell>
          <cell r="F2325">
            <v>3.5999999999999997E-2</v>
          </cell>
        </row>
        <row r="2326">
          <cell r="A2326" t="str">
            <v>51940-293LF</v>
          </cell>
          <cell r="B2326" t="str">
            <v>51940-293LF Connector,PBVTR</v>
          </cell>
          <cell r="C2326">
            <v>5.0000000000000001E-3</v>
          </cell>
          <cell r="D2326">
            <v>1190</v>
          </cell>
          <cell r="E2326">
            <v>3570</v>
          </cell>
          <cell r="F2326">
            <v>2.1999999999999999E-2</v>
          </cell>
        </row>
        <row r="2327">
          <cell r="A2327" t="str">
            <v>51940-295LF</v>
          </cell>
          <cell r="B2327" t="str">
            <v>51940-295LF Connector,PBVTR</v>
          </cell>
          <cell r="C2327">
            <v>3.0000000000000001E-3</v>
          </cell>
          <cell r="D2327">
            <v>1983.3333333333333</v>
          </cell>
          <cell r="E2327">
            <v>5950</v>
          </cell>
          <cell r="F2327">
            <v>3.4000000000000002E-2</v>
          </cell>
        </row>
        <row r="2328">
          <cell r="A2328" t="str">
            <v>51940-296LF</v>
          </cell>
          <cell r="B2328" t="str">
            <v>51940-296LF Connector,PBVTR</v>
          </cell>
          <cell r="C2328">
            <v>3.0000000000000001E-3</v>
          </cell>
          <cell r="D2328">
            <v>1983.3333333333333</v>
          </cell>
          <cell r="E2328">
            <v>5950</v>
          </cell>
          <cell r="F2328">
            <v>3.3000000000000002E-2</v>
          </cell>
        </row>
        <row r="2329">
          <cell r="A2329" t="str">
            <v>51940-297LF</v>
          </cell>
          <cell r="B2329" t="str">
            <v>51940-297LF Connector,PBVTR</v>
          </cell>
          <cell r="C2329">
            <v>3.0000000000000001E-3</v>
          </cell>
          <cell r="D2329">
            <v>1983.3333333333333</v>
          </cell>
          <cell r="E2329">
            <v>5950</v>
          </cell>
          <cell r="F2329">
            <v>3.04E-2</v>
          </cell>
        </row>
        <row r="2330">
          <cell r="A2330" t="str">
            <v>51940-298LF</v>
          </cell>
          <cell r="B2330" t="str">
            <v>51940-298LF Connector,PBVTR</v>
          </cell>
          <cell r="C2330">
            <v>2E-3</v>
          </cell>
          <cell r="D2330">
            <v>2975</v>
          </cell>
          <cell r="E2330">
            <v>8925</v>
          </cell>
          <cell r="F2330">
            <v>2.7E-2</v>
          </cell>
        </row>
        <row r="2331">
          <cell r="A2331" t="str">
            <v>51940-301LF</v>
          </cell>
          <cell r="B2331" t="str">
            <v>51940-301LF Connector,PBVTR</v>
          </cell>
          <cell r="C2331">
            <v>3.0000000000000001E-3</v>
          </cell>
          <cell r="D2331">
            <v>1983.3333333333333</v>
          </cell>
          <cell r="E2331">
            <v>5950</v>
          </cell>
          <cell r="F2331">
            <v>3.3000000000000002E-2</v>
          </cell>
        </row>
        <row r="2332">
          <cell r="A2332" t="str">
            <v>51940-302LF</v>
          </cell>
          <cell r="B2332" t="str">
            <v>51940-302LF Connector,PBVTR</v>
          </cell>
          <cell r="C2332">
            <v>3.0000000000000001E-3</v>
          </cell>
          <cell r="D2332">
            <v>1983.3333333333333</v>
          </cell>
          <cell r="E2332">
            <v>5950</v>
          </cell>
          <cell r="F2332">
            <v>1.5299999999999999E-2</v>
          </cell>
        </row>
        <row r="2333">
          <cell r="A2333" t="str">
            <v>51940-305LF</v>
          </cell>
          <cell r="B2333" t="str">
            <v>51940-305LF Connector,PBVTR</v>
          </cell>
          <cell r="C2333">
            <v>3.0000000000000001E-3</v>
          </cell>
          <cell r="D2333">
            <v>1983.3333333333333</v>
          </cell>
          <cell r="E2333">
            <v>5950</v>
          </cell>
          <cell r="F2333">
            <v>3.5900000000000001E-2</v>
          </cell>
        </row>
        <row r="2334">
          <cell r="A2334" t="str">
            <v>51940-306LF</v>
          </cell>
          <cell r="B2334" t="str">
            <v>51940-306LF Connector,PBVTR</v>
          </cell>
          <cell r="C2334">
            <v>4.0000000000000001E-3</v>
          </cell>
          <cell r="D2334">
            <v>1487.5</v>
          </cell>
          <cell r="E2334">
            <v>4462.5</v>
          </cell>
          <cell r="F2334">
            <v>2.7E-2</v>
          </cell>
        </row>
        <row r="2335">
          <cell r="A2335" t="str">
            <v>51940-307LF</v>
          </cell>
          <cell r="B2335" t="str">
            <v>51940-307LF Connector,PBVTR</v>
          </cell>
          <cell r="C2335">
            <v>2E-3</v>
          </cell>
          <cell r="D2335">
            <v>2975</v>
          </cell>
          <cell r="E2335">
            <v>8925</v>
          </cell>
          <cell r="F2335">
            <v>2.3E-2</v>
          </cell>
        </row>
        <row r="2336">
          <cell r="A2336" t="str">
            <v>51940-310LF</v>
          </cell>
          <cell r="B2336" t="str">
            <v>51940-310LF Connector,PBVTR</v>
          </cell>
          <cell r="C2336">
            <v>6.1000000000000004E-3</v>
          </cell>
          <cell r="D2336">
            <v>975.4098360655737</v>
          </cell>
          <cell r="E2336">
            <v>2926.2295081967213</v>
          </cell>
          <cell r="F2336">
            <v>0.02</v>
          </cell>
        </row>
        <row r="2337">
          <cell r="A2337" t="str">
            <v>51940-311LF</v>
          </cell>
          <cell r="B2337" t="str">
            <v>51940-311LF Connector,PBVTR</v>
          </cell>
          <cell r="C2337">
            <v>2E-3</v>
          </cell>
          <cell r="D2337">
            <v>2975</v>
          </cell>
          <cell r="E2337">
            <v>8925</v>
          </cell>
          <cell r="F2337">
            <v>4.1000000000000002E-2</v>
          </cell>
        </row>
        <row r="2338">
          <cell r="A2338" t="str">
            <v>51940-312LF</v>
          </cell>
          <cell r="B2338" t="str">
            <v>51940-312LF Connector,PBVTR</v>
          </cell>
          <cell r="C2338">
            <v>2E-3</v>
          </cell>
          <cell r="D2338">
            <v>2975</v>
          </cell>
          <cell r="E2338">
            <v>8925</v>
          </cell>
          <cell r="F2338">
            <v>3.1E-2</v>
          </cell>
        </row>
        <row r="2339">
          <cell r="A2339" t="str">
            <v>51940-313LF</v>
          </cell>
          <cell r="B2339" t="str">
            <v>51940-313LF Connector,PBVTR</v>
          </cell>
          <cell r="C2339">
            <v>3.0000000000000001E-3</v>
          </cell>
          <cell r="D2339">
            <v>1983.3333333333333</v>
          </cell>
          <cell r="E2339">
            <v>5950</v>
          </cell>
          <cell r="F2339">
            <v>1.6500000000000001E-2</v>
          </cell>
        </row>
        <row r="2340">
          <cell r="A2340" t="str">
            <v>51940-313PGSALF</v>
          </cell>
          <cell r="B2340" t="str">
            <v>51940-313PGSALF Connector,PBVTR</v>
          </cell>
          <cell r="C2340">
            <v>3.0000000000000001E-3</v>
          </cell>
          <cell r="D2340">
            <v>1983.3333333333333</v>
          </cell>
          <cell r="E2340">
            <v>5950</v>
          </cell>
          <cell r="F2340">
            <v>1.6500000000000001E-2</v>
          </cell>
        </row>
        <row r="2341">
          <cell r="A2341" t="str">
            <v>51940-315LF</v>
          </cell>
          <cell r="B2341" t="str">
            <v>51940-315LF Connector,PBVTR</v>
          </cell>
          <cell r="C2341">
            <v>6.1000000000000004E-3</v>
          </cell>
          <cell r="D2341">
            <v>975.4098360655737</v>
          </cell>
          <cell r="E2341">
            <v>2926.2295081967213</v>
          </cell>
          <cell r="F2341">
            <v>2.4E-2</v>
          </cell>
        </row>
        <row r="2342">
          <cell r="A2342" t="str">
            <v>51940-319LF</v>
          </cell>
          <cell r="B2342" t="str">
            <v>51940-319LF Connector,PBVTR</v>
          </cell>
          <cell r="C2342">
            <v>3.0000000000000001E-3</v>
          </cell>
          <cell r="D2342">
            <v>1983.3333333333333</v>
          </cell>
          <cell r="E2342">
            <v>5950</v>
          </cell>
          <cell r="F2342">
            <v>3.6999999999999998E-2</v>
          </cell>
        </row>
        <row r="2343">
          <cell r="A2343" t="str">
            <v>51940-320LF</v>
          </cell>
          <cell r="B2343" t="str">
            <v>51940-320LF PwrBlade VR</v>
          </cell>
          <cell r="C2343">
            <v>3.0000000000000001E-3</v>
          </cell>
          <cell r="D2343">
            <v>1983.3333333333333</v>
          </cell>
          <cell r="E2343">
            <v>5950</v>
          </cell>
          <cell r="F2343">
            <v>1.9545E-2</v>
          </cell>
        </row>
        <row r="2344">
          <cell r="A2344" t="str">
            <v>51940-323LF</v>
          </cell>
          <cell r="B2344" t="str">
            <v>51940-323LF PwrBlade VR</v>
          </cell>
          <cell r="C2344">
            <v>3.0000000000000001E-3</v>
          </cell>
          <cell r="D2344">
            <v>1983.3333333333333</v>
          </cell>
          <cell r="E2344">
            <v>5950</v>
          </cell>
          <cell r="F2344">
            <v>3.5999999999999997E-2</v>
          </cell>
        </row>
        <row r="2345">
          <cell r="A2345" t="str">
            <v>51940-324LF</v>
          </cell>
          <cell r="B2345" t="str">
            <v>51940-324LF Connector,PBVTR</v>
          </cell>
          <cell r="C2345">
            <v>2E-3</v>
          </cell>
          <cell r="D2345">
            <v>2975</v>
          </cell>
          <cell r="E2345">
            <v>8925</v>
          </cell>
          <cell r="F2345">
            <v>3.4000000000000002E-2</v>
          </cell>
        </row>
        <row r="2346">
          <cell r="A2346" t="str">
            <v>51940-325LF</v>
          </cell>
          <cell r="B2346" t="str">
            <v>51940-325LF PwrBlade VR</v>
          </cell>
          <cell r="C2346">
            <v>6.1000000000000004E-3</v>
          </cell>
          <cell r="D2346">
            <v>975.4098360655737</v>
          </cell>
          <cell r="E2346">
            <v>2926.2295081967213</v>
          </cell>
          <cell r="F2346">
            <v>2.7E-2</v>
          </cell>
        </row>
        <row r="2347">
          <cell r="A2347" t="str">
            <v>51940-326LF</v>
          </cell>
          <cell r="B2347" t="str">
            <v>51940-326LF PwrBlade VR PF</v>
          </cell>
          <cell r="C2347">
            <v>6.1000000000000004E-3</v>
          </cell>
          <cell r="D2347">
            <v>975.4098360655737</v>
          </cell>
          <cell r="E2347">
            <v>2926.2295081967213</v>
          </cell>
          <cell r="F2347">
            <v>2.5000000000000001E-2</v>
          </cell>
        </row>
        <row r="2348">
          <cell r="A2348" t="str">
            <v>51940-327LF</v>
          </cell>
          <cell r="B2348" t="str">
            <v>51940-327LF PwrBlade VR STB</v>
          </cell>
          <cell r="C2348">
            <v>6.0000000000000001E-3</v>
          </cell>
          <cell r="D2348">
            <v>991.66666666666663</v>
          </cell>
          <cell r="E2348">
            <v>2975</v>
          </cell>
          <cell r="F2348">
            <v>3.1E-2</v>
          </cell>
        </row>
        <row r="2349">
          <cell r="A2349" t="str">
            <v>51940-329LF</v>
          </cell>
          <cell r="B2349" t="str">
            <v>51940-329LF PwrBlade VR</v>
          </cell>
          <cell r="C2349">
            <v>3.0000000000000001E-3</v>
          </cell>
          <cell r="D2349">
            <v>1983.3333333333333</v>
          </cell>
          <cell r="E2349">
            <v>5950</v>
          </cell>
          <cell r="F2349">
            <v>2.8728E-2</v>
          </cell>
        </row>
        <row r="2350">
          <cell r="A2350" t="str">
            <v>51940-330LF</v>
          </cell>
          <cell r="B2350" t="str">
            <v>51940-330LF Connector,PBVTR</v>
          </cell>
          <cell r="C2350">
            <v>3.0000000000000001E-3</v>
          </cell>
          <cell r="D2350">
            <v>1983.3333333333333</v>
          </cell>
          <cell r="E2350">
            <v>5950</v>
          </cell>
          <cell r="F2350">
            <v>3.1E-2</v>
          </cell>
        </row>
        <row r="2351">
          <cell r="A2351" t="str">
            <v>51940-331LF</v>
          </cell>
          <cell r="B2351" t="str">
            <v>51940-331LF Connector,PBVTR</v>
          </cell>
          <cell r="C2351">
            <v>3.0000000000000001E-3</v>
          </cell>
          <cell r="D2351">
            <v>1983.3333333333333</v>
          </cell>
          <cell r="E2351">
            <v>5950</v>
          </cell>
          <cell r="F2351">
            <v>2.1000000000000001E-2</v>
          </cell>
        </row>
        <row r="2352">
          <cell r="A2352" t="str">
            <v>51940-332LF</v>
          </cell>
          <cell r="B2352" t="str">
            <v>51940-332LF Connector,PBVTR</v>
          </cell>
          <cell r="C2352">
            <v>3.0000000000000001E-3</v>
          </cell>
          <cell r="D2352">
            <v>1983.3333333333333</v>
          </cell>
          <cell r="E2352">
            <v>5950</v>
          </cell>
          <cell r="F2352">
            <v>3.7999999999999999E-2</v>
          </cell>
        </row>
        <row r="2353">
          <cell r="A2353" t="str">
            <v>51940-335LF</v>
          </cell>
          <cell r="B2353" t="str">
            <v>51940-335LF Connector,PBVTR</v>
          </cell>
          <cell r="C2353">
            <v>3.0000000000000001E-3</v>
          </cell>
          <cell r="D2353">
            <v>1983.3333333333333</v>
          </cell>
          <cell r="E2353">
            <v>5950</v>
          </cell>
          <cell r="F2353">
            <v>2.3E-2</v>
          </cell>
        </row>
        <row r="2354">
          <cell r="A2354" t="str">
            <v>51940-336LF</v>
          </cell>
          <cell r="B2354" t="str">
            <v>51940-336LF Connector,PBVTR</v>
          </cell>
          <cell r="C2354">
            <v>3.0000000000000001E-3</v>
          </cell>
          <cell r="D2354">
            <v>1983.3333333333333</v>
          </cell>
          <cell r="E2354">
            <v>5950</v>
          </cell>
          <cell r="F2354">
            <v>0.03</v>
          </cell>
        </row>
        <row r="2355">
          <cell r="A2355" t="str">
            <v>51940-337LF</v>
          </cell>
          <cell r="B2355" t="str">
            <v>51940-337LF Connector,PBVTR</v>
          </cell>
          <cell r="C2355">
            <v>3.0000000000000001E-3</v>
          </cell>
          <cell r="D2355">
            <v>1983.3333333333333</v>
          </cell>
          <cell r="E2355">
            <v>5950</v>
          </cell>
          <cell r="F2355">
            <v>2.8000000000000001E-2</v>
          </cell>
        </row>
        <row r="2356">
          <cell r="A2356" t="str">
            <v>51940-338LF</v>
          </cell>
          <cell r="B2356" t="str">
            <v>51940-338LF Connector,PBVTR</v>
          </cell>
          <cell r="C2356">
            <v>4.0000000000000001E-3</v>
          </cell>
          <cell r="D2356">
            <v>1487.5</v>
          </cell>
          <cell r="E2356">
            <v>4462.5</v>
          </cell>
          <cell r="F2356">
            <v>1.2999999999999999E-2</v>
          </cell>
        </row>
        <row r="2357">
          <cell r="A2357" t="str">
            <v>51940-339LF</v>
          </cell>
          <cell r="B2357" t="str">
            <v>51940-339LF Connector,PBVTR</v>
          </cell>
          <cell r="C2357">
            <v>6.1000000000000004E-3</v>
          </cell>
          <cell r="D2357">
            <v>975.4098360655737</v>
          </cell>
          <cell r="E2357">
            <v>2926.2295081967213</v>
          </cell>
          <cell r="F2357">
            <v>0.02</v>
          </cell>
        </row>
        <row r="2358">
          <cell r="A2358" t="str">
            <v>51940-342LF</v>
          </cell>
          <cell r="B2358" t="str">
            <v>51940-342LF Connector,PBVTR</v>
          </cell>
          <cell r="C2358">
            <v>3.0000000000000001E-3</v>
          </cell>
          <cell r="D2358">
            <v>1983.3333333333333</v>
          </cell>
          <cell r="E2358">
            <v>5950</v>
          </cell>
          <cell r="F2358">
            <v>3.1E-2</v>
          </cell>
        </row>
        <row r="2359">
          <cell r="A2359" t="str">
            <v>51940-343LF</v>
          </cell>
          <cell r="B2359" t="str">
            <v>51940-343LF Connector,PBVTR</v>
          </cell>
          <cell r="C2359">
            <v>3.0000000000000001E-3</v>
          </cell>
          <cell r="D2359">
            <v>1983.3333333333333</v>
          </cell>
          <cell r="E2359">
            <v>5950</v>
          </cell>
          <cell r="F2359">
            <v>2.9000000000000001E-2</v>
          </cell>
        </row>
        <row r="2360">
          <cell r="A2360" t="str">
            <v>51940-346LF</v>
          </cell>
          <cell r="B2360" t="str">
            <v>51940-346LF Connector,PBVTR</v>
          </cell>
          <cell r="C2360">
            <v>3.0000000000000001E-3</v>
          </cell>
          <cell r="D2360">
            <v>1983.3333333333333</v>
          </cell>
          <cell r="E2360">
            <v>5950</v>
          </cell>
          <cell r="F2360">
            <v>3.3000000000000002E-2</v>
          </cell>
        </row>
        <row r="2361">
          <cell r="A2361" t="str">
            <v>51940-347LF</v>
          </cell>
          <cell r="B2361" t="str">
            <v>51940-347LF Connector,PBVTR</v>
          </cell>
          <cell r="C2361">
            <v>2E-3</v>
          </cell>
          <cell r="D2361">
            <v>2975</v>
          </cell>
          <cell r="E2361">
            <v>8925</v>
          </cell>
          <cell r="F2361">
            <v>3.3000000000000002E-2</v>
          </cell>
        </row>
        <row r="2362">
          <cell r="A2362" t="str">
            <v>51940-348LF</v>
          </cell>
          <cell r="B2362" t="str">
            <v>51940-348LF Connector,PBVTR</v>
          </cell>
          <cell r="C2362">
            <v>3.0000000000000001E-3</v>
          </cell>
          <cell r="D2362">
            <v>1983.3333333333333</v>
          </cell>
          <cell r="E2362">
            <v>5950</v>
          </cell>
          <cell r="F2362">
            <v>2.9000000000000001E-2</v>
          </cell>
        </row>
        <row r="2363">
          <cell r="A2363" t="str">
            <v>51940-350LF</v>
          </cell>
          <cell r="B2363" t="str">
            <v>51940-350LF PwrBlade VR PF</v>
          </cell>
          <cell r="C2363">
            <v>3.0000000000000001E-3</v>
          </cell>
          <cell r="D2363">
            <v>1983.3333333333333</v>
          </cell>
          <cell r="E2363">
            <v>5950</v>
          </cell>
          <cell r="F2363">
            <v>3.3000000000000002E-2</v>
          </cell>
        </row>
        <row r="2364">
          <cell r="A2364" t="str">
            <v>51940-351LF</v>
          </cell>
          <cell r="B2364" t="str">
            <v>51940-351LF Connector,PBVTR</v>
          </cell>
          <cell r="C2364">
            <v>3.0000000000000001E-3</v>
          </cell>
          <cell r="D2364">
            <v>1983.3333333333333</v>
          </cell>
          <cell r="E2364">
            <v>5950</v>
          </cell>
          <cell r="F2364">
            <v>2.1000000000000001E-2</v>
          </cell>
        </row>
        <row r="2365">
          <cell r="A2365" t="str">
            <v>51940-355LF</v>
          </cell>
          <cell r="B2365" t="str">
            <v>51940-355LF Connector,PBVTR</v>
          </cell>
          <cell r="C2365">
            <v>2E-3</v>
          </cell>
          <cell r="D2365">
            <v>2975</v>
          </cell>
          <cell r="E2365">
            <v>8925</v>
          </cell>
          <cell r="F2365">
            <v>0.04</v>
          </cell>
        </row>
        <row r="2366">
          <cell r="A2366" t="str">
            <v>51940-358LF</v>
          </cell>
          <cell r="B2366" t="str">
            <v>51940-358LF Connector,PBVTR</v>
          </cell>
          <cell r="C2366">
            <v>6.1000000000000004E-3</v>
          </cell>
          <cell r="D2366">
            <v>975.4098360655737</v>
          </cell>
          <cell r="E2366">
            <v>2926.2295081967213</v>
          </cell>
          <cell r="F2366">
            <v>0.02</v>
          </cell>
        </row>
        <row r="2367">
          <cell r="A2367" t="str">
            <v>51940-361LF</v>
          </cell>
          <cell r="B2367" t="str">
            <v>51940-361LF Connector,PBVTR</v>
          </cell>
          <cell r="C2367">
            <v>3.0000000000000001E-3</v>
          </cell>
          <cell r="D2367">
            <v>1983.3333333333333</v>
          </cell>
          <cell r="E2367">
            <v>5950</v>
          </cell>
          <cell r="F2367">
            <v>3.3000000000000002E-2</v>
          </cell>
        </row>
        <row r="2368">
          <cell r="A2368" t="str">
            <v>51940-362LF</v>
          </cell>
          <cell r="B2368" t="str">
            <v>51940-362LF Connector,PBVTR</v>
          </cell>
          <cell r="C2368">
            <v>3.0000000000000001E-3</v>
          </cell>
          <cell r="D2368">
            <v>1983.3333333333333</v>
          </cell>
          <cell r="E2368">
            <v>5950</v>
          </cell>
          <cell r="F2368">
            <v>2.5000000000000001E-2</v>
          </cell>
        </row>
        <row r="2369">
          <cell r="A2369" t="str">
            <v>51940-364LF</v>
          </cell>
          <cell r="B2369" t="str">
            <v>51940-364LF Connector,PBVTR</v>
          </cell>
          <cell r="C2369">
            <v>7.0000000000000001E-3</v>
          </cell>
          <cell r="D2369">
            <v>850</v>
          </cell>
          <cell r="E2369">
            <v>2550</v>
          </cell>
          <cell r="F2369">
            <v>2.4E-2</v>
          </cell>
        </row>
        <row r="2370">
          <cell r="A2370" t="str">
            <v>51940-366LF</v>
          </cell>
          <cell r="B2370" t="str">
            <v>51940-366LF Connector,PBVTR</v>
          </cell>
          <cell r="C2370">
            <v>6.1000000000000004E-3</v>
          </cell>
          <cell r="D2370">
            <v>975.4098360655737</v>
          </cell>
          <cell r="E2370">
            <v>2926.2295081967213</v>
          </cell>
          <cell r="F2370">
            <v>0.02</v>
          </cell>
        </row>
        <row r="2371">
          <cell r="A2371" t="str">
            <v>51940-367LF</v>
          </cell>
          <cell r="B2371" t="str">
            <v>51940-367LF Connector,PBVTR</v>
          </cell>
          <cell r="C2371">
            <v>2E-3</v>
          </cell>
          <cell r="D2371">
            <v>2975</v>
          </cell>
          <cell r="E2371">
            <v>8925</v>
          </cell>
          <cell r="F2371">
            <v>1.29E-2</v>
          </cell>
        </row>
        <row r="2372">
          <cell r="A2372" t="str">
            <v>51940-370LF</v>
          </cell>
          <cell r="B2372" t="str">
            <v>51940-370LF PwrBlade VR STB</v>
          </cell>
          <cell r="C2372">
            <v>2E-3</v>
          </cell>
          <cell r="D2372">
            <v>2975</v>
          </cell>
          <cell r="E2372">
            <v>8925</v>
          </cell>
          <cell r="F2372">
            <v>3.4000000000000002E-2</v>
          </cell>
        </row>
        <row r="2373">
          <cell r="A2373" t="str">
            <v>51940-371LF</v>
          </cell>
          <cell r="B2373" t="str">
            <v>51940-371LF Connector,PBVTR</v>
          </cell>
          <cell r="C2373">
            <v>2E-3</v>
          </cell>
          <cell r="D2373">
            <v>2975</v>
          </cell>
          <cell r="E2373">
            <v>8925</v>
          </cell>
          <cell r="F2373">
            <v>2.4E-2</v>
          </cell>
        </row>
        <row r="2374">
          <cell r="A2374" t="str">
            <v>51940-373LF</v>
          </cell>
          <cell r="B2374" t="str">
            <v>51940-373LF Connector,PBVTR</v>
          </cell>
          <cell r="C2374">
            <v>2E-3</v>
          </cell>
          <cell r="D2374">
            <v>2975</v>
          </cell>
          <cell r="E2374">
            <v>8925</v>
          </cell>
          <cell r="F2374">
            <v>2.8000000000000001E-2</v>
          </cell>
        </row>
        <row r="2375">
          <cell r="A2375" t="str">
            <v>51940-374LF</v>
          </cell>
          <cell r="B2375" t="str">
            <v>51940-374LF Connector,PBVTR</v>
          </cell>
          <cell r="C2375">
            <v>1.0999999999999999E-2</v>
          </cell>
          <cell r="D2375">
            <v>540.90909090909099</v>
          </cell>
          <cell r="E2375">
            <v>1622.727272727273</v>
          </cell>
          <cell r="F2375">
            <v>3.4000000000000002E-2</v>
          </cell>
        </row>
        <row r="2376">
          <cell r="A2376" t="str">
            <v>51940-378LF</v>
          </cell>
          <cell r="B2376" t="str">
            <v>51940-378LF Connector,PBVTR</v>
          </cell>
          <cell r="C2376">
            <v>2E-3</v>
          </cell>
          <cell r="D2376">
            <v>2975</v>
          </cell>
          <cell r="E2376">
            <v>8925</v>
          </cell>
          <cell r="F2376">
            <v>2.5999999999999999E-2</v>
          </cell>
        </row>
        <row r="2377">
          <cell r="A2377" t="str">
            <v>51940-379LF</v>
          </cell>
          <cell r="B2377" t="str">
            <v>51940-379LF Connector,PBVTR</v>
          </cell>
          <cell r="C2377">
            <v>6.1000000000000004E-3</v>
          </cell>
          <cell r="D2377">
            <v>975.4098360655737</v>
          </cell>
          <cell r="E2377">
            <v>2926.2295081967213</v>
          </cell>
          <cell r="F2377">
            <v>1.7999999999999999E-2</v>
          </cell>
        </row>
        <row r="2378">
          <cell r="A2378" t="str">
            <v>51940-382LF</v>
          </cell>
          <cell r="B2378" t="str">
            <v>51940-382LF Connector,PBVTR</v>
          </cell>
          <cell r="C2378">
            <v>3.0000000000000001E-3</v>
          </cell>
          <cell r="D2378">
            <v>1983.3333333333333</v>
          </cell>
          <cell r="E2378">
            <v>5950</v>
          </cell>
          <cell r="F2378">
            <v>3.9E-2</v>
          </cell>
        </row>
        <row r="2379">
          <cell r="A2379" t="str">
            <v>51940-383LF</v>
          </cell>
          <cell r="B2379" t="str">
            <v>51940-383LF PwrBlade VR PF</v>
          </cell>
          <cell r="C2379">
            <v>4.0000000000000001E-3</v>
          </cell>
          <cell r="D2379">
            <v>1487.5</v>
          </cell>
          <cell r="E2379">
            <v>4462.5</v>
          </cell>
          <cell r="F2379">
            <v>2.4E-2</v>
          </cell>
        </row>
        <row r="2380">
          <cell r="A2380" t="str">
            <v>51940-384LF</v>
          </cell>
          <cell r="B2380" t="str">
            <v>51940-384LF Connector,PBVTR</v>
          </cell>
          <cell r="C2380">
            <v>5.0000000000000001E-3</v>
          </cell>
          <cell r="D2380">
            <v>1190</v>
          </cell>
          <cell r="E2380">
            <v>3570</v>
          </cell>
          <cell r="F2380">
            <v>0.05</v>
          </cell>
        </row>
        <row r="2381">
          <cell r="A2381" t="str">
            <v>51940-385LF</v>
          </cell>
          <cell r="B2381" t="str">
            <v>51940-385LF Connector,PBVTR</v>
          </cell>
          <cell r="C2381">
            <v>3.0000000000000001E-3</v>
          </cell>
          <cell r="D2381">
            <v>1983.3333333333333</v>
          </cell>
          <cell r="E2381">
            <v>5950</v>
          </cell>
          <cell r="F2381">
            <v>2.7E-2</v>
          </cell>
        </row>
        <row r="2382">
          <cell r="A2382" t="str">
            <v>51940-386LF</v>
          </cell>
          <cell r="B2382" t="str">
            <v>51940-386LF Connector,PBVTR</v>
          </cell>
          <cell r="C2382">
            <v>2E-3</v>
          </cell>
          <cell r="D2382">
            <v>2975</v>
          </cell>
          <cell r="E2382">
            <v>8925</v>
          </cell>
          <cell r="F2382">
            <v>3.1E-2</v>
          </cell>
        </row>
        <row r="2383">
          <cell r="A2383" t="str">
            <v>51940-387LF</v>
          </cell>
          <cell r="B2383" t="str">
            <v>51940-387LF PwrBlade VR</v>
          </cell>
          <cell r="C2383" t="e">
            <v>#N/A</v>
          </cell>
          <cell r="D2383" t="e">
            <v>#N/A</v>
          </cell>
          <cell r="E2383" t="e">
            <v>#N/A</v>
          </cell>
          <cell r="F2383">
            <v>2.8000000000000001E-2</v>
          </cell>
        </row>
        <row r="2384">
          <cell r="A2384" t="str">
            <v>51940-388LF</v>
          </cell>
          <cell r="B2384" t="str">
            <v>51940-388LF Connector,PBVTR</v>
          </cell>
          <cell r="C2384">
            <v>3.0000000000000001E-3</v>
          </cell>
          <cell r="D2384">
            <v>1983.3333333333333</v>
          </cell>
          <cell r="E2384">
            <v>5950</v>
          </cell>
          <cell r="F2384">
            <v>6.7000000000000004E-2</v>
          </cell>
        </row>
        <row r="2385">
          <cell r="A2385" t="str">
            <v>51940-389LF</v>
          </cell>
          <cell r="B2385" t="str">
            <v>51940-389LF Connector,PBVTR</v>
          </cell>
          <cell r="C2385">
            <v>2E-3</v>
          </cell>
          <cell r="D2385">
            <v>2975</v>
          </cell>
          <cell r="E2385">
            <v>8925</v>
          </cell>
          <cell r="F2385">
            <v>0.03</v>
          </cell>
        </row>
        <row r="2386">
          <cell r="A2386" t="str">
            <v>51940-390LF</v>
          </cell>
          <cell r="B2386" t="str">
            <v>51940-390LF Connector,PBVTR</v>
          </cell>
          <cell r="C2386">
            <v>3.0000000000000001E-3</v>
          </cell>
          <cell r="D2386">
            <v>1983.3333333333333</v>
          </cell>
          <cell r="E2386">
            <v>5950</v>
          </cell>
          <cell r="F2386">
            <v>4.2999999999999997E-2</v>
          </cell>
        </row>
        <row r="2387">
          <cell r="A2387" t="str">
            <v>51940-391LF</v>
          </cell>
          <cell r="B2387" t="str">
            <v>51940-391LF Connector,PBVTR</v>
          </cell>
          <cell r="C2387">
            <v>3.0000000000000001E-3</v>
          </cell>
          <cell r="D2387">
            <v>1983.3333333333333</v>
          </cell>
          <cell r="E2387">
            <v>5950</v>
          </cell>
          <cell r="F2387">
            <v>3.3000000000000002E-2</v>
          </cell>
        </row>
        <row r="2388">
          <cell r="A2388" t="str">
            <v>51940-392LF</v>
          </cell>
          <cell r="B2388" t="str">
            <v>51940-392LF Connector,PBVTR</v>
          </cell>
          <cell r="C2388">
            <v>4.0000000000000001E-3</v>
          </cell>
          <cell r="D2388">
            <v>1487.5</v>
          </cell>
          <cell r="E2388">
            <v>4462.5</v>
          </cell>
          <cell r="F2388">
            <v>2.9000000000000001E-2</v>
          </cell>
        </row>
        <row r="2389">
          <cell r="A2389" t="str">
            <v>51940-394LF</v>
          </cell>
          <cell r="B2389" t="str">
            <v>51940-394LF Connector,PBVTR</v>
          </cell>
          <cell r="C2389">
            <v>3.0000000000000001E-3</v>
          </cell>
          <cell r="D2389">
            <v>1983.3333333333333</v>
          </cell>
          <cell r="E2389">
            <v>5950</v>
          </cell>
          <cell r="F2389">
            <v>6.7000000000000004E-2</v>
          </cell>
        </row>
        <row r="2390">
          <cell r="A2390" t="str">
            <v>51940-396LF</v>
          </cell>
          <cell r="B2390" t="str">
            <v>51940-396LF Connector,PBVTR</v>
          </cell>
          <cell r="C2390">
            <v>2E-3</v>
          </cell>
          <cell r="D2390">
            <v>2975</v>
          </cell>
          <cell r="E2390">
            <v>8925</v>
          </cell>
          <cell r="F2390">
            <v>2.8000000000000001E-2</v>
          </cell>
        </row>
        <row r="2391">
          <cell r="A2391" t="str">
            <v>51940-397LF</v>
          </cell>
          <cell r="B2391" t="str">
            <v>51940-397LF Connector,PBVTR</v>
          </cell>
          <cell r="C2391">
            <v>2E-3</v>
          </cell>
          <cell r="D2391">
            <v>2975</v>
          </cell>
          <cell r="E2391">
            <v>8925</v>
          </cell>
          <cell r="F2391">
            <v>0.03</v>
          </cell>
        </row>
        <row r="2392">
          <cell r="A2392" t="str">
            <v>51940-399LF</v>
          </cell>
          <cell r="B2392" t="str">
            <v>51940-399LF Connector,PBVTR</v>
          </cell>
          <cell r="C2392">
            <v>6.1000000000000004E-3</v>
          </cell>
          <cell r="D2392">
            <v>975.4098360655737</v>
          </cell>
          <cell r="E2392">
            <v>2926.2295081967213</v>
          </cell>
          <cell r="F2392">
            <v>2.3E-2</v>
          </cell>
        </row>
        <row r="2393">
          <cell r="A2393" t="str">
            <v>51940-401LF</v>
          </cell>
          <cell r="B2393" t="str">
            <v>51940-401LF Connector,PBVTR</v>
          </cell>
          <cell r="C2393">
            <v>3.0000000000000001E-3</v>
          </cell>
          <cell r="D2393">
            <v>1983.3333333333333</v>
          </cell>
          <cell r="E2393">
            <v>5950</v>
          </cell>
          <cell r="F2393">
            <v>2.1000000000000001E-2</v>
          </cell>
        </row>
        <row r="2394">
          <cell r="A2394" t="str">
            <v>51940-402LF</v>
          </cell>
          <cell r="B2394" t="str">
            <v>51940-402LF Connector,PBVTR</v>
          </cell>
          <cell r="C2394">
            <v>2E-3</v>
          </cell>
          <cell r="D2394">
            <v>2975</v>
          </cell>
          <cell r="E2394">
            <v>8925</v>
          </cell>
          <cell r="F2394">
            <v>3.3000000000000002E-2</v>
          </cell>
        </row>
        <row r="2395">
          <cell r="A2395" t="str">
            <v>51940-403LF</v>
          </cell>
          <cell r="B2395" t="str">
            <v>51940-403LF Connector,PBVTR</v>
          </cell>
          <cell r="C2395">
            <v>2E-3</v>
          </cell>
          <cell r="D2395">
            <v>2975</v>
          </cell>
          <cell r="E2395">
            <v>8925</v>
          </cell>
          <cell r="F2395">
            <v>3.1E-2</v>
          </cell>
        </row>
        <row r="2396">
          <cell r="A2396" t="str">
            <v>51940-406LF</v>
          </cell>
          <cell r="B2396" t="str">
            <v>51940-406LF Connector,PBVTR</v>
          </cell>
          <cell r="C2396">
            <v>3.0000000000000001E-3</v>
          </cell>
          <cell r="D2396">
            <v>1983.3333333333333</v>
          </cell>
          <cell r="E2396">
            <v>5950</v>
          </cell>
          <cell r="F2396">
            <v>3.2000000000000001E-2</v>
          </cell>
        </row>
        <row r="2397">
          <cell r="A2397" t="str">
            <v>51940-407LF</v>
          </cell>
          <cell r="B2397" t="str">
            <v>51940-407LF PwrBlade VR STB</v>
          </cell>
          <cell r="C2397">
            <v>3.0000000000000001E-3</v>
          </cell>
          <cell r="D2397">
            <v>1983.3333333333333</v>
          </cell>
          <cell r="E2397">
            <v>5950</v>
          </cell>
          <cell r="F2397">
            <v>2.5999999999999999E-2</v>
          </cell>
        </row>
        <row r="2398">
          <cell r="A2398" t="str">
            <v>51940-408LF</v>
          </cell>
          <cell r="B2398" t="str">
            <v>51940-408LF Connector,PBVTR</v>
          </cell>
          <cell r="C2398">
            <v>2E-3</v>
          </cell>
          <cell r="D2398">
            <v>2975</v>
          </cell>
          <cell r="E2398">
            <v>8925</v>
          </cell>
          <cell r="F2398">
            <v>2.5999999999999999E-2</v>
          </cell>
        </row>
        <row r="2399">
          <cell r="A2399" t="str">
            <v>51940-411LF</v>
          </cell>
          <cell r="B2399" t="str">
            <v>51940-411LF Connector,PBVTR</v>
          </cell>
          <cell r="C2399">
            <v>3.0000000000000001E-3</v>
          </cell>
          <cell r="D2399">
            <v>1983.3333333333333</v>
          </cell>
          <cell r="E2399">
            <v>5950</v>
          </cell>
          <cell r="F2399">
            <v>2.1000000000000001E-2</v>
          </cell>
        </row>
        <row r="2400">
          <cell r="A2400" t="str">
            <v>51940-415LF</v>
          </cell>
          <cell r="B2400" t="str">
            <v>51940-415LF PwrBlade VR STB</v>
          </cell>
          <cell r="C2400">
            <v>6.1000000000000004E-3</v>
          </cell>
          <cell r="D2400">
            <v>975.4098360655737</v>
          </cell>
          <cell r="E2400">
            <v>2926.2295081967213</v>
          </cell>
          <cell r="F2400">
            <v>2.8000000000000001E-2</v>
          </cell>
        </row>
        <row r="2401">
          <cell r="A2401" t="str">
            <v>51940-416LF</v>
          </cell>
          <cell r="B2401" t="str">
            <v>51940-416LF Connector,PBVTR</v>
          </cell>
          <cell r="C2401">
            <v>3.0000000000000001E-3</v>
          </cell>
          <cell r="D2401">
            <v>1983.3333333333333</v>
          </cell>
          <cell r="E2401">
            <v>5950</v>
          </cell>
          <cell r="F2401">
            <v>3.3000000000000002E-2</v>
          </cell>
        </row>
        <row r="2402">
          <cell r="A2402" t="str">
            <v>51940-418LF</v>
          </cell>
          <cell r="B2402" t="str">
            <v>51940-418LF Connector,PBVTR</v>
          </cell>
          <cell r="C2402">
            <v>3.0000000000000001E-3</v>
          </cell>
          <cell r="D2402">
            <v>1983.3333333333333</v>
          </cell>
          <cell r="E2402">
            <v>5950</v>
          </cell>
          <cell r="F2402">
            <v>0.03</v>
          </cell>
        </row>
        <row r="2403">
          <cell r="A2403" t="str">
            <v>51940-419LF</v>
          </cell>
          <cell r="B2403" t="str">
            <v>51940-419LF Connector,PBVTR</v>
          </cell>
          <cell r="C2403">
            <v>3.0000000000000001E-3</v>
          </cell>
          <cell r="D2403">
            <v>1983.3333333333333</v>
          </cell>
          <cell r="E2403">
            <v>5950</v>
          </cell>
          <cell r="F2403">
            <v>0.03</v>
          </cell>
        </row>
        <row r="2404">
          <cell r="A2404" t="str">
            <v>51940-420LF</v>
          </cell>
          <cell r="B2404" t="str">
            <v>51940-420LF Connector,PBVTR</v>
          </cell>
          <cell r="C2404">
            <v>2E-3</v>
          </cell>
          <cell r="D2404">
            <v>2975</v>
          </cell>
          <cell r="E2404">
            <v>8925</v>
          </cell>
          <cell r="F2404">
            <v>3.4000000000000002E-2</v>
          </cell>
        </row>
        <row r="2405">
          <cell r="A2405" t="str">
            <v>51940-423LF</v>
          </cell>
          <cell r="B2405" t="str">
            <v>51940-423LF Connector,PBVTR</v>
          </cell>
          <cell r="C2405">
            <v>3.0000000000000001E-3</v>
          </cell>
          <cell r="D2405">
            <v>1983.3333333333333</v>
          </cell>
          <cell r="E2405">
            <v>5950</v>
          </cell>
          <cell r="F2405">
            <v>2.3E-2</v>
          </cell>
        </row>
        <row r="2406">
          <cell r="A2406" t="str">
            <v>51940-425LF</v>
          </cell>
          <cell r="B2406" t="str">
            <v>51940-425LF PwrBlade VR STB</v>
          </cell>
          <cell r="C2406">
            <v>3.0000000000000001E-3</v>
          </cell>
          <cell r="D2406">
            <v>1983.3333333333333</v>
          </cell>
          <cell r="E2406">
            <v>5950</v>
          </cell>
          <cell r="F2406">
            <v>2.3E-2</v>
          </cell>
        </row>
        <row r="2407">
          <cell r="A2407" t="str">
            <v>51940-428LF</v>
          </cell>
          <cell r="B2407" t="str">
            <v>51940-428LF Connector,PBVTR</v>
          </cell>
          <cell r="C2407">
            <v>7.0000000000000001E-3</v>
          </cell>
          <cell r="D2407">
            <v>850</v>
          </cell>
          <cell r="E2407">
            <v>2550</v>
          </cell>
          <cell r="F2407">
            <v>2.5000000000000001E-2</v>
          </cell>
        </row>
        <row r="2408">
          <cell r="A2408" t="str">
            <v>51940-429LF</v>
          </cell>
          <cell r="B2408" t="str">
            <v>51940-429LF Connector,PBVTR</v>
          </cell>
          <cell r="C2408">
            <v>3.0000000000000001E-3</v>
          </cell>
          <cell r="D2408">
            <v>1983.3333333333333</v>
          </cell>
          <cell r="E2408">
            <v>5950</v>
          </cell>
          <cell r="F2408">
            <v>3.1E-2</v>
          </cell>
        </row>
        <row r="2409">
          <cell r="A2409" t="str">
            <v>51940-430LF</v>
          </cell>
          <cell r="B2409" t="str">
            <v>51940-430LF Connector,PBVTR</v>
          </cell>
          <cell r="C2409">
            <v>4.0000000000000001E-3</v>
          </cell>
          <cell r="D2409">
            <v>1487.5</v>
          </cell>
          <cell r="E2409">
            <v>4462.5</v>
          </cell>
          <cell r="F2409">
            <v>2.9000000000000001E-2</v>
          </cell>
        </row>
        <row r="2410">
          <cell r="A2410" t="str">
            <v>51940-431LF</v>
          </cell>
          <cell r="B2410" t="str">
            <v>51940-431LF Connector,PBVTR</v>
          </cell>
          <cell r="C2410">
            <v>3.0000000000000001E-3</v>
          </cell>
          <cell r="D2410">
            <v>1983.3333333333333</v>
          </cell>
          <cell r="E2410">
            <v>5950</v>
          </cell>
          <cell r="F2410">
            <v>3.3000000000000002E-2</v>
          </cell>
        </row>
        <row r="2411">
          <cell r="A2411" t="str">
            <v>51940-432LF</v>
          </cell>
          <cell r="B2411" t="str">
            <v>51940-432LF Connector,PBVTR</v>
          </cell>
          <cell r="C2411">
            <v>3.0000000000000001E-3</v>
          </cell>
          <cell r="D2411">
            <v>1983.3333333333333</v>
          </cell>
          <cell r="E2411">
            <v>5950</v>
          </cell>
          <cell r="F2411">
            <v>4.2999999999999997E-2</v>
          </cell>
        </row>
        <row r="2412">
          <cell r="A2412" t="str">
            <v>51940-433LF</v>
          </cell>
          <cell r="B2412" t="str">
            <v>51940-433LF Connector,PBVTR</v>
          </cell>
          <cell r="C2412">
            <v>3.0000000000000001E-3</v>
          </cell>
          <cell r="D2412">
            <v>1983.3333333333333</v>
          </cell>
          <cell r="E2412">
            <v>5950</v>
          </cell>
          <cell r="F2412">
            <v>3.3000000000000002E-2</v>
          </cell>
        </row>
        <row r="2413">
          <cell r="A2413" t="str">
            <v>51940-436LF</v>
          </cell>
          <cell r="B2413" t="str">
            <v>51940-436LF Connector,PBVTR</v>
          </cell>
          <cell r="C2413">
            <v>3.0000000000000001E-3</v>
          </cell>
          <cell r="D2413">
            <v>1983.3333333333333</v>
          </cell>
          <cell r="E2413">
            <v>5950</v>
          </cell>
          <cell r="F2413">
            <v>3.4000000000000002E-2</v>
          </cell>
        </row>
        <row r="2414">
          <cell r="A2414" t="str">
            <v>51940-437LF</v>
          </cell>
          <cell r="B2414" t="str">
            <v>51940-437LF Connector,PBVTR</v>
          </cell>
          <cell r="C2414">
            <v>4.0000000000000001E-3</v>
          </cell>
          <cell r="D2414">
            <v>1487.5</v>
          </cell>
          <cell r="E2414">
            <v>4462.5</v>
          </cell>
          <cell r="F2414">
            <v>2.5999999999999999E-2</v>
          </cell>
        </row>
        <row r="2415">
          <cell r="A2415" t="str">
            <v>51940-438LF</v>
          </cell>
          <cell r="B2415" t="str">
            <v>51940-438LF Connector,PBVTR</v>
          </cell>
          <cell r="C2415">
            <v>5.0000000000000001E-3</v>
          </cell>
          <cell r="D2415">
            <v>1190</v>
          </cell>
          <cell r="E2415">
            <v>3570</v>
          </cell>
          <cell r="F2415">
            <v>4.7E-2</v>
          </cell>
        </row>
        <row r="2416">
          <cell r="A2416" t="str">
            <v>51940-439LF</v>
          </cell>
          <cell r="B2416" t="str">
            <v>51940-439LF Connector,PBVTR</v>
          </cell>
          <cell r="C2416">
            <v>6.1000000000000004E-3</v>
          </cell>
          <cell r="D2416">
            <v>975.4098360655737</v>
          </cell>
          <cell r="E2416">
            <v>2926.2295081967213</v>
          </cell>
          <cell r="F2416">
            <v>3.3000000000000002E-2</v>
          </cell>
        </row>
        <row r="2417">
          <cell r="A2417" t="str">
            <v>51940-441LF</v>
          </cell>
          <cell r="B2417" t="str">
            <v>51940-441LF Connector,PBVTR</v>
          </cell>
          <cell r="C2417">
            <v>2.9000000000000001E-2</v>
          </cell>
          <cell r="D2417">
            <v>205.17241379310343</v>
          </cell>
          <cell r="E2417">
            <v>615.51724137931024</v>
          </cell>
          <cell r="F2417">
            <v>7.1999999999999995E-2</v>
          </cell>
        </row>
        <row r="2418">
          <cell r="A2418" t="str">
            <v>51940-442LF</v>
          </cell>
          <cell r="B2418" t="str">
            <v>51940-442LF Connector,PBVTR</v>
          </cell>
          <cell r="C2418">
            <v>5.0000000000000001E-3</v>
          </cell>
          <cell r="D2418">
            <v>1190</v>
          </cell>
          <cell r="E2418">
            <v>3570</v>
          </cell>
          <cell r="F2418">
            <v>5.0999999999999997E-2</v>
          </cell>
        </row>
        <row r="2419">
          <cell r="A2419" t="str">
            <v>51940-445LF</v>
          </cell>
          <cell r="B2419" t="str">
            <v>51940-445LF Connector,PBVTR</v>
          </cell>
          <cell r="C2419">
            <v>3.0000000000000001E-3</v>
          </cell>
          <cell r="D2419">
            <v>1983.3333333333333</v>
          </cell>
          <cell r="E2419">
            <v>5950</v>
          </cell>
          <cell r="F2419">
            <v>0.03</v>
          </cell>
        </row>
        <row r="2420">
          <cell r="A2420" t="str">
            <v>51940-446LF</v>
          </cell>
          <cell r="B2420" t="str">
            <v>51940-446LF Connector,PBVTR</v>
          </cell>
          <cell r="C2420">
            <v>2E-3</v>
          </cell>
          <cell r="D2420">
            <v>2975</v>
          </cell>
          <cell r="E2420">
            <v>8925</v>
          </cell>
          <cell r="F2420">
            <v>2.3E-2</v>
          </cell>
        </row>
        <row r="2421">
          <cell r="A2421" t="str">
            <v>51940-447LF</v>
          </cell>
          <cell r="B2421" t="str">
            <v>51940-447LF Connector,PBVTR</v>
          </cell>
          <cell r="C2421">
            <v>5.0000000000000001E-3</v>
          </cell>
          <cell r="D2421">
            <v>1190</v>
          </cell>
          <cell r="E2421">
            <v>3570</v>
          </cell>
          <cell r="F2421">
            <v>5.0999999999999997E-2</v>
          </cell>
        </row>
        <row r="2422">
          <cell r="A2422" t="str">
            <v>51940-451LF</v>
          </cell>
          <cell r="B2422" t="str">
            <v>51940-451LF Connector,PBVTR</v>
          </cell>
          <cell r="C2422">
            <v>6.1000000000000004E-3</v>
          </cell>
          <cell r="D2422">
            <v>975.4098360655737</v>
          </cell>
          <cell r="E2422">
            <v>2926.2295081967213</v>
          </cell>
          <cell r="F2422">
            <v>2.5000000000000001E-2</v>
          </cell>
        </row>
        <row r="2423">
          <cell r="A2423" t="str">
            <v>51940-454LF</v>
          </cell>
          <cell r="B2423" t="str">
            <v>51940-454LF Connector,PBVTR</v>
          </cell>
          <cell r="C2423">
            <v>3.0000000000000001E-3</v>
          </cell>
          <cell r="D2423">
            <v>1983.3333333333333</v>
          </cell>
          <cell r="E2423">
            <v>5950</v>
          </cell>
          <cell r="F2423">
            <v>3.2000000000000001E-2</v>
          </cell>
        </row>
        <row r="2424">
          <cell r="A2424" t="str">
            <v>51940-456LF</v>
          </cell>
          <cell r="B2424" t="str">
            <v>51940-456LF PwrBlade VR</v>
          </cell>
          <cell r="C2424">
            <v>2E-3</v>
          </cell>
          <cell r="D2424">
            <v>2975</v>
          </cell>
          <cell r="E2424">
            <v>8925</v>
          </cell>
          <cell r="F2424">
            <v>2.5000000000000001E-2</v>
          </cell>
        </row>
        <row r="2425">
          <cell r="A2425" t="str">
            <v>51940-457LF</v>
          </cell>
          <cell r="B2425" t="str">
            <v>51940-457LF Connector,PBVTR</v>
          </cell>
          <cell r="C2425">
            <v>3.0000000000000001E-3</v>
          </cell>
          <cell r="D2425">
            <v>1983.3333333333333</v>
          </cell>
          <cell r="E2425">
            <v>5950</v>
          </cell>
          <cell r="F2425">
            <v>3.7999999999999999E-2</v>
          </cell>
        </row>
        <row r="2426">
          <cell r="A2426" t="str">
            <v>51940-458LF</v>
          </cell>
          <cell r="B2426" t="str">
            <v>51940-458LF Connector,PBVTR</v>
          </cell>
          <cell r="C2426">
            <v>6.1000000000000004E-3</v>
          </cell>
          <cell r="D2426">
            <v>975.4098360655737</v>
          </cell>
          <cell r="E2426">
            <v>2926.2295081967213</v>
          </cell>
          <cell r="F2426">
            <v>0.02</v>
          </cell>
        </row>
        <row r="2427">
          <cell r="A2427" t="str">
            <v>51940-460LF</v>
          </cell>
          <cell r="B2427" t="str">
            <v>51940-460LF PwrBlade VR PF</v>
          </cell>
          <cell r="C2427">
            <v>6.1000000000000004E-3</v>
          </cell>
          <cell r="D2427">
            <v>975.4098360655737</v>
          </cell>
          <cell r="E2427">
            <v>2926.2295081967213</v>
          </cell>
          <cell r="F2427">
            <v>2.7E-2</v>
          </cell>
        </row>
        <row r="2428">
          <cell r="A2428" t="str">
            <v>51940-461LF</v>
          </cell>
          <cell r="B2428" t="str">
            <v>51940-461LF Connector,PBVTR</v>
          </cell>
          <cell r="C2428">
            <v>3.0000000000000001E-3</v>
          </cell>
          <cell r="D2428">
            <v>1983.3333333333333</v>
          </cell>
          <cell r="E2428">
            <v>5950</v>
          </cell>
          <cell r="F2428">
            <v>6.9000000000000006E-2</v>
          </cell>
        </row>
        <row r="2429">
          <cell r="A2429" t="str">
            <v>51940-464LF</v>
          </cell>
          <cell r="B2429" t="str">
            <v>51940-464LF Connector,PBVTR</v>
          </cell>
          <cell r="C2429">
            <v>2E-3</v>
          </cell>
          <cell r="D2429">
            <v>2975</v>
          </cell>
          <cell r="E2429">
            <v>8925</v>
          </cell>
          <cell r="F2429">
            <v>2.7E-2</v>
          </cell>
        </row>
        <row r="2430">
          <cell r="A2430" t="str">
            <v>51940-466LF</v>
          </cell>
          <cell r="B2430" t="str">
            <v>51940-466LF PwrBlade VR</v>
          </cell>
          <cell r="C2430">
            <v>2E-3</v>
          </cell>
          <cell r="D2430">
            <v>2975</v>
          </cell>
          <cell r="E2430">
            <v>8925</v>
          </cell>
          <cell r="F2430">
            <v>2.9000000000000001E-2</v>
          </cell>
        </row>
        <row r="2431">
          <cell r="A2431" t="str">
            <v>51940-467LF</v>
          </cell>
          <cell r="B2431" t="str">
            <v>51940-467LF Connector,PBVTR</v>
          </cell>
          <cell r="C2431">
            <v>6.1000000000000004E-3</v>
          </cell>
          <cell r="D2431">
            <v>975.4098360655737</v>
          </cell>
          <cell r="E2431">
            <v>2926.2295081967213</v>
          </cell>
          <cell r="F2431">
            <v>0.02</v>
          </cell>
        </row>
        <row r="2432">
          <cell r="A2432" t="str">
            <v>51940-470LF</v>
          </cell>
          <cell r="B2432" t="str">
            <v>51940-470LF Connector,PBVTR</v>
          </cell>
          <cell r="C2432">
            <v>3.0000000000000001E-3</v>
          </cell>
          <cell r="D2432">
            <v>1983.3333333333333</v>
          </cell>
          <cell r="E2432">
            <v>5950</v>
          </cell>
          <cell r="F2432">
            <v>2.1999999999999999E-2</v>
          </cell>
        </row>
        <row r="2433">
          <cell r="A2433" t="str">
            <v>51940-471LF</v>
          </cell>
          <cell r="B2433" t="str">
            <v>51940-471LF Connector,PBVTR</v>
          </cell>
          <cell r="C2433">
            <v>2E-3</v>
          </cell>
          <cell r="D2433">
            <v>2975</v>
          </cell>
          <cell r="E2433">
            <v>8925</v>
          </cell>
          <cell r="F2433">
            <v>3.5999999999999997E-2</v>
          </cell>
        </row>
        <row r="2434">
          <cell r="A2434" t="str">
            <v>51940-473LF</v>
          </cell>
          <cell r="B2434" t="str">
            <v>51940-473LF PwrBlade VR PF</v>
          </cell>
          <cell r="C2434">
            <v>3.0000000000000001E-3</v>
          </cell>
          <cell r="D2434">
            <v>1983.3333333333333</v>
          </cell>
          <cell r="E2434">
            <v>5950</v>
          </cell>
          <cell r="F2434">
            <v>3.3000000000000002E-2</v>
          </cell>
        </row>
        <row r="2435">
          <cell r="A2435" t="str">
            <v>51940-473ULLHLF</v>
          </cell>
          <cell r="B2435" t="str">
            <v>51940-473ULLHLF Connector,PBVTR</v>
          </cell>
          <cell r="C2435">
            <v>3.0000000000000001E-3</v>
          </cell>
          <cell r="D2435">
            <v>1983.3333333333333</v>
          </cell>
          <cell r="E2435">
            <v>5950</v>
          </cell>
          <cell r="F2435">
            <v>3.3000000000000002E-2</v>
          </cell>
        </row>
        <row r="2436">
          <cell r="A2436" t="str">
            <v>51940-474LF</v>
          </cell>
          <cell r="B2436" t="str">
            <v>51940-474LF Connector,PBVTR</v>
          </cell>
          <cell r="C2436">
            <v>2E-3</v>
          </cell>
          <cell r="D2436">
            <v>2975</v>
          </cell>
          <cell r="E2436">
            <v>8925</v>
          </cell>
          <cell r="F2436">
            <v>0.03</v>
          </cell>
        </row>
        <row r="2437">
          <cell r="A2437" t="str">
            <v>51940-475LF</v>
          </cell>
          <cell r="B2437" t="str">
            <v>51940-475LF Connector,PBVTR</v>
          </cell>
          <cell r="C2437">
            <v>3.0000000000000001E-3</v>
          </cell>
          <cell r="D2437">
            <v>1983.3333333333333</v>
          </cell>
          <cell r="E2437">
            <v>5950</v>
          </cell>
          <cell r="F2437">
            <v>3.2000000000000001E-2</v>
          </cell>
        </row>
        <row r="2438">
          <cell r="A2438" t="str">
            <v>51940-477LF</v>
          </cell>
          <cell r="B2438" t="str">
            <v>51940-477LF Connector,PBVTR</v>
          </cell>
          <cell r="C2438">
            <v>3.0000000000000001E-3</v>
          </cell>
          <cell r="D2438">
            <v>1983.3333333333333</v>
          </cell>
          <cell r="E2438">
            <v>5950</v>
          </cell>
          <cell r="F2438">
            <v>3.3000000000000002E-2</v>
          </cell>
        </row>
        <row r="2439">
          <cell r="A2439" t="str">
            <v>51940-483LF</v>
          </cell>
          <cell r="B2439" t="str">
            <v>51940-483LF Connector,PBVTR</v>
          </cell>
          <cell r="C2439">
            <v>4.0000000000000001E-3</v>
          </cell>
          <cell r="D2439">
            <v>1487.5</v>
          </cell>
          <cell r="E2439">
            <v>4462.5</v>
          </cell>
          <cell r="F2439">
            <v>1.4E-2</v>
          </cell>
        </row>
        <row r="2440">
          <cell r="A2440" t="str">
            <v>51940-484LF</v>
          </cell>
          <cell r="B2440" t="str">
            <v>51940-484LF Connector,PBVTR</v>
          </cell>
          <cell r="C2440">
            <v>6.1000000000000004E-3</v>
          </cell>
          <cell r="D2440">
            <v>975.4098360655737</v>
          </cell>
          <cell r="E2440">
            <v>2926.2295081967213</v>
          </cell>
          <cell r="F2440">
            <v>2.3E-2</v>
          </cell>
        </row>
        <row r="2441">
          <cell r="A2441" t="str">
            <v>51940-486LF</v>
          </cell>
          <cell r="B2441" t="str">
            <v>51940-486LF Connector,PBVTR</v>
          </cell>
          <cell r="C2441">
            <v>6.1000000000000004E-3</v>
          </cell>
          <cell r="D2441">
            <v>975.4098360655737</v>
          </cell>
          <cell r="E2441">
            <v>2926.2295081967213</v>
          </cell>
          <cell r="F2441">
            <v>1.6199999999999999E-2</v>
          </cell>
        </row>
        <row r="2442">
          <cell r="A2442" t="str">
            <v>51940-486NPPLF</v>
          </cell>
          <cell r="B2442" t="str">
            <v>51940-486NPPLF Connector,PBVTR</v>
          </cell>
          <cell r="C2442">
            <v>6.1000000000000004E-3</v>
          </cell>
          <cell r="D2442">
            <v>975.4098360655737</v>
          </cell>
          <cell r="E2442">
            <v>2926.2295081967213</v>
          </cell>
          <cell r="F2442">
            <v>1.7999999999999999E-2</v>
          </cell>
        </row>
        <row r="2443">
          <cell r="A2443" t="str">
            <v>51940-488LF</v>
          </cell>
          <cell r="B2443" t="str">
            <v>51940-488LF PwrBlade VR</v>
          </cell>
          <cell r="C2443">
            <v>3.0000000000000001E-3</v>
          </cell>
          <cell r="D2443">
            <v>1983.3333333333333</v>
          </cell>
          <cell r="E2443">
            <v>5950</v>
          </cell>
          <cell r="F2443">
            <v>3.2000000000000001E-2</v>
          </cell>
        </row>
        <row r="2444">
          <cell r="A2444" t="str">
            <v>51940-489LF</v>
          </cell>
          <cell r="B2444" t="str">
            <v>51940-489LF Connector,PBVTR</v>
          </cell>
          <cell r="C2444">
            <v>5.0000000000000001E-3</v>
          </cell>
          <cell r="D2444">
            <v>1190</v>
          </cell>
          <cell r="E2444">
            <v>3570</v>
          </cell>
          <cell r="F2444">
            <v>1.6E-2</v>
          </cell>
        </row>
        <row r="2445">
          <cell r="A2445" t="str">
            <v>51940-490LF</v>
          </cell>
          <cell r="B2445" t="str">
            <v>51940-490LF Connector,PBVTR</v>
          </cell>
          <cell r="C2445">
            <v>2E-3</v>
          </cell>
          <cell r="D2445">
            <v>2975</v>
          </cell>
          <cell r="E2445">
            <v>8925</v>
          </cell>
          <cell r="F2445">
            <v>2.1000000000000001E-2</v>
          </cell>
        </row>
        <row r="2446">
          <cell r="A2446" t="str">
            <v>51940-491LF</v>
          </cell>
          <cell r="B2446" t="str">
            <v>51940-491LF Connector,PBVTR</v>
          </cell>
          <cell r="C2446">
            <v>9.2999999999999999E-2</v>
          </cell>
          <cell r="D2446">
            <v>63.978494623655919</v>
          </cell>
          <cell r="E2446">
            <v>191.93548387096774</v>
          </cell>
          <cell r="F2446">
            <v>1.44E-2</v>
          </cell>
        </row>
        <row r="2447">
          <cell r="A2447" t="str">
            <v>51940-501LF</v>
          </cell>
          <cell r="B2447" t="str">
            <v>51940-501LF Connector,PBVTR</v>
          </cell>
          <cell r="C2447">
            <v>1E-3</v>
          </cell>
          <cell r="D2447">
            <v>5950</v>
          </cell>
          <cell r="E2447">
            <v>17850</v>
          </cell>
          <cell r="F2447">
            <v>2.1999999999999999E-2</v>
          </cell>
        </row>
        <row r="2448">
          <cell r="A2448" t="str">
            <v>51940-503LF</v>
          </cell>
          <cell r="B2448" t="str">
            <v>51940-503LF Connector,PBVTR</v>
          </cell>
          <cell r="C2448">
            <v>4.0000000000000001E-3</v>
          </cell>
          <cell r="D2448">
            <v>1487.5</v>
          </cell>
          <cell r="E2448">
            <v>4462.5</v>
          </cell>
          <cell r="F2448">
            <v>1.2999999999999999E-2</v>
          </cell>
        </row>
        <row r="2449">
          <cell r="A2449" t="str">
            <v>51940-504LF</v>
          </cell>
          <cell r="B2449" t="str">
            <v>51940-504LF Connector,PBVTR</v>
          </cell>
          <cell r="C2449">
            <v>4.5999999999999999E-3</v>
          </cell>
          <cell r="D2449">
            <v>1293.4782608695652</v>
          </cell>
          <cell r="E2449">
            <v>3880.434782608696</v>
          </cell>
          <cell r="F2449">
            <v>9.7000000000000003E-3</v>
          </cell>
        </row>
        <row r="2450">
          <cell r="A2450" t="str">
            <v>51940-507LF</v>
          </cell>
          <cell r="B2450" t="str">
            <v>51940-507LF Connector,PBVTR</v>
          </cell>
          <cell r="C2450">
            <v>3.0000000000000001E-3</v>
          </cell>
          <cell r="D2450">
            <v>1983.3333333333333</v>
          </cell>
          <cell r="E2450">
            <v>5950</v>
          </cell>
          <cell r="F2450">
            <v>0.02</v>
          </cell>
        </row>
        <row r="2451">
          <cell r="A2451" t="str">
            <v>51940-508LF</v>
          </cell>
          <cell r="B2451" t="str">
            <v>51940-508LF Connector,PBVTR</v>
          </cell>
          <cell r="C2451">
            <v>2E-3</v>
          </cell>
          <cell r="D2451">
            <v>2975</v>
          </cell>
          <cell r="E2451">
            <v>8925</v>
          </cell>
          <cell r="F2451">
            <v>2.1000000000000001E-2</v>
          </cell>
        </row>
        <row r="2452">
          <cell r="A2452" t="str">
            <v>51940-510LF</v>
          </cell>
          <cell r="B2452" t="str">
            <v>51940-510LF Connector,PBVTR</v>
          </cell>
          <cell r="C2452">
            <v>2E-3</v>
          </cell>
          <cell r="D2452">
            <v>2975</v>
          </cell>
          <cell r="E2452">
            <v>8925</v>
          </cell>
          <cell r="F2452">
            <v>2.1999999999999999E-2</v>
          </cell>
        </row>
        <row r="2453">
          <cell r="A2453" t="str">
            <v>51940-515LF</v>
          </cell>
          <cell r="B2453" t="str">
            <v>51940-515LF Connector,PBVTR</v>
          </cell>
          <cell r="C2453">
            <v>3.0000000000000001E-3</v>
          </cell>
          <cell r="D2453">
            <v>1983.3333333333333</v>
          </cell>
          <cell r="E2453">
            <v>5950</v>
          </cell>
          <cell r="F2453">
            <v>2.1999999999999999E-2</v>
          </cell>
        </row>
        <row r="2454">
          <cell r="A2454" t="str">
            <v>51940-516LF</v>
          </cell>
          <cell r="B2454" t="str">
            <v>51940-516LF Connector,PBVTR</v>
          </cell>
          <cell r="C2454">
            <v>2E-3</v>
          </cell>
          <cell r="D2454">
            <v>2975</v>
          </cell>
          <cell r="E2454">
            <v>8925</v>
          </cell>
          <cell r="F2454">
            <v>3.3000000000000002E-2</v>
          </cell>
        </row>
        <row r="2455">
          <cell r="A2455" t="str">
            <v>51940-517PHDPLF</v>
          </cell>
          <cell r="B2455" t="str">
            <v>51940-517PHDPLF PwrBlade VTR</v>
          </cell>
          <cell r="C2455">
            <v>1.2367299999999999E-2</v>
          </cell>
          <cell r="D2455">
            <v>481.10743654637639</v>
          </cell>
          <cell r="E2455">
            <v>1443.3223096391291</v>
          </cell>
          <cell r="F2455">
            <v>8.1557000000000001E-3</v>
          </cell>
        </row>
        <row r="2456">
          <cell r="A2456" t="str">
            <v>51940-518LF</v>
          </cell>
          <cell r="B2456" t="str">
            <v>51940-518LF Connector,PBVTR</v>
          </cell>
          <cell r="C2456">
            <v>3.0000000000000001E-3</v>
          </cell>
          <cell r="D2456">
            <v>1983.3333333333333</v>
          </cell>
          <cell r="E2456">
            <v>5950</v>
          </cell>
          <cell r="F2456">
            <v>1.2999999999999999E-2</v>
          </cell>
        </row>
        <row r="2457">
          <cell r="A2457" t="str">
            <v>51940-519LF</v>
          </cell>
          <cell r="B2457" t="str">
            <v>51940-519LF Connector,PBVTR</v>
          </cell>
          <cell r="C2457">
            <v>1.4E-2</v>
          </cell>
          <cell r="D2457">
            <v>425</v>
          </cell>
          <cell r="E2457">
            <v>1275</v>
          </cell>
          <cell r="F2457">
            <v>4.5999999999999999E-2</v>
          </cell>
        </row>
        <row r="2458">
          <cell r="A2458" t="str">
            <v>51940-520LF</v>
          </cell>
          <cell r="B2458" t="str">
            <v>51940-520LF PwrBlade VR</v>
          </cell>
          <cell r="C2458">
            <v>3.0000000000000001E-3</v>
          </cell>
          <cell r="D2458">
            <v>1983.3333333333333</v>
          </cell>
          <cell r="E2458">
            <v>5950</v>
          </cell>
          <cell r="F2458">
            <v>1.2999999999999999E-2</v>
          </cell>
        </row>
        <row r="2459">
          <cell r="A2459" t="str">
            <v>51940-523LF</v>
          </cell>
          <cell r="B2459" t="str">
            <v>51940-523LF PwrBlade VR</v>
          </cell>
          <cell r="C2459">
            <v>5.0000000000000001E-3</v>
          </cell>
          <cell r="D2459">
            <v>1190</v>
          </cell>
          <cell r="E2459">
            <v>3570</v>
          </cell>
          <cell r="F2459">
            <v>1.6E-2</v>
          </cell>
        </row>
        <row r="2460">
          <cell r="A2460" t="str">
            <v>51940-524LF</v>
          </cell>
          <cell r="B2460" t="str">
            <v>51940-524LF PwrBlade VR</v>
          </cell>
          <cell r="C2460">
            <v>3.0000000000000001E-3</v>
          </cell>
          <cell r="D2460">
            <v>1983.3333333333333</v>
          </cell>
          <cell r="E2460">
            <v>5950</v>
          </cell>
          <cell r="F2460">
            <v>3.2000000000000001E-2</v>
          </cell>
        </row>
        <row r="2461">
          <cell r="A2461" t="str">
            <v>51940-526LF</v>
          </cell>
          <cell r="B2461" t="str">
            <v>51940-526LF Connector,PBVTR</v>
          </cell>
          <cell r="C2461">
            <v>3.0000000000000001E-3</v>
          </cell>
          <cell r="D2461">
            <v>1983.3333333333333</v>
          </cell>
          <cell r="E2461">
            <v>5950</v>
          </cell>
          <cell r="F2461">
            <v>2.8000000000000001E-2</v>
          </cell>
        </row>
        <row r="2462">
          <cell r="A2462" t="str">
            <v>51940-527LF</v>
          </cell>
          <cell r="B2462" t="str">
            <v>51940-527LF Connector,PBVTR</v>
          </cell>
          <cell r="C2462">
            <v>2E-3</v>
          </cell>
          <cell r="D2462">
            <v>2975</v>
          </cell>
          <cell r="E2462">
            <v>8925</v>
          </cell>
          <cell r="F2462">
            <v>2.7E-2</v>
          </cell>
        </row>
        <row r="2463">
          <cell r="A2463" t="str">
            <v>51940-528LF</v>
          </cell>
          <cell r="B2463" t="str">
            <v>51940-528LF Connector,PBVTR</v>
          </cell>
          <cell r="C2463">
            <v>0.01</v>
          </cell>
          <cell r="D2463">
            <v>595</v>
          </cell>
          <cell r="E2463">
            <v>1785</v>
          </cell>
          <cell r="F2463">
            <v>4.4999999999999998E-2</v>
          </cell>
        </row>
        <row r="2464">
          <cell r="A2464" t="str">
            <v>51940-529AULF</v>
          </cell>
          <cell r="B2464" t="str">
            <v>51940-529AULF Connector,PBVTR</v>
          </cell>
          <cell r="C2464">
            <v>3.0000000000000001E-3</v>
          </cell>
          <cell r="D2464">
            <v>1983.3333333333333</v>
          </cell>
          <cell r="E2464">
            <v>5950</v>
          </cell>
          <cell r="F2464">
            <v>2.9000000000000001E-2</v>
          </cell>
        </row>
        <row r="2465">
          <cell r="A2465" t="str">
            <v>51940-529LF</v>
          </cell>
          <cell r="B2465" t="str">
            <v>51940-529LF PwrBlade VR</v>
          </cell>
          <cell r="C2465">
            <v>3.0000000000000001E-3</v>
          </cell>
          <cell r="D2465">
            <v>1983.3333333333333</v>
          </cell>
          <cell r="E2465">
            <v>5950</v>
          </cell>
          <cell r="F2465">
            <v>2.9000000000000001E-2</v>
          </cell>
        </row>
        <row r="2466">
          <cell r="A2466" t="str">
            <v>51940-530LF</v>
          </cell>
          <cell r="B2466" t="str">
            <v>51940-530LF Connector,PBVTR</v>
          </cell>
          <cell r="C2466">
            <v>2.1000000000000001E-2</v>
          </cell>
          <cell r="D2466">
            <v>283.33333333333331</v>
          </cell>
          <cell r="E2466">
            <v>850</v>
          </cell>
          <cell r="F2466">
            <v>4.2999999999999997E-2</v>
          </cell>
        </row>
        <row r="2467">
          <cell r="A2467" t="str">
            <v>51940-531LF</v>
          </cell>
          <cell r="B2467" t="str">
            <v>51940-531LF Connector,PBVTR</v>
          </cell>
          <cell r="C2467">
            <v>3.0000000000000001E-3</v>
          </cell>
          <cell r="D2467">
            <v>1983.3333333333333</v>
          </cell>
          <cell r="E2467">
            <v>5950</v>
          </cell>
          <cell r="F2467">
            <v>2.1999999999999999E-2</v>
          </cell>
        </row>
        <row r="2468">
          <cell r="A2468" t="str">
            <v>51940-532LF</v>
          </cell>
          <cell r="B2468" t="str">
            <v>51940-532LF Connector,PBVTR</v>
          </cell>
          <cell r="C2468">
            <v>3.0000000000000001E-3</v>
          </cell>
          <cell r="D2468">
            <v>1983.3333333333333</v>
          </cell>
          <cell r="E2468">
            <v>5950</v>
          </cell>
          <cell r="F2468">
            <v>3.2000000000000001E-2</v>
          </cell>
        </row>
        <row r="2469">
          <cell r="A2469" t="str">
            <v>51940-535LF</v>
          </cell>
          <cell r="B2469" t="str">
            <v>51940-535LF PwrBlade VTR</v>
          </cell>
          <cell r="C2469">
            <v>3.0000000000000001E-3</v>
          </cell>
          <cell r="D2469">
            <v>1983.3333333333333</v>
          </cell>
          <cell r="E2469">
            <v>5950</v>
          </cell>
          <cell r="F2469">
            <v>0.02</v>
          </cell>
        </row>
        <row r="2470">
          <cell r="A2470" t="str">
            <v>51940-537LF</v>
          </cell>
          <cell r="B2470" t="str">
            <v>51940-537LF Connector,PBVTR</v>
          </cell>
          <cell r="C2470">
            <v>6.1000000000000004E-3</v>
          </cell>
          <cell r="D2470">
            <v>975.4098360655737</v>
          </cell>
          <cell r="E2470">
            <v>2926.2295081967213</v>
          </cell>
          <cell r="F2470">
            <v>2.5000000000000001E-2</v>
          </cell>
        </row>
        <row r="2471">
          <cell r="A2471" t="str">
            <v>51940-538LF</v>
          </cell>
          <cell r="B2471" t="str">
            <v>51940-538LF Connector,PBVTR</v>
          </cell>
          <cell r="C2471">
            <v>3.0000000000000001E-3</v>
          </cell>
          <cell r="D2471">
            <v>1983.3333333333333</v>
          </cell>
          <cell r="E2471">
            <v>5950</v>
          </cell>
          <cell r="F2471">
            <v>3.3000000000000002E-2</v>
          </cell>
        </row>
        <row r="2472">
          <cell r="A2472" t="str">
            <v>51940-539LF</v>
          </cell>
          <cell r="B2472" t="str">
            <v>51940-539LF Connector,PBVTR</v>
          </cell>
          <cell r="C2472">
            <v>3.0000000000000001E-3</v>
          </cell>
          <cell r="D2472">
            <v>1983.3333333333333</v>
          </cell>
          <cell r="E2472">
            <v>5950</v>
          </cell>
          <cell r="F2472">
            <v>2.7E-2</v>
          </cell>
        </row>
        <row r="2473">
          <cell r="A2473" t="str">
            <v>51940-540LF</v>
          </cell>
          <cell r="B2473" t="str">
            <v>51940-540LF Connector,PBVTR</v>
          </cell>
          <cell r="C2473">
            <v>3.0000000000000001E-3</v>
          </cell>
          <cell r="D2473">
            <v>1983.3333333333333</v>
          </cell>
          <cell r="E2473">
            <v>5950</v>
          </cell>
          <cell r="F2473">
            <v>3.2000000000000001E-2</v>
          </cell>
        </row>
        <row r="2474">
          <cell r="A2474" t="str">
            <v>51940-541LF</v>
          </cell>
          <cell r="B2474" t="str">
            <v>51940-541LF PwrBlade VR</v>
          </cell>
          <cell r="C2474">
            <v>9.2999999999999999E-2</v>
          </cell>
          <cell r="D2474">
            <v>63.978494623655919</v>
          </cell>
          <cell r="E2474">
            <v>191.93548387096774</v>
          </cell>
          <cell r="F2474">
            <v>1.44E-2</v>
          </cell>
        </row>
        <row r="2475">
          <cell r="A2475" t="str">
            <v>51940-542LF</v>
          </cell>
          <cell r="B2475" t="str">
            <v>51940-542LF Connector,PBVTR</v>
          </cell>
          <cell r="C2475">
            <v>3.0000000000000001E-3</v>
          </cell>
          <cell r="D2475">
            <v>1983.3333333333333</v>
          </cell>
          <cell r="E2475">
            <v>5950</v>
          </cell>
          <cell r="F2475">
            <v>1.6E-2</v>
          </cell>
        </row>
        <row r="2476">
          <cell r="A2476" t="str">
            <v>51940-543LF</v>
          </cell>
          <cell r="B2476" t="str">
            <v>51940-543LF Connector,PBVTR</v>
          </cell>
          <cell r="C2476">
            <v>2E-3</v>
          </cell>
          <cell r="D2476">
            <v>2975</v>
          </cell>
          <cell r="E2476">
            <v>8925</v>
          </cell>
          <cell r="F2476">
            <v>4.4999999999999998E-2</v>
          </cell>
        </row>
        <row r="2477">
          <cell r="A2477" t="str">
            <v>51940-544LF</v>
          </cell>
          <cell r="B2477" t="str">
            <v>51940-544LF Connector,PBVTR</v>
          </cell>
          <cell r="C2477">
            <v>3.0000000000000001E-3</v>
          </cell>
          <cell r="D2477">
            <v>1983.3333333333333</v>
          </cell>
          <cell r="E2477">
            <v>5950</v>
          </cell>
          <cell r="F2477">
            <v>3.2000000000000001E-2</v>
          </cell>
        </row>
        <row r="2478">
          <cell r="A2478" t="str">
            <v>51940-545LF</v>
          </cell>
          <cell r="B2478" t="str">
            <v>51940-545LF Connector,PBVTR</v>
          </cell>
          <cell r="C2478">
            <v>3.0000000000000001E-3</v>
          </cell>
          <cell r="D2478">
            <v>1983.3333333333333</v>
          </cell>
          <cell r="E2478">
            <v>5950</v>
          </cell>
          <cell r="F2478">
            <v>3.3000000000000002E-2</v>
          </cell>
        </row>
        <row r="2479">
          <cell r="A2479" t="str">
            <v>51940-547LF</v>
          </cell>
          <cell r="B2479" t="str">
            <v>51940-547LF Connector,PBVTR</v>
          </cell>
          <cell r="C2479">
            <v>1.0999999999999999E-2</v>
          </cell>
          <cell r="D2479">
            <v>540.90909090909099</v>
          </cell>
          <cell r="E2479">
            <v>1622.727272727273</v>
          </cell>
          <cell r="F2479">
            <v>0.03</v>
          </cell>
        </row>
        <row r="2480">
          <cell r="A2480" t="str">
            <v>51940-548LF</v>
          </cell>
          <cell r="B2480" t="str">
            <v>51940-548LF Connector,PBVTR</v>
          </cell>
          <cell r="C2480">
            <v>3.0000000000000001E-3</v>
          </cell>
          <cell r="D2480">
            <v>1983.3333333333333</v>
          </cell>
          <cell r="E2480">
            <v>5950</v>
          </cell>
          <cell r="F2480">
            <v>2.4E-2</v>
          </cell>
        </row>
        <row r="2481">
          <cell r="A2481" t="str">
            <v>51940-549LF</v>
          </cell>
          <cell r="B2481" t="str">
            <v>51940-549LF PwrBlade VR</v>
          </cell>
          <cell r="C2481">
            <v>1.4999999999999999E-2</v>
          </cell>
          <cell r="D2481">
            <v>396.66666666666669</v>
          </cell>
          <cell r="E2481">
            <v>1190</v>
          </cell>
          <cell r="F2481">
            <v>2.5000000000000001E-2</v>
          </cell>
        </row>
        <row r="2482">
          <cell r="A2482" t="str">
            <v>51940-550LF</v>
          </cell>
          <cell r="B2482" t="str">
            <v>51940-550LF Connector,PBVTR</v>
          </cell>
          <cell r="C2482">
            <v>6.1000000000000004E-3</v>
          </cell>
          <cell r="D2482">
            <v>975.4098360655737</v>
          </cell>
          <cell r="E2482">
            <v>2926.2295081967213</v>
          </cell>
          <cell r="F2482">
            <v>2.5000000000000001E-2</v>
          </cell>
        </row>
        <row r="2483">
          <cell r="A2483" t="str">
            <v>51940-551LF</v>
          </cell>
          <cell r="B2483" t="str">
            <v>51940-551LF PwrBlade VR</v>
          </cell>
          <cell r="C2483">
            <v>3.0000000000000001E-3</v>
          </cell>
          <cell r="D2483">
            <v>1983.3333333333333</v>
          </cell>
          <cell r="E2483">
            <v>5950</v>
          </cell>
          <cell r="F2483">
            <v>2.1999999999999999E-2</v>
          </cell>
        </row>
        <row r="2484">
          <cell r="A2484" t="str">
            <v>51940-553LF</v>
          </cell>
          <cell r="B2484" t="str">
            <v>51940-553LF Connector,PBVTR</v>
          </cell>
          <cell r="C2484">
            <v>2E-3</v>
          </cell>
          <cell r="D2484">
            <v>2975</v>
          </cell>
          <cell r="E2484">
            <v>8925</v>
          </cell>
          <cell r="F2484">
            <v>3.4000000000000002E-2</v>
          </cell>
        </row>
        <row r="2485">
          <cell r="A2485" t="str">
            <v>51940-557LF</v>
          </cell>
          <cell r="B2485" t="str">
            <v>51940-557LF Connector,PBVTR</v>
          </cell>
          <cell r="C2485">
            <v>6.1000000000000004E-3</v>
          </cell>
          <cell r="D2485">
            <v>975.4098360655737</v>
          </cell>
          <cell r="E2485">
            <v>2926.2295081967213</v>
          </cell>
          <cell r="F2485">
            <v>0.02</v>
          </cell>
        </row>
        <row r="2486">
          <cell r="A2486" t="str">
            <v>51940-559LF</v>
          </cell>
          <cell r="B2486" t="str">
            <v>51940-559LF Connector,PBVTR</v>
          </cell>
          <cell r="C2486">
            <v>3.0000000000000001E-3</v>
          </cell>
          <cell r="D2486">
            <v>1983.3333333333333</v>
          </cell>
          <cell r="E2486">
            <v>5950</v>
          </cell>
          <cell r="F2486">
            <v>2.8000000000000001E-2</v>
          </cell>
        </row>
        <row r="2487">
          <cell r="A2487" t="str">
            <v>51940-560LF</v>
          </cell>
          <cell r="B2487" t="str">
            <v>51940-560LF PwrBlade VR</v>
          </cell>
          <cell r="C2487">
            <v>1.0999999999999999E-2</v>
          </cell>
          <cell r="D2487">
            <v>540.90909090909099</v>
          </cell>
          <cell r="E2487">
            <v>1622.727272727273</v>
          </cell>
          <cell r="F2487">
            <v>6.2E-2</v>
          </cell>
        </row>
        <row r="2488">
          <cell r="A2488" t="str">
            <v>51940-562LHLF</v>
          </cell>
          <cell r="B2488" t="str">
            <v>51940-562LHLF Connector,PBVTR</v>
          </cell>
          <cell r="C2488">
            <v>3.0000000000000001E-3</v>
          </cell>
          <cell r="D2488">
            <v>1983.3333333333333</v>
          </cell>
          <cell r="E2488">
            <v>5950</v>
          </cell>
          <cell r="F2488">
            <v>2.7E-2</v>
          </cell>
        </row>
        <row r="2489">
          <cell r="A2489" t="str">
            <v>51940-563LHLF</v>
          </cell>
          <cell r="B2489" t="str">
            <v>51940-563LHLF Connector,PBVTR</v>
          </cell>
          <cell r="C2489">
            <v>3.0000000000000001E-3</v>
          </cell>
          <cell r="D2489">
            <v>1983.3333333333333</v>
          </cell>
          <cell r="E2489">
            <v>5950</v>
          </cell>
          <cell r="F2489">
            <v>2.5999999999999999E-2</v>
          </cell>
        </row>
        <row r="2490">
          <cell r="A2490" t="str">
            <v>51940-565LF</v>
          </cell>
          <cell r="B2490" t="str">
            <v>51940-565LF Connector,PBVTR</v>
          </cell>
          <cell r="C2490">
            <v>6.1000000000000004E-3</v>
          </cell>
          <cell r="D2490">
            <v>975.4098360655737</v>
          </cell>
          <cell r="E2490">
            <v>2926.2295081967213</v>
          </cell>
          <cell r="F2490">
            <v>2.3E-2</v>
          </cell>
        </row>
        <row r="2491">
          <cell r="A2491" t="str">
            <v>51940-566LF</v>
          </cell>
          <cell r="B2491" t="str">
            <v>51940-566LF Connector,PBVTR</v>
          </cell>
          <cell r="C2491">
            <v>3.0000000000000001E-3</v>
          </cell>
          <cell r="D2491">
            <v>1983.3333333333333</v>
          </cell>
          <cell r="E2491">
            <v>5950</v>
          </cell>
          <cell r="F2491">
            <v>1.4E-2</v>
          </cell>
        </row>
        <row r="2492">
          <cell r="A2492" t="str">
            <v>51940-570LF</v>
          </cell>
          <cell r="B2492" t="str">
            <v>51940-570LF Connector,PBVTR</v>
          </cell>
          <cell r="C2492">
            <v>3.0000000000000001E-3</v>
          </cell>
          <cell r="D2492">
            <v>1983.3333333333333</v>
          </cell>
          <cell r="E2492">
            <v>5950</v>
          </cell>
          <cell r="F2492">
            <v>3.2000000000000001E-2</v>
          </cell>
        </row>
        <row r="2493">
          <cell r="A2493" t="str">
            <v>51940-572PHDPLF</v>
          </cell>
          <cell r="B2493" t="str">
            <v>51940-572PHDPLF PwrBlade VR</v>
          </cell>
          <cell r="C2493">
            <v>0.04</v>
          </cell>
          <cell r="D2493">
            <v>148.75</v>
          </cell>
          <cell r="E2493">
            <v>446.25</v>
          </cell>
          <cell r="F2493">
            <v>2.9000000000000001E-2</v>
          </cell>
        </row>
        <row r="2494">
          <cell r="A2494" t="str">
            <v>51940-575LF</v>
          </cell>
          <cell r="B2494" t="str">
            <v>51940-575LF Connector,PBVTR</v>
          </cell>
          <cell r="C2494">
            <v>6.1000000000000004E-3</v>
          </cell>
          <cell r="D2494">
            <v>975.4098360655737</v>
          </cell>
          <cell r="E2494">
            <v>2926.2295081967213</v>
          </cell>
          <cell r="F2494">
            <v>2.5000000000000001E-2</v>
          </cell>
        </row>
        <row r="2495">
          <cell r="A2495" t="str">
            <v>51940-576LF</v>
          </cell>
          <cell r="B2495" t="str">
            <v>51940-576LF Connector,PBVTR</v>
          </cell>
          <cell r="C2495">
            <v>3.0000000000000001E-3</v>
          </cell>
          <cell r="D2495">
            <v>1983.3333333333333</v>
          </cell>
          <cell r="E2495">
            <v>5950</v>
          </cell>
          <cell r="F2495">
            <v>2.7E-2</v>
          </cell>
        </row>
        <row r="2496">
          <cell r="A2496" t="str">
            <v>51940-578LF</v>
          </cell>
          <cell r="B2496" t="str">
            <v>51940-578LF Connector,PBVTR</v>
          </cell>
          <cell r="C2496">
            <v>3.0000000000000001E-3</v>
          </cell>
          <cell r="D2496">
            <v>1983.3333333333333</v>
          </cell>
          <cell r="E2496">
            <v>5950</v>
          </cell>
          <cell r="F2496">
            <v>3.2000000000000001E-2</v>
          </cell>
        </row>
        <row r="2497">
          <cell r="A2497" t="str">
            <v>51940-579LF</v>
          </cell>
          <cell r="B2497" t="str">
            <v>51940-579LF Connector,PBVTR</v>
          </cell>
          <cell r="C2497">
            <v>3.0000000000000001E-3</v>
          </cell>
          <cell r="D2497">
            <v>1983.3333333333333</v>
          </cell>
          <cell r="E2497">
            <v>5950</v>
          </cell>
          <cell r="F2497">
            <v>3.3000000000000002E-2</v>
          </cell>
        </row>
        <row r="2498">
          <cell r="A2498" t="str">
            <v>51940-580LF</v>
          </cell>
          <cell r="B2498" t="str">
            <v>51940-580LF Connector,PBVTR</v>
          </cell>
          <cell r="C2498">
            <v>2E-3</v>
          </cell>
          <cell r="D2498">
            <v>2975</v>
          </cell>
          <cell r="E2498">
            <v>8925</v>
          </cell>
          <cell r="F2498">
            <v>3.4000000000000002E-2</v>
          </cell>
        </row>
        <row r="2499">
          <cell r="A2499" t="str">
            <v>51940-581LF</v>
          </cell>
          <cell r="B2499" t="str">
            <v>51940-581LF Connector,PBVTR</v>
          </cell>
          <cell r="C2499">
            <v>2E-3</v>
          </cell>
          <cell r="D2499">
            <v>2975</v>
          </cell>
          <cell r="E2499">
            <v>8925</v>
          </cell>
          <cell r="F2499">
            <v>3.1E-2</v>
          </cell>
        </row>
        <row r="2500">
          <cell r="A2500" t="str">
            <v>51940-582LF</v>
          </cell>
          <cell r="B2500" t="str">
            <v>51940-582LF Connector,PBVTR</v>
          </cell>
          <cell r="C2500">
            <v>6.0000000000000001E-3</v>
          </cell>
          <cell r="D2500">
            <v>991.66666666666663</v>
          </cell>
          <cell r="E2500">
            <v>2975</v>
          </cell>
          <cell r="F2500">
            <v>2.7E-2</v>
          </cell>
        </row>
        <row r="2501">
          <cell r="A2501" t="str">
            <v>51940-584LF</v>
          </cell>
          <cell r="B2501" t="str">
            <v>51940-584LF Connector,PBVTR</v>
          </cell>
          <cell r="C2501">
            <v>6.1000000000000004E-3</v>
          </cell>
          <cell r="D2501">
            <v>975.4098360655737</v>
          </cell>
          <cell r="E2501">
            <v>2926.2295081967213</v>
          </cell>
          <cell r="F2501">
            <v>4.7E-2</v>
          </cell>
        </row>
        <row r="2502">
          <cell r="A2502" t="str">
            <v>51940-585LF</v>
          </cell>
          <cell r="B2502" t="str">
            <v>51940-585LF Connector,PBVTR</v>
          </cell>
          <cell r="C2502">
            <v>6.1000000000000004E-3</v>
          </cell>
          <cell r="D2502">
            <v>975.4098360655737</v>
          </cell>
          <cell r="E2502">
            <v>2926.2295081967213</v>
          </cell>
          <cell r="F2502">
            <v>2.5000000000000001E-2</v>
          </cell>
        </row>
        <row r="2503">
          <cell r="A2503" t="str">
            <v>51940-586LF</v>
          </cell>
          <cell r="B2503" t="str">
            <v>51940-586LF Connector,PBVTR</v>
          </cell>
          <cell r="C2503">
            <v>6.1000000000000004E-3</v>
          </cell>
          <cell r="D2503">
            <v>975.4098360655737</v>
          </cell>
          <cell r="E2503">
            <v>2926.2295081967213</v>
          </cell>
          <cell r="F2503">
            <v>5.1999999999999998E-2</v>
          </cell>
        </row>
        <row r="2504">
          <cell r="A2504" t="str">
            <v>51940-587LF</v>
          </cell>
          <cell r="B2504" t="str">
            <v>51940-587LF Connector,PBVTR</v>
          </cell>
          <cell r="C2504">
            <v>4.3999999999999997E-2</v>
          </cell>
          <cell r="D2504">
            <v>135.22727272727275</v>
          </cell>
          <cell r="E2504">
            <v>405.68181818181824</v>
          </cell>
          <cell r="F2504">
            <v>6.7000000000000004E-2</v>
          </cell>
        </row>
        <row r="2505">
          <cell r="A2505" t="str">
            <v>51940-589LF</v>
          </cell>
          <cell r="B2505" t="str">
            <v>51940-589LF Connector,PBVTR</v>
          </cell>
          <cell r="C2505">
            <v>6.2E-2</v>
          </cell>
          <cell r="D2505">
            <v>95.967741935483872</v>
          </cell>
          <cell r="E2505">
            <v>287.90322580645159</v>
          </cell>
          <cell r="F2505">
            <v>1.6E-2</v>
          </cell>
        </row>
        <row r="2506">
          <cell r="A2506" t="str">
            <v>51940-590LF</v>
          </cell>
          <cell r="B2506" t="str">
            <v>51940-590LF Connector,PBVTR</v>
          </cell>
          <cell r="C2506">
            <v>6.1000000000000004E-3</v>
          </cell>
          <cell r="D2506">
            <v>975.4098360655737</v>
          </cell>
          <cell r="E2506">
            <v>2926.2295081967213</v>
          </cell>
          <cell r="F2506">
            <v>1.7999999999999999E-2</v>
          </cell>
        </row>
        <row r="2507">
          <cell r="A2507" t="str">
            <v>51940-592PHDPLF</v>
          </cell>
          <cell r="B2507" t="str">
            <v>51940-592PHDPLF Connector,PBVTR</v>
          </cell>
          <cell r="C2507">
            <v>4.5999999999999999E-2</v>
          </cell>
          <cell r="D2507">
            <v>129.34782608695653</v>
          </cell>
          <cell r="E2507">
            <v>388.04347826086962</v>
          </cell>
          <cell r="F2507">
            <v>2.1999999999999999E-2</v>
          </cell>
        </row>
        <row r="2508">
          <cell r="A2508" t="str">
            <v>51940-593PLF</v>
          </cell>
          <cell r="B2508" t="str">
            <v>51940-593PLF Connector,PBVTR</v>
          </cell>
          <cell r="C2508">
            <v>3.0000000000000001E-3</v>
          </cell>
          <cell r="D2508">
            <v>1983.3333333333333</v>
          </cell>
          <cell r="E2508">
            <v>5950</v>
          </cell>
          <cell r="F2508">
            <v>3.5000000000000003E-2</v>
          </cell>
        </row>
        <row r="2509">
          <cell r="A2509" t="str">
            <v>51940-594LF</v>
          </cell>
          <cell r="B2509" t="str">
            <v>51940-594LF Connector,PBVTR</v>
          </cell>
          <cell r="C2509">
            <v>4.8000000000000001E-2</v>
          </cell>
          <cell r="D2509">
            <v>123.95833333333333</v>
          </cell>
          <cell r="E2509">
            <v>371.875</v>
          </cell>
          <cell r="F2509">
            <v>1.7100000000000001E-2</v>
          </cell>
        </row>
        <row r="2510">
          <cell r="A2510" t="str">
            <v>51940-596LF</v>
          </cell>
          <cell r="B2510" t="str">
            <v>51940-596LF Connector,PBVTR</v>
          </cell>
          <cell r="C2510">
            <v>6.1000000000000004E-3</v>
          </cell>
          <cell r="D2510">
            <v>975.4098360655737</v>
          </cell>
          <cell r="E2510">
            <v>2926.2295081967213</v>
          </cell>
          <cell r="F2510">
            <v>2.5999999999999999E-2</v>
          </cell>
        </row>
        <row r="2511">
          <cell r="A2511" t="str">
            <v>51940-598LF</v>
          </cell>
          <cell r="B2511" t="str">
            <v>51940-598LF PwrBlade VTR</v>
          </cell>
          <cell r="C2511">
            <v>3.6999999999999998E-2</v>
          </cell>
          <cell r="D2511">
            <v>160.81081081081084</v>
          </cell>
          <cell r="E2511">
            <v>482.43243243243251</v>
          </cell>
          <cell r="F2511">
            <v>0.02</v>
          </cell>
        </row>
        <row r="2512">
          <cell r="A2512" t="str">
            <v>51940-602LF</v>
          </cell>
          <cell r="B2512" t="str">
            <v>51940-602LF Connector,PBVTR</v>
          </cell>
          <cell r="C2512">
            <v>3.0000000000000001E-3</v>
          </cell>
          <cell r="D2512">
            <v>1983.3333333333333</v>
          </cell>
          <cell r="E2512">
            <v>5950</v>
          </cell>
          <cell r="F2512">
            <v>2.8000000000000001E-2</v>
          </cell>
        </row>
        <row r="2513">
          <cell r="A2513" t="str">
            <v>51940-604LF</v>
          </cell>
          <cell r="B2513" t="str">
            <v>51940-604LF Connector,PBVTR</v>
          </cell>
          <cell r="C2513">
            <v>3.0000000000000001E-3</v>
          </cell>
          <cell r="D2513">
            <v>1983.3333333333333</v>
          </cell>
          <cell r="E2513">
            <v>5950</v>
          </cell>
          <cell r="F2513">
            <v>0.02</v>
          </cell>
        </row>
        <row r="2514">
          <cell r="A2514" t="str">
            <v>51940-605LF</v>
          </cell>
          <cell r="B2514" t="str">
            <v>51940-605LF Connector,PBVTR</v>
          </cell>
          <cell r="C2514">
            <v>4.3999999999999997E-2</v>
          </cell>
          <cell r="D2514">
            <v>135.22727272727275</v>
          </cell>
          <cell r="E2514">
            <v>405.68181818181824</v>
          </cell>
          <cell r="F2514">
            <v>6.7000000000000004E-2</v>
          </cell>
        </row>
        <row r="2515">
          <cell r="A2515" t="str">
            <v>51940-606PLF</v>
          </cell>
          <cell r="B2515" t="str">
            <v>51940-606PLF PwrBlade VR</v>
          </cell>
          <cell r="C2515">
            <v>6.5000000000000002E-2</v>
          </cell>
          <cell r="D2515">
            <v>91.538461538461533</v>
          </cell>
          <cell r="E2515">
            <v>274.61538461538458</v>
          </cell>
          <cell r="F2515">
            <v>2.3E-2</v>
          </cell>
        </row>
        <row r="2516">
          <cell r="A2516" t="str">
            <v>51940-607LF</v>
          </cell>
          <cell r="B2516" t="str">
            <v>51940-607LF Connector,PBVTR</v>
          </cell>
          <cell r="C2516">
            <v>1.7000000000000001E-2</v>
          </cell>
          <cell r="D2516">
            <v>350</v>
          </cell>
          <cell r="E2516">
            <v>1050</v>
          </cell>
          <cell r="F2516">
            <v>2.1000000000000001E-2</v>
          </cell>
        </row>
        <row r="2517">
          <cell r="A2517" t="str">
            <v>51940-608LF</v>
          </cell>
          <cell r="B2517" t="str">
            <v>51940-608LF Connector,PBVTR</v>
          </cell>
          <cell r="C2517">
            <v>2.1999999999999999E-2</v>
          </cell>
          <cell r="D2517">
            <v>270.4545454545455</v>
          </cell>
          <cell r="E2517">
            <v>811.36363636363649</v>
          </cell>
          <cell r="F2517">
            <v>1.9E-2</v>
          </cell>
        </row>
        <row r="2518">
          <cell r="A2518" t="str">
            <v>51940-609LF</v>
          </cell>
          <cell r="B2518" t="str">
            <v>51940-609LF Connector,PBVTR</v>
          </cell>
          <cell r="C2518">
            <v>3.0000000000000001E-3</v>
          </cell>
          <cell r="D2518">
            <v>1983.3333333333333</v>
          </cell>
          <cell r="E2518">
            <v>5950</v>
          </cell>
          <cell r="F2518">
            <v>3.6999999999999998E-2</v>
          </cell>
        </row>
        <row r="2519">
          <cell r="A2519" t="str">
            <v>51940-614LF</v>
          </cell>
          <cell r="B2519" t="str">
            <v>51940-614LF Connector,PBVTR</v>
          </cell>
          <cell r="C2519">
            <v>5.6000000000000001E-2</v>
          </cell>
          <cell r="D2519">
            <v>106.25</v>
          </cell>
          <cell r="E2519">
            <v>318.75</v>
          </cell>
          <cell r="F2519">
            <v>3.15E-2</v>
          </cell>
        </row>
        <row r="2520">
          <cell r="A2520" t="str">
            <v>51940-615LF</v>
          </cell>
          <cell r="B2520" t="str">
            <v>51940-615LF Connector,PBVTR</v>
          </cell>
          <cell r="C2520">
            <v>2E-3</v>
          </cell>
          <cell r="D2520">
            <v>2975</v>
          </cell>
          <cell r="E2520">
            <v>8925</v>
          </cell>
          <cell r="F2520">
            <v>2.8000000000000001E-2</v>
          </cell>
        </row>
        <row r="2521">
          <cell r="A2521" t="str">
            <v>51940-616LF</v>
          </cell>
          <cell r="B2521" t="str">
            <v>51940-616LF Connector,PBVTR</v>
          </cell>
          <cell r="C2521">
            <v>2E-3</v>
          </cell>
          <cell r="D2521">
            <v>2975</v>
          </cell>
          <cell r="E2521">
            <v>8925</v>
          </cell>
          <cell r="F2521">
            <v>3.4000000000000002E-2</v>
          </cell>
        </row>
        <row r="2522">
          <cell r="A2522" t="str">
            <v>51940-617LF</v>
          </cell>
          <cell r="B2522" t="str">
            <v>51940-617LF Connector,PBVTR</v>
          </cell>
          <cell r="C2522">
            <v>2E-3</v>
          </cell>
          <cell r="D2522">
            <v>2975</v>
          </cell>
          <cell r="E2522">
            <v>8925</v>
          </cell>
          <cell r="F2522">
            <v>3.2000000000000001E-2</v>
          </cell>
        </row>
        <row r="2523">
          <cell r="A2523" t="str">
            <v>51940-618LF</v>
          </cell>
          <cell r="B2523" t="str">
            <v>51940-618LF Connector,PBVTR</v>
          </cell>
          <cell r="C2523">
            <v>6.1000000000000004E-3</v>
          </cell>
          <cell r="D2523">
            <v>975.4098360655737</v>
          </cell>
          <cell r="E2523">
            <v>2926.2295081967213</v>
          </cell>
          <cell r="F2523">
            <v>4.2999999999999997E-2</v>
          </cell>
        </row>
        <row r="2524">
          <cell r="A2524" t="str">
            <v>51940-620LF</v>
          </cell>
          <cell r="B2524" t="str">
            <v>51940-620LF Connector,PBVTR</v>
          </cell>
          <cell r="C2524">
            <v>6.1000000000000004E-3</v>
          </cell>
          <cell r="D2524">
            <v>975.4098360655737</v>
          </cell>
          <cell r="E2524">
            <v>2926.2295081967213</v>
          </cell>
          <cell r="F2524">
            <v>3.15E-2</v>
          </cell>
        </row>
        <row r="2525">
          <cell r="A2525" t="str">
            <v>51940-622LF</v>
          </cell>
          <cell r="B2525" t="str">
            <v>51940-622LF Connector,PBVTR</v>
          </cell>
          <cell r="C2525">
            <v>6.1000000000000004E-3</v>
          </cell>
          <cell r="D2525">
            <v>975.4098360655737</v>
          </cell>
          <cell r="E2525">
            <v>2926.2295081967213</v>
          </cell>
          <cell r="F2525">
            <v>0.02</v>
          </cell>
        </row>
        <row r="2526">
          <cell r="A2526" t="str">
            <v>51940-623LF</v>
          </cell>
          <cell r="B2526" t="str">
            <v>51940-623LF Connector,PBVTR</v>
          </cell>
          <cell r="C2526">
            <v>3.0000000000000001E-3</v>
          </cell>
          <cell r="D2526">
            <v>1983.3333333333333</v>
          </cell>
          <cell r="E2526">
            <v>5950</v>
          </cell>
          <cell r="F2526">
            <v>3.3000000000000002E-2</v>
          </cell>
        </row>
        <row r="2527">
          <cell r="A2527" t="str">
            <v>51940-625LF</v>
          </cell>
          <cell r="B2527" t="str">
            <v>51940-625LF Connector,PBVTR</v>
          </cell>
          <cell r="C2527">
            <v>3.0000000000000001E-3</v>
          </cell>
          <cell r="D2527">
            <v>1983.3333333333333</v>
          </cell>
          <cell r="E2527">
            <v>5950</v>
          </cell>
          <cell r="F2527">
            <v>2.4E-2</v>
          </cell>
        </row>
        <row r="2528">
          <cell r="A2528" t="str">
            <v>51940-629LF</v>
          </cell>
          <cell r="B2528" t="str">
            <v>51940-629LF Connector,PBVTR</v>
          </cell>
          <cell r="C2528">
            <v>6.1000000000000004E-3</v>
          </cell>
          <cell r="D2528">
            <v>975.4098360655737</v>
          </cell>
          <cell r="E2528">
            <v>2926.2295081967213</v>
          </cell>
          <cell r="F2528">
            <v>0.02</v>
          </cell>
        </row>
        <row r="2529">
          <cell r="A2529" t="str">
            <v>51940-631LF</v>
          </cell>
          <cell r="B2529" t="str">
            <v>51940-631LF Connector,PBVTR</v>
          </cell>
          <cell r="C2529">
            <v>1.0999999999999999E-2</v>
          </cell>
          <cell r="D2529">
            <v>540.90909090909099</v>
          </cell>
          <cell r="E2529">
            <v>1622.727272727273</v>
          </cell>
          <cell r="F2529">
            <v>0.03</v>
          </cell>
        </row>
        <row r="2530">
          <cell r="A2530" t="str">
            <v>51940-636LF</v>
          </cell>
          <cell r="B2530" t="str">
            <v>51940-636LF Connector,PBVTR</v>
          </cell>
          <cell r="C2530">
            <v>3.0000000000000001E-3</v>
          </cell>
          <cell r="D2530">
            <v>1983.3333333333333</v>
          </cell>
          <cell r="E2530">
            <v>5950</v>
          </cell>
          <cell r="F2530">
            <v>3.3000000000000002E-2</v>
          </cell>
        </row>
        <row r="2531">
          <cell r="A2531" t="str">
            <v>51940-641LF</v>
          </cell>
          <cell r="B2531" t="str">
            <v>51940-641LF Connector,PBVTR</v>
          </cell>
          <cell r="C2531">
            <v>6.1000000000000004E-3</v>
          </cell>
          <cell r="D2531">
            <v>975.4098360655737</v>
          </cell>
          <cell r="E2531">
            <v>2926.2295081967213</v>
          </cell>
          <cell r="F2531">
            <v>2.8000000000000001E-2</v>
          </cell>
        </row>
        <row r="2532">
          <cell r="A2532" t="str">
            <v>51940-646LF</v>
          </cell>
          <cell r="B2532" t="str">
            <v>51940-646LF Connector,PBVTR</v>
          </cell>
          <cell r="C2532">
            <v>6.1000000000000004E-3</v>
          </cell>
          <cell r="D2532">
            <v>975.4098360655737</v>
          </cell>
          <cell r="E2532">
            <v>2926.2295081967213</v>
          </cell>
          <cell r="F2532">
            <v>2.7E-2</v>
          </cell>
        </row>
        <row r="2533">
          <cell r="A2533" t="str">
            <v>51940-647LF</v>
          </cell>
          <cell r="B2533" t="str">
            <v>51940-647LF Connector,PBVTR</v>
          </cell>
          <cell r="C2533">
            <v>6.1000000000000004E-3</v>
          </cell>
          <cell r="D2533">
            <v>975.4098360655737</v>
          </cell>
          <cell r="E2533">
            <v>2926.2295081967213</v>
          </cell>
          <cell r="F2533">
            <v>3.1E-2</v>
          </cell>
        </row>
        <row r="2534">
          <cell r="A2534" t="str">
            <v>51940-648LF</v>
          </cell>
          <cell r="B2534" t="str">
            <v>51940-648LF Connector,PBVTR</v>
          </cell>
          <cell r="C2534">
            <v>1.2999999999999999E-2</v>
          </cell>
          <cell r="D2534">
            <v>457.69230769230774</v>
          </cell>
          <cell r="E2534">
            <v>1373.0769230769233</v>
          </cell>
          <cell r="F2534">
            <v>2.7E-2</v>
          </cell>
        </row>
        <row r="2535">
          <cell r="A2535" t="str">
            <v>51940-650LF</v>
          </cell>
          <cell r="B2535" t="str">
            <v>51940-650LF PwrBlade VR</v>
          </cell>
          <cell r="C2535">
            <v>1.3299999999999999E-2</v>
          </cell>
          <cell r="D2535">
            <v>447.36842105263162</v>
          </cell>
          <cell r="E2535">
            <v>1342.1052631578948</v>
          </cell>
          <cell r="F2535">
            <v>4.7E-2</v>
          </cell>
        </row>
        <row r="2536">
          <cell r="A2536" t="str">
            <v>51940-653LF</v>
          </cell>
          <cell r="B2536" t="str">
            <v>51940-653LF Connector,PBVTR</v>
          </cell>
          <cell r="C2536">
            <v>8.5000000000000006E-3</v>
          </cell>
          <cell r="D2536">
            <v>700</v>
          </cell>
          <cell r="E2536">
            <v>2100</v>
          </cell>
          <cell r="F2536">
            <v>1.0999999999999999E-2</v>
          </cell>
        </row>
        <row r="2537">
          <cell r="A2537" t="str">
            <v>51940-655PLF</v>
          </cell>
          <cell r="B2537" t="str">
            <v>51940-655PLF PwrBlade VR STB</v>
          </cell>
          <cell r="C2537">
            <v>1.15E-2</v>
          </cell>
          <cell r="D2537">
            <v>517.39130434782612</v>
          </cell>
          <cell r="E2537">
            <v>1552.1739130434785</v>
          </cell>
          <cell r="F2537">
            <v>3.4799999999999998E-2</v>
          </cell>
        </row>
        <row r="2538">
          <cell r="A2538" t="str">
            <v>51940-656LF</v>
          </cell>
          <cell r="B2538" t="str">
            <v>51940-656LF Connector,PBVTR</v>
          </cell>
          <cell r="C2538">
            <v>7.6E-3</v>
          </cell>
          <cell r="D2538">
            <v>782.89473684210532</v>
          </cell>
          <cell r="E2538">
            <v>2348.6842105263158</v>
          </cell>
          <cell r="F2538">
            <v>2.5000000000000001E-2</v>
          </cell>
        </row>
        <row r="2539">
          <cell r="A2539" t="str">
            <v>51940-657LF</v>
          </cell>
          <cell r="B2539" t="str">
            <v>51940-657LF Connector,PBVTR</v>
          </cell>
          <cell r="C2539">
            <v>6.1000000000000004E-3</v>
          </cell>
          <cell r="D2539">
            <v>975.4098360655737</v>
          </cell>
          <cell r="E2539">
            <v>2926.2295081967213</v>
          </cell>
          <cell r="F2539">
            <v>7.8E-2</v>
          </cell>
        </row>
        <row r="2540">
          <cell r="A2540" t="str">
            <v>51940-658LF</v>
          </cell>
          <cell r="B2540" t="str">
            <v>51940-658LF Connector,PBVTR</v>
          </cell>
          <cell r="C2540">
            <v>3.8999999999999998E-3</v>
          </cell>
          <cell r="D2540">
            <v>1525.6410256410259</v>
          </cell>
          <cell r="E2540">
            <v>4576.923076923078</v>
          </cell>
          <cell r="F2540">
            <v>1.8499999999999999E-2</v>
          </cell>
        </row>
        <row r="2541">
          <cell r="A2541" t="str">
            <v>51940-660LF</v>
          </cell>
          <cell r="B2541" t="str">
            <v>51940-660LF Connector,PBVTR</v>
          </cell>
          <cell r="C2541">
            <v>9.4000000000000004E-3</v>
          </cell>
          <cell r="D2541">
            <v>632.97872340425533</v>
          </cell>
          <cell r="E2541">
            <v>1898.936170212766</v>
          </cell>
          <cell r="F2541">
            <v>1.7999999999999999E-2</v>
          </cell>
        </row>
        <row r="2542">
          <cell r="A2542" t="str">
            <v>51940-662LF</v>
          </cell>
          <cell r="B2542" t="str">
            <v>51940-662LF Connector,PBVTR</v>
          </cell>
          <cell r="C2542">
            <v>1.4E-2</v>
          </cell>
          <cell r="D2542">
            <v>425</v>
          </cell>
          <cell r="E2542">
            <v>1275</v>
          </cell>
          <cell r="F2542">
            <v>2.3E-2</v>
          </cell>
        </row>
        <row r="2543">
          <cell r="A2543" t="str">
            <v>51940-663LF</v>
          </cell>
          <cell r="B2543" t="str">
            <v>51940-663LF Connector,PBVTR</v>
          </cell>
          <cell r="C2543">
            <v>4.4000000000000003E-3</v>
          </cell>
          <cell r="D2543">
            <v>1352.2727272727273</v>
          </cell>
          <cell r="E2543">
            <v>4056.818181818182</v>
          </cell>
          <cell r="F2543">
            <v>1.7999999999999999E-2</v>
          </cell>
        </row>
        <row r="2544">
          <cell r="A2544" t="str">
            <v>51940-664LF</v>
          </cell>
          <cell r="B2544" t="str">
            <v>51940-664LF PwrBlade VR</v>
          </cell>
          <cell r="C2544">
            <v>1.7899999999999999E-2</v>
          </cell>
          <cell r="D2544">
            <v>332.40223463687153</v>
          </cell>
          <cell r="E2544">
            <v>997.20670391061458</v>
          </cell>
          <cell r="F2544">
            <v>2.58E-2</v>
          </cell>
        </row>
        <row r="2545">
          <cell r="A2545" t="str">
            <v>51940-665LF</v>
          </cell>
          <cell r="B2545" t="str">
            <v>51940-665LF PwrBlade VR</v>
          </cell>
          <cell r="C2545">
            <v>9.7999999999999997E-3</v>
          </cell>
          <cell r="D2545">
            <v>607.14285714285722</v>
          </cell>
          <cell r="E2545">
            <v>1821.4285714285716</v>
          </cell>
          <cell r="F2545">
            <v>1.9800000000000002E-2</v>
          </cell>
        </row>
        <row r="2546">
          <cell r="A2546" t="str">
            <v>51940-667LF</v>
          </cell>
          <cell r="B2546" t="str">
            <v>51940-667LF Connector,PBVTR</v>
          </cell>
          <cell r="C2546">
            <v>7.6E-3</v>
          </cell>
          <cell r="D2546">
            <v>782.89473684210532</v>
          </cell>
          <cell r="E2546">
            <v>2348.6842105263158</v>
          </cell>
          <cell r="F2546">
            <v>1.44E-2</v>
          </cell>
        </row>
        <row r="2547">
          <cell r="A2547" t="str">
            <v>51940-668LF</v>
          </cell>
          <cell r="B2547" t="str">
            <v>51940-668LF Connector,PBVTR</v>
          </cell>
          <cell r="C2547">
            <v>5.0000000000000001E-3</v>
          </cell>
          <cell r="D2547">
            <v>1190</v>
          </cell>
          <cell r="E2547">
            <v>3570</v>
          </cell>
          <cell r="F2547">
            <v>1.4999999999999999E-2</v>
          </cell>
        </row>
        <row r="2548">
          <cell r="A2548" t="str">
            <v>51940-669PLF</v>
          </cell>
          <cell r="B2548" t="str">
            <v>51940-669PLF PwrBlade VTR</v>
          </cell>
          <cell r="C2548">
            <v>3.0000000000000001E-3</v>
          </cell>
          <cell r="D2548">
            <v>1983.3333333333333</v>
          </cell>
          <cell r="E2548">
            <v>5950</v>
          </cell>
          <cell r="F2548">
            <v>0.01</v>
          </cell>
        </row>
        <row r="2549">
          <cell r="A2549" t="str">
            <v>51940-674LF</v>
          </cell>
          <cell r="B2549" t="str">
            <v>51940-674LF Connector,PBVTR</v>
          </cell>
          <cell r="C2549">
            <v>1.7500000000000002E-2</v>
          </cell>
          <cell r="D2549">
            <v>340</v>
          </cell>
          <cell r="E2549">
            <v>1020</v>
          </cell>
          <cell r="F2549">
            <v>2.4799999999999999E-2</v>
          </cell>
        </row>
        <row r="2550">
          <cell r="A2550" t="str">
            <v>51940-676LF</v>
          </cell>
          <cell r="B2550" t="str">
            <v>51940-676LF PwrBlade VR STB</v>
          </cell>
          <cell r="C2550">
            <v>2.7000000000000001E-3</v>
          </cell>
          <cell r="D2550">
            <v>2203.7037037037035</v>
          </cell>
          <cell r="E2550">
            <v>6611.1111111111104</v>
          </cell>
          <cell r="F2550">
            <v>1.3899999999999999E-2</v>
          </cell>
        </row>
        <row r="2551">
          <cell r="A2551" t="str">
            <v>51940-677LF</v>
          </cell>
          <cell r="B2551" t="str">
            <v>51940-677LF PwrBlade VR STB</v>
          </cell>
          <cell r="C2551">
            <v>1.1299999999999999E-2</v>
          </cell>
          <cell r="D2551">
            <v>526.54867256637169</v>
          </cell>
          <cell r="E2551">
            <v>1579.646017699115</v>
          </cell>
          <cell r="F2551">
            <v>1.8700000000000001E-2</v>
          </cell>
        </row>
        <row r="2552">
          <cell r="A2552" t="str">
            <v>51940-679PELF</v>
          </cell>
          <cell r="B2552" t="str">
            <v>51940-679PELF 2P+12S+2P_ Recept</v>
          </cell>
          <cell r="C2552">
            <v>7.3000000000000001E-3</v>
          </cell>
          <cell r="D2552">
            <v>815.06849315068496</v>
          </cell>
          <cell r="E2552">
            <v>2445.205479452055</v>
          </cell>
          <cell r="F2552">
            <v>4.5139000000000004E-3</v>
          </cell>
        </row>
        <row r="2553">
          <cell r="A2553" t="str">
            <v>51940-679PLF</v>
          </cell>
          <cell r="B2553" t="str">
            <v>51940-679PLF PwrBlade VR STB</v>
          </cell>
          <cell r="C2553">
            <v>7.3000000000000001E-3</v>
          </cell>
          <cell r="D2553">
            <v>815.06849315068496</v>
          </cell>
          <cell r="E2553">
            <v>2445.205479452055</v>
          </cell>
          <cell r="F2553">
            <v>2.5000000000000001E-2</v>
          </cell>
        </row>
        <row r="2554">
          <cell r="A2554" t="str">
            <v>51940-681LF</v>
          </cell>
          <cell r="B2554" t="str">
            <v>51940-681LF Connector,PBVTR</v>
          </cell>
          <cell r="C2554">
            <v>1.4500000000000001E-2</v>
          </cell>
          <cell r="D2554">
            <v>410.34482758620686</v>
          </cell>
          <cell r="E2554">
            <v>1231.0344827586205</v>
          </cell>
          <cell r="F2554">
            <v>4.4499999999999998E-2</v>
          </cell>
        </row>
        <row r="2555">
          <cell r="A2555" t="str">
            <v>51940-682LF</v>
          </cell>
          <cell r="B2555" t="str">
            <v>51940-682LF Connector,PBVTR</v>
          </cell>
          <cell r="C2555">
            <v>1.8E-3</v>
          </cell>
          <cell r="D2555">
            <v>3305.5555555555557</v>
          </cell>
          <cell r="E2555">
            <v>9916.6666666666679</v>
          </cell>
          <cell r="F2555">
            <v>1.7999999999999999E-2</v>
          </cell>
        </row>
        <row r="2556">
          <cell r="A2556" t="str">
            <v>51940-683LF</v>
          </cell>
          <cell r="B2556" t="str">
            <v>51940-683LF Connector,PBVTR</v>
          </cell>
          <cell r="C2556">
            <v>8.9999999999999993E-3</v>
          </cell>
          <cell r="D2556">
            <v>661.1111111111112</v>
          </cell>
          <cell r="E2556">
            <v>1983.3333333333335</v>
          </cell>
          <cell r="F2556">
            <v>2.35E-2</v>
          </cell>
        </row>
        <row r="2557">
          <cell r="A2557" t="str">
            <v>51940-684LF</v>
          </cell>
          <cell r="B2557" t="str">
            <v>51940-684LF Connector,PBVTR</v>
          </cell>
          <cell r="C2557">
            <v>1.0999999999999999E-2</v>
          </cell>
          <cell r="D2557">
            <v>540.90909090909099</v>
          </cell>
          <cell r="E2557">
            <v>1622.727272727273</v>
          </cell>
          <cell r="F2557">
            <v>2.1000000000000001E-2</v>
          </cell>
        </row>
        <row r="2558">
          <cell r="A2558" t="str">
            <v>51940-686LF</v>
          </cell>
          <cell r="B2558" t="str">
            <v>51940-686LF Connector,PBVTR</v>
          </cell>
          <cell r="C2558">
            <v>1.4E-2</v>
          </cell>
          <cell r="D2558">
            <v>425</v>
          </cell>
          <cell r="E2558">
            <v>1275</v>
          </cell>
          <cell r="F2558">
            <v>1.0999999999999999E-2</v>
          </cell>
        </row>
        <row r="2559">
          <cell r="A2559" t="str">
            <v>51940-690LF</v>
          </cell>
          <cell r="B2559" t="str">
            <v>51940-690LF Connector,PBVTR</v>
          </cell>
          <cell r="C2559">
            <v>4.3E-3</v>
          </cell>
          <cell r="D2559">
            <v>1383.7209302325582</v>
          </cell>
          <cell r="E2559">
            <v>4151.1627906976746</v>
          </cell>
          <cell r="F2559">
            <v>3.1E-2</v>
          </cell>
        </row>
        <row r="2560">
          <cell r="A2560" t="str">
            <v>51940-691LF</v>
          </cell>
          <cell r="B2560" t="str">
            <v>51940-691LF PwrBlade VR STB</v>
          </cell>
          <cell r="C2560">
            <v>3.1E-2</v>
          </cell>
          <cell r="D2560">
            <v>191.93548387096774</v>
          </cell>
          <cell r="E2560">
            <v>575.80645161290317</v>
          </cell>
          <cell r="F2560">
            <v>5.1999999999999998E-2</v>
          </cell>
        </row>
        <row r="2561">
          <cell r="A2561" t="str">
            <v>51940-692LF</v>
          </cell>
          <cell r="B2561" t="str">
            <v>51940-692LF Connector,PBVTR</v>
          </cell>
          <cell r="C2561">
            <v>5.1000000000000004E-3</v>
          </cell>
          <cell r="D2561">
            <v>1166.6666666666665</v>
          </cell>
          <cell r="E2561">
            <v>3499.9999999999995</v>
          </cell>
          <cell r="F2561">
            <v>1.7999999999999999E-2</v>
          </cell>
        </row>
        <row r="2562">
          <cell r="A2562" t="str">
            <v>51940-694LF</v>
          </cell>
          <cell r="B2562" t="str">
            <v>51940-694LF Connector,PBVTR</v>
          </cell>
          <cell r="C2562">
            <v>9.5999999999999992E-3</v>
          </cell>
          <cell r="D2562">
            <v>619.79166666666674</v>
          </cell>
          <cell r="E2562">
            <v>1859.3750000000002</v>
          </cell>
          <cell r="F2562">
            <v>2.3E-2</v>
          </cell>
        </row>
        <row r="2563">
          <cell r="A2563" t="str">
            <v>51940-695LF</v>
          </cell>
          <cell r="B2563" t="str">
            <v>51940-695LF Connector,PBVTR</v>
          </cell>
          <cell r="C2563">
            <v>1.7899999999999999E-2</v>
          </cell>
          <cell r="D2563">
            <v>332.40223463687153</v>
          </cell>
          <cell r="E2563">
            <v>997.20670391061458</v>
          </cell>
          <cell r="F2563">
            <v>3.3000000000000002E-2</v>
          </cell>
        </row>
        <row r="2564">
          <cell r="A2564" t="str">
            <v>51940-696LHLF</v>
          </cell>
          <cell r="B2564" t="str">
            <v>51940-696LHLF Connector,PBVTR</v>
          </cell>
          <cell r="C2564">
            <v>8.6E-3</v>
          </cell>
          <cell r="D2564">
            <v>691.8604651162791</v>
          </cell>
          <cell r="E2564">
            <v>2075.5813953488373</v>
          </cell>
          <cell r="F2564">
            <v>1.9E-2</v>
          </cell>
        </row>
        <row r="2565">
          <cell r="A2565" t="str">
            <v>51940-697LF</v>
          </cell>
          <cell r="B2565" t="str">
            <v>51940-697LF Connector,PBVTR</v>
          </cell>
          <cell r="C2565">
            <v>8.0000000000000002E-3</v>
          </cell>
          <cell r="D2565">
            <v>743.75</v>
          </cell>
          <cell r="E2565">
            <v>2231.25</v>
          </cell>
          <cell r="F2565">
            <v>2.1499999999999998E-2</v>
          </cell>
        </row>
        <row r="2566">
          <cell r="A2566" t="str">
            <v>51940-699LF</v>
          </cell>
          <cell r="B2566" t="str">
            <v>51940-699LF PwrBlade VTR</v>
          </cell>
          <cell r="C2566">
            <v>3.5000000000000003E-2</v>
          </cell>
          <cell r="D2566">
            <v>170</v>
          </cell>
          <cell r="E2566">
            <v>510</v>
          </cell>
          <cell r="F2566">
            <v>1.4500000000000001E-2</v>
          </cell>
        </row>
        <row r="2567">
          <cell r="A2567" t="str">
            <v>51940-700LF</v>
          </cell>
          <cell r="B2567" t="str">
            <v>51940-700LF PwrBlade VR PF</v>
          </cell>
          <cell r="C2567">
            <v>1.2999999999999999E-2</v>
          </cell>
          <cell r="D2567">
            <v>457.69230769230774</v>
          </cell>
          <cell r="E2567">
            <v>1373.0769230769233</v>
          </cell>
          <cell r="F2567">
            <v>2.7E-2</v>
          </cell>
        </row>
        <row r="2568">
          <cell r="A2568" t="str">
            <v>51940-702LF</v>
          </cell>
          <cell r="B2568" t="str">
            <v>51940-702LF Connector,PBVTR</v>
          </cell>
          <cell r="C2568">
            <v>1.4999999999999999E-2</v>
          </cell>
          <cell r="D2568">
            <v>396.66666666666669</v>
          </cell>
          <cell r="E2568">
            <v>1190</v>
          </cell>
          <cell r="F2568">
            <v>1.4500000000000001E-2</v>
          </cell>
        </row>
        <row r="2569">
          <cell r="A2569" t="str">
            <v>51940-707PLF</v>
          </cell>
          <cell r="B2569" t="str">
            <v>51940-707PLF Connector,PBVTR</v>
          </cell>
          <cell r="C2569">
            <v>1.15E-2</v>
          </cell>
          <cell r="D2569">
            <v>517.39130434782612</v>
          </cell>
          <cell r="E2569">
            <v>1552.1739130434785</v>
          </cell>
          <cell r="F2569">
            <v>3.4799999999999998E-2</v>
          </cell>
        </row>
        <row r="2570">
          <cell r="A2570" t="str">
            <v>51940-708LF</v>
          </cell>
          <cell r="B2570" t="str">
            <v>51940-708LF Connector,PBVTR</v>
          </cell>
          <cell r="C2570">
            <v>8.0000000000000002E-3</v>
          </cell>
          <cell r="D2570">
            <v>743.75</v>
          </cell>
          <cell r="E2570">
            <v>2231.25</v>
          </cell>
          <cell r="F2570">
            <v>1.9E-2</v>
          </cell>
        </row>
        <row r="2571">
          <cell r="A2571" t="str">
            <v>51940-709LF</v>
          </cell>
          <cell r="B2571" t="str">
            <v>51940-709LF Connector,PBVTR</v>
          </cell>
          <cell r="C2571">
            <v>7.0000000000000001E-3</v>
          </cell>
          <cell r="D2571">
            <v>850</v>
          </cell>
          <cell r="E2571">
            <v>2550</v>
          </cell>
          <cell r="F2571">
            <v>2.1999999999999999E-2</v>
          </cell>
        </row>
        <row r="2572">
          <cell r="A2572" t="str">
            <v>51940-710LF</v>
          </cell>
          <cell r="B2572" t="str">
            <v>51940-710LF PwrBlade VR PF</v>
          </cell>
          <cell r="C2572">
            <v>3.8E-3</v>
          </cell>
          <cell r="D2572">
            <v>1565.7894736842106</v>
          </cell>
          <cell r="E2572">
            <v>4697.3684210526317</v>
          </cell>
          <cell r="F2572">
            <v>1.6E-2</v>
          </cell>
        </row>
        <row r="2573">
          <cell r="A2573" t="str">
            <v>51940-711FLF</v>
          </cell>
          <cell r="B2573" t="str">
            <v>51940-711FLF Connector,PBVTR</v>
          </cell>
          <cell r="C2573">
            <v>5.5999999999999999E-3</v>
          </cell>
          <cell r="D2573">
            <v>1062.5</v>
          </cell>
          <cell r="E2573">
            <v>3187.5</v>
          </cell>
          <cell r="F2573">
            <v>2.1499999999999998E-2</v>
          </cell>
        </row>
        <row r="2574">
          <cell r="A2574" t="str">
            <v>51940-712FLF</v>
          </cell>
          <cell r="B2574" t="str">
            <v>51940-712FLF Connector,PBVTR</v>
          </cell>
          <cell r="C2574">
            <v>7.7999999999999996E-3</v>
          </cell>
          <cell r="D2574">
            <v>762.82051282051293</v>
          </cell>
          <cell r="E2574">
            <v>2288.461538461539</v>
          </cell>
          <cell r="F2574">
            <v>1.95E-2</v>
          </cell>
        </row>
        <row r="2575">
          <cell r="A2575" t="str">
            <v>51940-713LF</v>
          </cell>
          <cell r="B2575" t="str">
            <v>51940-713LF Connector,PBVTR</v>
          </cell>
          <cell r="C2575">
            <v>4.0000000000000001E-3</v>
          </cell>
          <cell r="D2575">
            <v>1487.5</v>
          </cell>
          <cell r="E2575">
            <v>4462.5</v>
          </cell>
          <cell r="F2575">
            <v>1.4999999999999999E-2</v>
          </cell>
        </row>
        <row r="2576">
          <cell r="A2576" t="str">
            <v>51940-716FLF</v>
          </cell>
          <cell r="B2576" t="str">
            <v>51940-716FLF Connector,PBVTR</v>
          </cell>
          <cell r="C2576">
            <v>1.0999999999999999E-2</v>
          </cell>
          <cell r="D2576">
            <v>540.90909090909099</v>
          </cell>
          <cell r="E2576">
            <v>1622.727272727273</v>
          </cell>
          <cell r="F2576">
            <v>2.5000000000000001E-2</v>
          </cell>
        </row>
        <row r="2577">
          <cell r="A2577" t="str">
            <v>51940-717FLF</v>
          </cell>
          <cell r="B2577" t="str">
            <v>51940-717FLF Connector,PBVTR</v>
          </cell>
          <cell r="C2577">
            <v>6.0000000000000001E-3</v>
          </cell>
          <cell r="D2577">
            <v>991.66666666666663</v>
          </cell>
          <cell r="E2577">
            <v>2975</v>
          </cell>
          <cell r="F2577">
            <v>2.3E-2</v>
          </cell>
        </row>
        <row r="2578">
          <cell r="A2578" t="str">
            <v>51940-719FLF</v>
          </cell>
          <cell r="B2578" t="str">
            <v>51940-719FLF Connector,PBVTR</v>
          </cell>
          <cell r="C2578">
            <v>8.8000000000000005E-3</v>
          </cell>
          <cell r="D2578">
            <v>676.13636363636363</v>
          </cell>
          <cell r="E2578">
            <v>2028.409090909091</v>
          </cell>
          <cell r="F2578">
            <v>2.3E-2</v>
          </cell>
        </row>
        <row r="2579">
          <cell r="A2579" t="str">
            <v>51940-721FLF</v>
          </cell>
          <cell r="B2579" t="str">
            <v>51940-721FLF Connector,PBVTR</v>
          </cell>
          <cell r="C2579">
            <v>1.44E-2</v>
          </cell>
          <cell r="D2579">
            <v>413.19444444444446</v>
          </cell>
          <cell r="E2579">
            <v>1239.5833333333335</v>
          </cell>
          <cell r="F2579">
            <v>1.9199999999999998E-2</v>
          </cell>
        </row>
        <row r="2580">
          <cell r="A2580" t="str">
            <v>51940-725LF</v>
          </cell>
          <cell r="B2580" t="str">
            <v>51940-725LF Connector,PBVTR</v>
          </cell>
          <cell r="C2580">
            <v>3.0000000000000001E-3</v>
          </cell>
          <cell r="D2580">
            <v>1983.3333333333333</v>
          </cell>
          <cell r="E2580">
            <v>5950</v>
          </cell>
          <cell r="F2580">
            <v>3.3000000000000002E-2</v>
          </cell>
        </row>
        <row r="2581">
          <cell r="A2581" t="str">
            <v>51940-726FLF</v>
          </cell>
          <cell r="B2581" t="str">
            <v>51940-726FLF Connector,PBVTR</v>
          </cell>
          <cell r="C2581">
            <v>4.1999999999999997E-3</v>
          </cell>
          <cell r="D2581">
            <v>1416.6666666666667</v>
          </cell>
          <cell r="E2581">
            <v>4250</v>
          </cell>
          <cell r="F2581">
            <v>1.55E-2</v>
          </cell>
        </row>
        <row r="2582">
          <cell r="A2582" t="str">
            <v>51940-728FLF</v>
          </cell>
          <cell r="B2582" t="str">
            <v>51940-728FLF PwrBlade VR STB</v>
          </cell>
          <cell r="C2582">
            <v>1.2E-2</v>
          </cell>
          <cell r="D2582">
            <v>495.83333333333331</v>
          </cell>
          <cell r="E2582">
            <v>1487.5</v>
          </cell>
          <cell r="F2582">
            <v>2.5999999999999999E-2</v>
          </cell>
        </row>
        <row r="2583">
          <cell r="A2583" t="str">
            <v>51940-729PLF</v>
          </cell>
          <cell r="B2583" t="str">
            <v>51940-729PLF PwrBlade VR STB</v>
          </cell>
          <cell r="C2583">
            <v>1.15E-2</v>
          </cell>
          <cell r="D2583">
            <v>517.39130434782612</v>
          </cell>
          <cell r="E2583">
            <v>1552.1739130434785</v>
          </cell>
          <cell r="F2583">
            <v>3.4799999999999998E-2</v>
          </cell>
        </row>
        <row r="2584">
          <cell r="A2584" t="str">
            <v>51940-734LF</v>
          </cell>
          <cell r="B2584" t="str">
            <v>51940-734LF Connector,PBVTR</v>
          </cell>
          <cell r="C2584">
            <v>1.0699999999999999E-2</v>
          </cell>
          <cell r="D2584">
            <v>556.07476635514024</v>
          </cell>
          <cell r="E2584">
            <v>1668.2242990654208</v>
          </cell>
          <cell r="F2584">
            <v>7.7999999999999996E-3</v>
          </cell>
        </row>
        <row r="2585">
          <cell r="A2585" t="str">
            <v>51940-735PLF</v>
          </cell>
          <cell r="B2585" t="str">
            <v>51940-735PLF PwrBlade VTR</v>
          </cell>
          <cell r="C2585">
            <v>0.04</v>
          </cell>
          <cell r="D2585">
            <v>148.75</v>
          </cell>
          <cell r="E2585">
            <v>446.25</v>
          </cell>
          <cell r="F2585">
            <v>2.9000000000000001E-2</v>
          </cell>
        </row>
        <row r="2586">
          <cell r="A2586" t="str">
            <v>51940-736PLF</v>
          </cell>
          <cell r="B2586" t="str">
            <v>51940-736PLF Connector,PBVTR</v>
          </cell>
          <cell r="C2586">
            <v>1.8499999999999999E-2</v>
          </cell>
          <cell r="D2586">
            <v>321.62162162162167</v>
          </cell>
          <cell r="E2586">
            <v>964.86486486486501</v>
          </cell>
          <cell r="F2586">
            <v>1.55E-2</v>
          </cell>
        </row>
        <row r="2587">
          <cell r="A2587" t="str">
            <v>51940-739LF</v>
          </cell>
          <cell r="B2587" t="str">
            <v>51940-739LF PwrBlade VR PF</v>
          </cell>
          <cell r="C2587">
            <v>7.7999999999999996E-3</v>
          </cell>
          <cell r="D2587">
            <v>762.82051282051293</v>
          </cell>
          <cell r="E2587">
            <v>2288.461538461539</v>
          </cell>
          <cell r="F2587">
            <v>1.7899999999999999E-2</v>
          </cell>
        </row>
        <row r="2588">
          <cell r="A2588" t="str">
            <v>51940-745FLF</v>
          </cell>
          <cell r="B2588" t="str">
            <v>51940-745FLF Connector,PBVTR</v>
          </cell>
          <cell r="C2588">
            <v>5.0000000000000001E-3</v>
          </cell>
          <cell r="D2588">
            <v>1190</v>
          </cell>
          <cell r="E2588">
            <v>3570</v>
          </cell>
          <cell r="F2588">
            <v>2.1000000000000001E-2</v>
          </cell>
        </row>
        <row r="2589">
          <cell r="A2589" t="str">
            <v>51940-746PHDPLF</v>
          </cell>
          <cell r="B2589" t="str">
            <v>51940-746PHDPLF Connector,PBVTR</v>
          </cell>
          <cell r="C2589">
            <v>1.24E-2</v>
          </cell>
          <cell r="D2589">
            <v>479.83870967741939</v>
          </cell>
          <cell r="E2589">
            <v>1439.516129032258</v>
          </cell>
          <cell r="F2589">
            <v>8.2000000000000007E-3</v>
          </cell>
        </row>
        <row r="2590">
          <cell r="A2590" t="str">
            <v>51940-747FLF</v>
          </cell>
          <cell r="B2590" t="str">
            <v>51940-747FLF Connector,PBVTR</v>
          </cell>
          <cell r="C2590">
            <v>3.0000000000000001E-3</v>
          </cell>
          <cell r="D2590">
            <v>1983.3333333333333</v>
          </cell>
          <cell r="E2590">
            <v>5950</v>
          </cell>
          <cell r="F2590">
            <v>1.4E-2</v>
          </cell>
        </row>
        <row r="2591">
          <cell r="A2591" t="str">
            <v>51940-748FLF</v>
          </cell>
          <cell r="B2591" t="str">
            <v>51940-748FLF Connector,PBVTR</v>
          </cell>
          <cell r="C2591">
            <v>3.0000000000000001E-3</v>
          </cell>
          <cell r="D2591">
            <v>1983.3333333333333</v>
          </cell>
          <cell r="E2591">
            <v>5950</v>
          </cell>
          <cell r="F2591">
            <v>1.4E-2</v>
          </cell>
        </row>
        <row r="2592">
          <cell r="A2592" t="str">
            <v>51940-749LF</v>
          </cell>
          <cell r="B2592" t="str">
            <v>51940-749LF Connector ,PB-VTR-STB</v>
          </cell>
          <cell r="C2592">
            <v>3.3333E-3</v>
          </cell>
          <cell r="D2592">
            <v>1785.0178501785019</v>
          </cell>
          <cell r="E2592">
            <v>5355.0535505355056</v>
          </cell>
          <cell r="F2592">
            <v>6.6667000000000002E-3</v>
          </cell>
        </row>
        <row r="2593">
          <cell r="A2593" t="str">
            <v>51952-376PELF</v>
          </cell>
          <cell r="B2593" t="str">
            <v>51952-376PELF 2P+12S+2P_Header</v>
          </cell>
          <cell r="C2593" t="e">
            <v>#N/A</v>
          </cell>
          <cell r="D2593" t="e">
            <v>#N/A</v>
          </cell>
          <cell r="E2593" t="e">
            <v>#N/A</v>
          </cell>
          <cell r="F2593">
            <v>4.5139000000000004E-3</v>
          </cell>
        </row>
        <row r="2594">
          <cell r="A2594" t="str">
            <v>51955-001LF</v>
          </cell>
          <cell r="B2594" t="str">
            <v>51955-001LF Connector,PBVTR</v>
          </cell>
          <cell r="C2594">
            <v>3.0000000000000001E-3</v>
          </cell>
          <cell r="D2594">
            <v>1983.3333333333333</v>
          </cell>
          <cell r="E2594">
            <v>5950</v>
          </cell>
          <cell r="F2594">
            <v>1.0200000000000001E-2</v>
          </cell>
        </row>
        <row r="2595">
          <cell r="A2595" t="str">
            <v>51966-10000800ABLF</v>
          </cell>
          <cell r="B2595" t="str">
            <v>51966-10000800ABLF Connector,PBRAH</v>
          </cell>
          <cell r="C2595">
            <v>2E-3</v>
          </cell>
          <cell r="D2595">
            <v>2975</v>
          </cell>
          <cell r="E2595">
            <v>8925</v>
          </cell>
          <cell r="F2595">
            <v>2.1000000000000001E-2</v>
          </cell>
        </row>
        <row r="2596">
          <cell r="A2596" t="str">
            <v>51966-10001200AALF</v>
          </cell>
          <cell r="B2596" t="str">
            <v>51966-10001200AALF Connector,PBRAH</v>
          </cell>
          <cell r="C2596">
            <v>2E-3</v>
          </cell>
          <cell r="D2596">
            <v>2975</v>
          </cell>
          <cell r="E2596">
            <v>8925</v>
          </cell>
          <cell r="F2596">
            <v>2.1999999999999999E-2</v>
          </cell>
        </row>
        <row r="2597">
          <cell r="A2597" t="str">
            <v>51966-10001600AALF</v>
          </cell>
          <cell r="B2597" t="str">
            <v>51966-10001600AALF Connector,PBRAH</v>
          </cell>
          <cell r="C2597">
            <v>2E-3</v>
          </cell>
          <cell r="D2597">
            <v>2975</v>
          </cell>
          <cell r="E2597">
            <v>8925</v>
          </cell>
          <cell r="F2597">
            <v>1.06E-2</v>
          </cell>
        </row>
        <row r="2598">
          <cell r="A2598" t="str">
            <v>51966-10001600ABLF</v>
          </cell>
          <cell r="B2598" t="str">
            <v>51966-10001600ABLF Connector,PBRAH</v>
          </cell>
          <cell r="C2598">
            <v>2E-3</v>
          </cell>
          <cell r="D2598">
            <v>2975</v>
          </cell>
          <cell r="E2598">
            <v>8925</v>
          </cell>
          <cell r="F2598">
            <v>2.1000000000000001E-2</v>
          </cell>
        </row>
        <row r="2599">
          <cell r="A2599" t="str">
            <v>51966-10002000AALF</v>
          </cell>
          <cell r="B2599" t="str">
            <v>51966-10002000AALF Connector,PBRAH</v>
          </cell>
          <cell r="C2599">
            <v>1.6000000000000001E-3</v>
          </cell>
          <cell r="D2599">
            <v>3718.75</v>
          </cell>
          <cell r="E2599">
            <v>11156.25</v>
          </cell>
          <cell r="F2599">
            <v>1.7500000000000002E-2</v>
          </cell>
        </row>
        <row r="2600">
          <cell r="A2600" t="str">
            <v>51966-10002400AALF</v>
          </cell>
          <cell r="B2600" t="str">
            <v>51966-10002400AALF Connector,PBRAH</v>
          </cell>
          <cell r="C2600">
            <v>2E-3</v>
          </cell>
          <cell r="D2600">
            <v>2975</v>
          </cell>
          <cell r="E2600">
            <v>8925</v>
          </cell>
          <cell r="F2600">
            <v>2.1999999999999999E-2</v>
          </cell>
        </row>
        <row r="2601">
          <cell r="A2601" t="str">
            <v>51966-10003200ABLF</v>
          </cell>
          <cell r="B2601" t="str">
            <v>51966-10003200ABLF Connector,PBRAH</v>
          </cell>
          <cell r="C2601">
            <v>2E-3</v>
          </cell>
          <cell r="D2601">
            <v>2975</v>
          </cell>
          <cell r="E2601">
            <v>8925</v>
          </cell>
          <cell r="F2601">
            <v>2.1000000000000001E-2</v>
          </cell>
        </row>
        <row r="2602">
          <cell r="A2602" t="str">
            <v>51966-10003600AALF</v>
          </cell>
          <cell r="B2602" t="str">
            <v>51966-10003600AALF Connector,PBRAH</v>
          </cell>
          <cell r="C2602">
            <v>2E-3</v>
          </cell>
          <cell r="D2602">
            <v>2975</v>
          </cell>
          <cell r="E2602">
            <v>8925</v>
          </cell>
          <cell r="F2602">
            <v>2.1999999999999999E-2</v>
          </cell>
        </row>
        <row r="2603">
          <cell r="A2603" t="str">
            <v>51966-10004000AALF</v>
          </cell>
          <cell r="B2603" t="str">
            <v>51966-10004000AALF Connector,PBRAH</v>
          </cell>
          <cell r="C2603">
            <v>2E-3</v>
          </cell>
          <cell r="D2603">
            <v>2975</v>
          </cell>
          <cell r="E2603">
            <v>8925</v>
          </cell>
          <cell r="F2603">
            <v>6.1800000000000001E-2</v>
          </cell>
        </row>
        <row r="2604">
          <cell r="A2604" t="str">
            <v>51966-10004000ABLF</v>
          </cell>
          <cell r="B2604" t="str">
            <v>51966-10004000ABLF Connector,PBRAH</v>
          </cell>
          <cell r="C2604">
            <v>2E-3</v>
          </cell>
          <cell r="D2604">
            <v>2975</v>
          </cell>
          <cell r="E2604">
            <v>8925</v>
          </cell>
          <cell r="F2604">
            <v>2.1000000000000001E-2</v>
          </cell>
        </row>
        <row r="2605">
          <cell r="A2605" t="str">
            <v>51966-10004400AALF</v>
          </cell>
          <cell r="B2605" t="str">
            <v>51966-10004400AALF Connector,PBRAH</v>
          </cell>
          <cell r="C2605">
            <v>3.0000000000000001E-3</v>
          </cell>
          <cell r="D2605">
            <v>1983.3333333333333</v>
          </cell>
          <cell r="E2605">
            <v>5950</v>
          </cell>
          <cell r="F2605">
            <v>2.1000000000000001E-2</v>
          </cell>
        </row>
        <row r="2606">
          <cell r="A2606" t="str">
            <v>51966-10004800AALF</v>
          </cell>
          <cell r="B2606" t="str">
            <v>51966-10004800AALF Connector,PBRAH</v>
          </cell>
          <cell r="C2606">
            <v>2E-3</v>
          </cell>
          <cell r="D2606">
            <v>2975</v>
          </cell>
          <cell r="E2606">
            <v>8925</v>
          </cell>
          <cell r="F2606">
            <v>2.1999999999999999E-2</v>
          </cell>
        </row>
        <row r="2607">
          <cell r="A2607" t="str">
            <v>51966-10004800ABLF</v>
          </cell>
          <cell r="B2607" t="str">
            <v>51966-10004800ABLF Connector,PBRAH</v>
          </cell>
          <cell r="C2607">
            <v>1.6000000000000001E-3</v>
          </cell>
          <cell r="D2607">
            <v>3718.75</v>
          </cell>
          <cell r="E2607">
            <v>11156.25</v>
          </cell>
          <cell r="F2607">
            <v>1.9599999999999999E-2</v>
          </cell>
        </row>
        <row r="2608">
          <cell r="A2608" t="str">
            <v>51966-10005200ABLF</v>
          </cell>
          <cell r="B2608" t="str">
            <v>51966-10005200ABLF Connector,PBRAH</v>
          </cell>
          <cell r="C2608">
            <v>1.6000000000000001E-3</v>
          </cell>
          <cell r="D2608">
            <v>3718.75</v>
          </cell>
          <cell r="E2608">
            <v>11156.25</v>
          </cell>
          <cell r="F2608">
            <v>1.9599999999999999E-2</v>
          </cell>
        </row>
        <row r="2609">
          <cell r="A2609" t="str">
            <v>51966-10006000ABLF</v>
          </cell>
          <cell r="B2609" t="str">
            <v>51966-10006000ABLF PwrBlade RAH STB</v>
          </cell>
          <cell r="C2609">
            <v>2E-3</v>
          </cell>
          <cell r="D2609">
            <v>2975</v>
          </cell>
          <cell r="E2609">
            <v>8925</v>
          </cell>
          <cell r="F2609">
            <v>2.1999999999999999E-2</v>
          </cell>
        </row>
        <row r="2610">
          <cell r="A2610" t="str">
            <v>51966-10006400AALF</v>
          </cell>
          <cell r="B2610" t="str">
            <v>51966-10006400AALF Connector,PBRAH</v>
          </cell>
          <cell r="C2610">
            <v>2E-3</v>
          </cell>
          <cell r="D2610">
            <v>2975</v>
          </cell>
          <cell r="E2610">
            <v>8925</v>
          </cell>
          <cell r="F2610">
            <v>2.1999999999999999E-2</v>
          </cell>
        </row>
        <row r="2611">
          <cell r="A2611" t="str">
            <v>51966-10006800ABLF</v>
          </cell>
          <cell r="B2611" t="str">
            <v>51966-10006800ABLF Connector,PBRAH</v>
          </cell>
          <cell r="C2611">
            <v>1.9E-3</v>
          </cell>
          <cell r="D2611">
            <v>3131.5789473684213</v>
          </cell>
          <cell r="E2611">
            <v>9394.7368421052633</v>
          </cell>
          <cell r="F2611">
            <v>1.9599999999999999E-2</v>
          </cell>
        </row>
        <row r="2612">
          <cell r="A2612" t="str">
            <v>51966-10007200AALF</v>
          </cell>
          <cell r="B2612" t="str">
            <v>51966-10007200AALF Connector,PBRAH</v>
          </cell>
          <cell r="C2612">
            <v>2E-3</v>
          </cell>
          <cell r="D2612">
            <v>2975</v>
          </cell>
          <cell r="E2612">
            <v>8925</v>
          </cell>
          <cell r="F2612">
            <v>2.1999999999999999E-2</v>
          </cell>
        </row>
        <row r="2613">
          <cell r="A2613" t="str">
            <v>51966-10007600AALF</v>
          </cell>
          <cell r="B2613" t="str">
            <v>51966-10007600AALF Connector,PBRAH</v>
          </cell>
          <cell r="C2613">
            <v>2E-3</v>
          </cell>
          <cell r="D2613">
            <v>2975</v>
          </cell>
          <cell r="E2613">
            <v>8925</v>
          </cell>
          <cell r="F2613">
            <v>2.1999999999999999E-2</v>
          </cell>
        </row>
        <row r="2614">
          <cell r="A2614" t="str">
            <v>51966-10008000AALF</v>
          </cell>
          <cell r="B2614" t="str">
            <v>51966-10008000AALF PwrBlade RAH STB</v>
          </cell>
          <cell r="C2614">
            <v>2E-3</v>
          </cell>
          <cell r="D2614">
            <v>2975</v>
          </cell>
          <cell r="E2614">
            <v>8925</v>
          </cell>
          <cell r="F2614">
            <v>2.1999999999999999E-2</v>
          </cell>
        </row>
        <row r="2615">
          <cell r="A2615" t="str">
            <v>51966-10008800AALF</v>
          </cell>
          <cell r="B2615" t="str">
            <v>51966-10008800AALF Connector,PBRAH</v>
          </cell>
          <cell r="C2615">
            <v>2E-3</v>
          </cell>
          <cell r="D2615">
            <v>2975</v>
          </cell>
          <cell r="E2615">
            <v>8925</v>
          </cell>
          <cell r="F2615">
            <v>2.1999999999999999E-2</v>
          </cell>
        </row>
        <row r="2616">
          <cell r="A2616" t="str">
            <v>51966-10009200ABLF</v>
          </cell>
          <cell r="B2616" t="str">
            <v>51966-10009200ABLF Connector,PBRAH</v>
          </cell>
          <cell r="C2616">
            <v>2E-3</v>
          </cell>
          <cell r="D2616">
            <v>2975</v>
          </cell>
          <cell r="E2616">
            <v>8925</v>
          </cell>
          <cell r="F2616">
            <v>2.1000000000000001E-2</v>
          </cell>
        </row>
        <row r="2617">
          <cell r="A2617" t="str">
            <v>51966-10009200DBLF</v>
          </cell>
          <cell r="B2617" t="str">
            <v>51966-10009200DBLF Connector,PBRAH</v>
          </cell>
          <cell r="C2617">
            <v>2E-3</v>
          </cell>
          <cell r="D2617">
            <v>2975</v>
          </cell>
          <cell r="E2617">
            <v>8925</v>
          </cell>
          <cell r="F2617">
            <v>2.9000000000000001E-2</v>
          </cell>
        </row>
        <row r="2618">
          <cell r="A2618" t="str">
            <v>51966-10009600AALF</v>
          </cell>
          <cell r="B2618" t="str">
            <v>51966-10009600AALF Connector,PBRAH</v>
          </cell>
          <cell r="C2618">
            <v>8.9999999999999993E-3</v>
          </cell>
          <cell r="D2618">
            <v>661.1111111111112</v>
          </cell>
          <cell r="E2618">
            <v>1983.3333333333335</v>
          </cell>
          <cell r="F2618">
            <v>2.7E-2</v>
          </cell>
        </row>
        <row r="2619">
          <cell r="A2619" t="str">
            <v>51966-10009600ABLF</v>
          </cell>
          <cell r="B2619" t="str">
            <v>51966-10009600ABLF Connector,PBRAH</v>
          </cell>
          <cell r="C2619">
            <v>1.9E-3</v>
          </cell>
          <cell r="D2619">
            <v>3131.5789473684213</v>
          </cell>
          <cell r="E2619">
            <v>9394.7368421052633</v>
          </cell>
          <cell r="F2619">
            <v>7.1099999999999997E-2</v>
          </cell>
        </row>
        <row r="2620">
          <cell r="A2620" t="str">
            <v>51966-10010000AALF</v>
          </cell>
          <cell r="B2620" t="str">
            <v>51966-10010000AALF Connector,PBRAH</v>
          </cell>
          <cell r="C2620">
            <v>2E-3</v>
          </cell>
          <cell r="D2620">
            <v>2975</v>
          </cell>
          <cell r="E2620">
            <v>8925</v>
          </cell>
          <cell r="F2620">
            <v>2.1999999999999999E-2</v>
          </cell>
        </row>
        <row r="2621">
          <cell r="A2621" t="str">
            <v>51966-10010000ABLF</v>
          </cell>
          <cell r="B2621" t="str">
            <v>51966-10010000ABLF Connector,PBRAH</v>
          </cell>
          <cell r="C2621">
            <v>2E-3</v>
          </cell>
          <cell r="D2621">
            <v>2975</v>
          </cell>
          <cell r="E2621">
            <v>8925</v>
          </cell>
          <cell r="F2621">
            <v>2.1000000000000001E-2</v>
          </cell>
        </row>
        <row r="2622">
          <cell r="A2622" t="str">
            <v>51966-10012000AALF</v>
          </cell>
          <cell r="B2622" t="str">
            <v>51966-10012000AALF Connector,PBRAH</v>
          </cell>
          <cell r="C2622">
            <v>2E-3</v>
          </cell>
          <cell r="D2622">
            <v>2975</v>
          </cell>
          <cell r="E2622">
            <v>8925</v>
          </cell>
          <cell r="F2622">
            <v>2.9000000000000001E-2</v>
          </cell>
        </row>
        <row r="2623">
          <cell r="A2623" t="str">
            <v>51966-10012800AALF</v>
          </cell>
          <cell r="B2623" t="str">
            <v>51966-10012800AALF Connector,PBRAH</v>
          </cell>
          <cell r="C2623">
            <v>2E-3</v>
          </cell>
          <cell r="D2623">
            <v>2975</v>
          </cell>
          <cell r="E2623">
            <v>8925</v>
          </cell>
          <cell r="F2623">
            <v>2.9000000000000001E-2</v>
          </cell>
        </row>
        <row r="2624">
          <cell r="A2624" t="str">
            <v>51966-10012800ABLF</v>
          </cell>
          <cell r="B2624" t="str">
            <v>51966-10012800ABLF Connector,PBRAH</v>
          </cell>
          <cell r="C2624">
            <v>2E-3</v>
          </cell>
          <cell r="D2624">
            <v>2975</v>
          </cell>
          <cell r="E2624">
            <v>8925</v>
          </cell>
          <cell r="F2624">
            <v>2.9000000000000001E-2</v>
          </cell>
        </row>
        <row r="2625">
          <cell r="A2625" t="str">
            <v>51966-10014400ABLF</v>
          </cell>
          <cell r="B2625" t="str">
            <v>51966-10014400ABLF Connector,PBRAH</v>
          </cell>
          <cell r="C2625">
            <v>2E-3</v>
          </cell>
          <cell r="D2625">
            <v>2975</v>
          </cell>
          <cell r="E2625">
            <v>8925</v>
          </cell>
          <cell r="F2625">
            <v>2.5999999999999999E-2</v>
          </cell>
        </row>
        <row r="2626">
          <cell r="A2626" t="str">
            <v>51966-10014800AALF</v>
          </cell>
          <cell r="B2626" t="str">
            <v>51966-10014800AALF PwrBlade RAH</v>
          </cell>
          <cell r="C2626">
            <v>1.9E-3</v>
          </cell>
          <cell r="D2626">
            <v>3131.5789473684213</v>
          </cell>
          <cell r="E2626">
            <v>9394.7368421052633</v>
          </cell>
          <cell r="F2626">
            <v>2.7099999999999999E-2</v>
          </cell>
        </row>
        <row r="2627">
          <cell r="A2627" t="str">
            <v>51967-10000800AALF</v>
          </cell>
          <cell r="B2627" t="str">
            <v>51967-10000800AALF Connector,PBVTR</v>
          </cell>
          <cell r="C2627">
            <v>6.1000000000000004E-3</v>
          </cell>
          <cell r="D2627">
            <v>975.4098360655737</v>
          </cell>
          <cell r="E2627">
            <v>2926.2295081967213</v>
          </cell>
          <cell r="F2627">
            <v>2.8000000000000001E-2</v>
          </cell>
        </row>
        <row r="2628">
          <cell r="A2628" t="str">
            <v>51967-10001200AALF</v>
          </cell>
          <cell r="B2628" t="str">
            <v>51967-10001200AALF Connector,PBVTR</v>
          </cell>
          <cell r="C2628">
            <v>2E-3</v>
          </cell>
          <cell r="D2628">
            <v>2975</v>
          </cell>
          <cell r="E2628">
            <v>8925</v>
          </cell>
          <cell r="F2628">
            <v>1.6E-2</v>
          </cell>
        </row>
        <row r="2629">
          <cell r="A2629" t="str">
            <v>51967-10001200CCLF</v>
          </cell>
          <cell r="B2629" t="str">
            <v>51967-10001200CCLF Connector,PBVTR</v>
          </cell>
          <cell r="C2629">
            <v>2E-3</v>
          </cell>
          <cell r="D2629">
            <v>2975</v>
          </cell>
          <cell r="E2629">
            <v>8925</v>
          </cell>
          <cell r="F2629">
            <v>1.4E-2</v>
          </cell>
        </row>
        <row r="2630">
          <cell r="A2630" t="str">
            <v>51967-10001600AALF</v>
          </cell>
          <cell r="B2630" t="str">
            <v>51967-10001600AALF Connector,PBVTR</v>
          </cell>
          <cell r="C2630">
            <v>3.0000000000000001E-3</v>
          </cell>
          <cell r="D2630">
            <v>1983.3333333333333</v>
          </cell>
          <cell r="E2630">
            <v>5950</v>
          </cell>
          <cell r="F2630">
            <v>1.3599999999999999E-2</v>
          </cell>
        </row>
        <row r="2631">
          <cell r="A2631" t="str">
            <v>51967-10001600CCLF</v>
          </cell>
          <cell r="B2631" t="str">
            <v>51967-10001600CCLF Connector,PBVTR</v>
          </cell>
          <cell r="C2631">
            <v>3.0000000000000001E-3</v>
          </cell>
          <cell r="D2631">
            <v>1983.3333333333333</v>
          </cell>
          <cell r="E2631">
            <v>5950</v>
          </cell>
          <cell r="F2631">
            <v>1.4E-2</v>
          </cell>
        </row>
        <row r="2632">
          <cell r="A2632" t="str">
            <v>51967-10002000AALF</v>
          </cell>
          <cell r="B2632" t="str">
            <v>51967-10002000AALF Connector,PBVTR</v>
          </cell>
          <cell r="C2632">
            <v>3.0000000000000001E-3</v>
          </cell>
          <cell r="D2632">
            <v>1983.3333333333333</v>
          </cell>
          <cell r="E2632">
            <v>5950</v>
          </cell>
          <cell r="F2632">
            <v>1.4999999999999999E-2</v>
          </cell>
        </row>
        <row r="2633">
          <cell r="A2633" t="str">
            <v>51967-10002000CALF</v>
          </cell>
          <cell r="B2633" t="str">
            <v>51967-10002000CALF PwrBlade VR</v>
          </cell>
          <cell r="C2633">
            <v>3.0000000000000001E-3</v>
          </cell>
          <cell r="D2633">
            <v>1983.3333333333333</v>
          </cell>
          <cell r="E2633">
            <v>5950</v>
          </cell>
          <cell r="F2633">
            <v>1.4999999999999999E-2</v>
          </cell>
        </row>
        <row r="2634">
          <cell r="A2634" t="str">
            <v>51967-10002000CCLF</v>
          </cell>
          <cell r="B2634" t="str">
            <v>51967-10002000CCLF PwrBlade VR PF</v>
          </cell>
          <cell r="C2634">
            <v>3.0000000000000001E-3</v>
          </cell>
          <cell r="D2634">
            <v>1983.3333333333333</v>
          </cell>
          <cell r="E2634">
            <v>5950</v>
          </cell>
          <cell r="F2634">
            <v>1.4E-2</v>
          </cell>
        </row>
        <row r="2635">
          <cell r="A2635" t="str">
            <v>51967-10002400AALF</v>
          </cell>
          <cell r="B2635" t="str">
            <v>51967-10002400AALF Connector,PBVTR</v>
          </cell>
          <cell r="C2635">
            <v>3.0000000000000001E-3</v>
          </cell>
          <cell r="D2635">
            <v>1983.3333333333333</v>
          </cell>
          <cell r="E2635">
            <v>5950</v>
          </cell>
          <cell r="F2635">
            <v>2.5000000000000001E-2</v>
          </cell>
        </row>
        <row r="2636">
          <cell r="A2636" t="str">
            <v>51967-10002400ACLF</v>
          </cell>
          <cell r="B2636" t="str">
            <v>51967-10002400ACLF Connector,PBVTR</v>
          </cell>
          <cell r="C2636">
            <v>3.0000000000000001E-3</v>
          </cell>
          <cell r="D2636">
            <v>1983.3333333333333</v>
          </cell>
          <cell r="E2636">
            <v>5950</v>
          </cell>
          <cell r="F2636">
            <v>2.4E-2</v>
          </cell>
        </row>
        <row r="2637">
          <cell r="A2637" t="str">
            <v>51967-10002400CALF</v>
          </cell>
          <cell r="B2637" t="str">
            <v>51967-10002400CALF Connector,PBVTR</v>
          </cell>
          <cell r="C2637">
            <v>8.0000000000000002E-3</v>
          </cell>
          <cell r="D2637">
            <v>743.75</v>
          </cell>
          <cell r="E2637">
            <v>2231.25</v>
          </cell>
          <cell r="F2637">
            <v>0.01</v>
          </cell>
        </row>
        <row r="2638">
          <cell r="A2638" t="str">
            <v>51967-10002400CCLF</v>
          </cell>
          <cell r="B2638" t="str">
            <v>51967-10002400CCLF Connector,PBVTR</v>
          </cell>
          <cell r="C2638">
            <v>3.0000000000000001E-3</v>
          </cell>
          <cell r="D2638">
            <v>1983.3333333333333</v>
          </cell>
          <cell r="E2638">
            <v>5950</v>
          </cell>
          <cell r="F2638">
            <v>9.1999999999999998E-3</v>
          </cell>
        </row>
        <row r="2639">
          <cell r="A2639" t="str">
            <v>51967-10002800AALF</v>
          </cell>
          <cell r="B2639" t="str">
            <v>51967-10002800AALF Connector,PBVTR</v>
          </cell>
          <cell r="C2639">
            <v>4.0000000000000001E-3</v>
          </cell>
          <cell r="D2639">
            <v>1487.5</v>
          </cell>
          <cell r="E2639">
            <v>4462.5</v>
          </cell>
          <cell r="F2639">
            <v>1.4999999999999999E-2</v>
          </cell>
        </row>
        <row r="2640">
          <cell r="A2640" t="str">
            <v>51967-10003200AALF</v>
          </cell>
          <cell r="B2640" t="str">
            <v>51967-10003200AALF Connector,PBVTR</v>
          </cell>
          <cell r="C2640">
            <v>4.0000000000000001E-3</v>
          </cell>
          <cell r="D2640">
            <v>1487.5</v>
          </cell>
          <cell r="E2640">
            <v>4462.5</v>
          </cell>
          <cell r="F2640">
            <v>1.4E-2</v>
          </cell>
        </row>
        <row r="2641">
          <cell r="A2641" t="str">
            <v>51967-10003200CCLF</v>
          </cell>
          <cell r="B2641" t="str">
            <v>51967-10003200CCLF Connector,PBVTR</v>
          </cell>
          <cell r="C2641">
            <v>4.0000000000000001E-3</v>
          </cell>
          <cell r="D2641">
            <v>1487.5</v>
          </cell>
          <cell r="E2641">
            <v>4462.5</v>
          </cell>
          <cell r="F2641">
            <v>1.0800000000000001E-2</v>
          </cell>
        </row>
        <row r="2642">
          <cell r="A2642" t="str">
            <v>51967-10003600AALF</v>
          </cell>
          <cell r="B2642" t="str">
            <v>51967-10003600AALF Connector,PBVTR</v>
          </cell>
          <cell r="C2642">
            <v>4.0000000000000001E-3</v>
          </cell>
          <cell r="D2642">
            <v>1487.5</v>
          </cell>
          <cell r="E2642">
            <v>4462.5</v>
          </cell>
          <cell r="F2642">
            <v>1.4999999999999999E-2</v>
          </cell>
        </row>
        <row r="2643">
          <cell r="A2643" t="str">
            <v>51967-10004000AALF</v>
          </cell>
          <cell r="B2643" t="str">
            <v>51967-10004000AALF Connector,PBVTR</v>
          </cell>
          <cell r="C2643">
            <v>5.0000000000000001E-3</v>
          </cell>
          <cell r="D2643">
            <v>1190</v>
          </cell>
          <cell r="E2643">
            <v>3570</v>
          </cell>
          <cell r="F2643">
            <v>1.47E-2</v>
          </cell>
        </row>
        <row r="2644">
          <cell r="A2644" t="str">
            <v>51967-10004800AALF</v>
          </cell>
          <cell r="B2644" t="str">
            <v>51967-10004800AALF PwrBlade VR</v>
          </cell>
          <cell r="C2644">
            <v>5.3E-3</v>
          </cell>
          <cell r="D2644">
            <v>1122.6415094339623</v>
          </cell>
          <cell r="E2644">
            <v>3367.9245283018868</v>
          </cell>
          <cell r="F2644">
            <v>1.7999999999999999E-2</v>
          </cell>
        </row>
        <row r="2645">
          <cell r="A2645" t="str">
            <v>51967-10005200AALF</v>
          </cell>
          <cell r="B2645" t="str">
            <v>51967-10005200AALF Connector,PBVTR</v>
          </cell>
          <cell r="C2645">
            <v>6.0000000000000001E-3</v>
          </cell>
          <cell r="D2645">
            <v>991.66666666666663</v>
          </cell>
          <cell r="E2645">
            <v>2975</v>
          </cell>
          <cell r="F2645">
            <v>1.9E-2</v>
          </cell>
        </row>
        <row r="2646">
          <cell r="A2646" t="str">
            <v>51967-10005200CCLF</v>
          </cell>
          <cell r="B2646" t="str">
            <v>51967-10005200CCLF Connector,PBVTR</v>
          </cell>
          <cell r="C2646">
            <v>6.0000000000000001E-3</v>
          </cell>
          <cell r="D2646">
            <v>991.66666666666663</v>
          </cell>
          <cell r="E2646">
            <v>2975</v>
          </cell>
          <cell r="F2646">
            <v>1.7000000000000001E-2</v>
          </cell>
        </row>
        <row r="2647">
          <cell r="A2647" t="str">
            <v>51967-10005600CCLF</v>
          </cell>
          <cell r="B2647" t="str">
            <v>51967-10005600CCLF PwrBlade VR</v>
          </cell>
          <cell r="C2647">
            <v>6.0000000000000001E-3</v>
          </cell>
          <cell r="D2647">
            <v>991.66666666666663</v>
          </cell>
          <cell r="E2647">
            <v>2975</v>
          </cell>
          <cell r="F2647">
            <v>1.7999999999999999E-2</v>
          </cell>
        </row>
        <row r="2648">
          <cell r="A2648" t="str">
            <v>51967-10006000AALF</v>
          </cell>
          <cell r="B2648" t="str">
            <v>51967-10006000AALF PwrBlade VR</v>
          </cell>
          <cell r="C2648">
            <v>6.0000000000000001E-3</v>
          </cell>
          <cell r="D2648">
            <v>991.66666666666663</v>
          </cell>
          <cell r="E2648">
            <v>2975</v>
          </cell>
          <cell r="F2648">
            <v>2.1000000000000001E-2</v>
          </cell>
        </row>
        <row r="2649">
          <cell r="A2649" t="str">
            <v>51967-10006400AALF</v>
          </cell>
          <cell r="B2649" t="str">
            <v>51967-10006400AALF Connector,PBVTR</v>
          </cell>
          <cell r="C2649">
            <v>7.0000000000000001E-3</v>
          </cell>
          <cell r="D2649">
            <v>850</v>
          </cell>
          <cell r="E2649">
            <v>2550</v>
          </cell>
          <cell r="F2649">
            <v>2.1999999999999999E-2</v>
          </cell>
        </row>
        <row r="2650">
          <cell r="A2650" t="str">
            <v>51967-10007200AALF</v>
          </cell>
          <cell r="B2650" t="str">
            <v>51967-10007200AALF Connector,PBVTR</v>
          </cell>
          <cell r="C2650">
            <v>7.0000000000000001E-3</v>
          </cell>
          <cell r="D2650">
            <v>850</v>
          </cell>
          <cell r="E2650">
            <v>2550</v>
          </cell>
          <cell r="F2650">
            <v>2.5000000000000001E-2</v>
          </cell>
        </row>
        <row r="2651">
          <cell r="A2651" t="str">
            <v>51967-10008000AALF</v>
          </cell>
          <cell r="B2651" t="str">
            <v>51967-10008000AALF Connector,PBVTR</v>
          </cell>
          <cell r="C2651">
            <v>8.0000000000000002E-3</v>
          </cell>
          <cell r="D2651">
            <v>743.75</v>
          </cell>
          <cell r="E2651">
            <v>2231.25</v>
          </cell>
          <cell r="F2651">
            <v>2.7E-2</v>
          </cell>
        </row>
        <row r="2652">
          <cell r="A2652" t="str">
            <v>51967-10009600AALF</v>
          </cell>
          <cell r="B2652" t="str">
            <v>51967-10009600AALF Connector,PBVTR</v>
          </cell>
          <cell r="C2652">
            <v>2.1999999999999999E-2</v>
          </cell>
          <cell r="D2652">
            <v>270.4545454545455</v>
          </cell>
          <cell r="E2652">
            <v>811.36363636363649</v>
          </cell>
          <cell r="F2652">
            <v>1.7999999999999999E-2</v>
          </cell>
        </row>
        <row r="2653">
          <cell r="A2653" t="str">
            <v>51967-10009600ACLF</v>
          </cell>
          <cell r="B2653" t="str">
            <v>51967-10009600ACLF Connector,PBVTR</v>
          </cell>
          <cell r="C2653">
            <v>8.9999999999999993E-3</v>
          </cell>
          <cell r="D2653">
            <v>661.1111111111112</v>
          </cell>
          <cell r="E2653">
            <v>1983.3333333333335</v>
          </cell>
          <cell r="F2653">
            <v>2.9000000000000001E-2</v>
          </cell>
        </row>
        <row r="2654">
          <cell r="A2654" t="str">
            <v>51967-10010000CALF</v>
          </cell>
          <cell r="B2654" t="str">
            <v>51967-10010000CALF Connector,PBVTR</v>
          </cell>
          <cell r="C2654">
            <v>0.01</v>
          </cell>
          <cell r="D2654">
            <v>595</v>
          </cell>
          <cell r="E2654">
            <v>1785</v>
          </cell>
          <cell r="F2654">
            <v>3.3000000000000002E-2</v>
          </cell>
        </row>
        <row r="2655">
          <cell r="A2655" t="str">
            <v>51967-10010000CCLF</v>
          </cell>
          <cell r="B2655" t="str">
            <v>51967-10010000CCLF PwrBlade VR PF</v>
          </cell>
          <cell r="C2655">
            <v>0.01</v>
          </cell>
          <cell r="D2655">
            <v>595</v>
          </cell>
          <cell r="E2655">
            <v>1785</v>
          </cell>
          <cell r="F2655">
            <v>2.1000000000000001E-2</v>
          </cell>
        </row>
        <row r="2656">
          <cell r="A2656" t="str">
            <v>51967-10010800CCLF</v>
          </cell>
          <cell r="B2656" t="str">
            <v>51967-10010800CCLF PwrBlade VR</v>
          </cell>
          <cell r="C2656">
            <v>0.01</v>
          </cell>
          <cell r="D2656">
            <v>595</v>
          </cell>
          <cell r="E2656">
            <v>1785</v>
          </cell>
          <cell r="F2656">
            <v>3.1E-2</v>
          </cell>
        </row>
        <row r="2657">
          <cell r="A2657" t="str">
            <v>51967-10012000AALF</v>
          </cell>
          <cell r="B2657" t="str">
            <v>51967-10012000AALF Connector,PBVTR</v>
          </cell>
          <cell r="C2657">
            <v>1.0999999999999999E-2</v>
          </cell>
          <cell r="D2657">
            <v>540.90909090909099</v>
          </cell>
          <cell r="E2657">
            <v>1622.727272727273</v>
          </cell>
          <cell r="F2657">
            <v>3.7999999999999999E-2</v>
          </cell>
        </row>
        <row r="2658">
          <cell r="A2658" t="str">
            <v>51967-10012800ACLF</v>
          </cell>
          <cell r="B2658" t="str">
            <v>51967-10012800ACLF Connector,PBVTR</v>
          </cell>
          <cell r="C2658">
            <v>1.2E-2</v>
          </cell>
          <cell r="D2658">
            <v>495.83333333333331</v>
          </cell>
          <cell r="E2658">
            <v>1487.5</v>
          </cell>
          <cell r="F2658">
            <v>3.5999999999999997E-2</v>
          </cell>
        </row>
        <row r="2659">
          <cell r="A2659" t="str">
            <v>51967-10014400AALF</v>
          </cell>
          <cell r="B2659" t="str">
            <v>51967-10014400AALF Connector,PBVTR</v>
          </cell>
          <cell r="C2659">
            <v>1.2999999999999999E-2</v>
          </cell>
          <cell r="D2659">
            <v>457.69230769230774</v>
          </cell>
          <cell r="E2659">
            <v>1373.0769230769233</v>
          </cell>
          <cell r="F2659">
            <v>4.4999999999999998E-2</v>
          </cell>
        </row>
        <row r="2660">
          <cell r="A2660" t="str">
            <v>51967-10014800AALF</v>
          </cell>
          <cell r="B2660" t="str">
            <v>51967-10014800AALF PwrBlade VR</v>
          </cell>
          <cell r="C2660">
            <v>1.3599999999999999E-2</v>
          </cell>
          <cell r="D2660">
            <v>437.50000000000006</v>
          </cell>
          <cell r="E2660">
            <v>1312.5000000000002</v>
          </cell>
          <cell r="F2660">
            <v>3.5000000000000003E-2</v>
          </cell>
        </row>
        <row r="2661">
          <cell r="A2661" t="str">
            <v>51939-472LF</v>
          </cell>
          <cell r="B2661" t="str">
            <v>51939-472LF PwrBlade RAH STB</v>
          </cell>
          <cell r="C2661">
            <v>2E-3</v>
          </cell>
          <cell r="D2661">
            <v>2975</v>
          </cell>
          <cell r="E2661">
            <v>8925</v>
          </cell>
          <cell r="F2661">
            <v>4.9425837E-2</v>
          </cell>
        </row>
        <row r="2662">
          <cell r="A2662" t="str">
            <v>10106268-1C03002LF</v>
          </cell>
          <cell r="B2662" t="str">
            <v>10106268-1C03002LF PwrBlade+ VTR</v>
          </cell>
          <cell r="C2662">
            <v>2.8039440000000001E-3</v>
          </cell>
          <cell r="D2662">
            <v>2122.0109959400047</v>
          </cell>
          <cell r="E2662">
            <v>6366.0329878200137</v>
          </cell>
          <cell r="F2662">
            <v>7.7320879999999998E-3</v>
          </cell>
        </row>
        <row r="2663">
          <cell r="A2663" t="str">
            <v>10106268-0F08001LF</v>
          </cell>
          <cell r="B2663" t="str">
            <v>10106268-0F08001LF PwrBlade+ VTR</v>
          </cell>
          <cell r="C2663">
            <v>2.4995999999999998E-3</v>
          </cell>
          <cell r="D2663">
            <v>2380.3808609377502</v>
          </cell>
          <cell r="E2663">
            <v>7141.1425828132506</v>
          </cell>
          <cell r="F2663">
            <v>8.3320000000000009E-3</v>
          </cell>
        </row>
        <row r="2664">
          <cell r="A2664" t="str">
            <v>10106262-0F08001LF</v>
          </cell>
          <cell r="B2664" t="str">
            <v>10106262-0F08001LF PwrBlade+ RAH</v>
          </cell>
          <cell r="C2664">
            <v>2.5000000000000001E-3</v>
          </cell>
          <cell r="D2664">
            <v>2380</v>
          </cell>
          <cell r="E2664">
            <v>7140</v>
          </cell>
          <cell r="F2664">
            <v>1.7000000000000001E-2</v>
          </cell>
        </row>
        <row r="2665">
          <cell r="A2665" t="str">
            <v>10106268-0C00002LF</v>
          </cell>
          <cell r="B2665" t="str">
            <v>10106268-0C00002LF PwrBlade+ VTR</v>
          </cell>
          <cell r="C2665">
            <v>6.1000000000000004E-3</v>
          </cell>
          <cell r="D2665">
            <v>975.4098360655737</v>
          </cell>
          <cell r="E2665">
            <v>2926.2295081967213</v>
          </cell>
          <cell r="F2665">
            <v>1.6371360000000001E-2</v>
          </cell>
        </row>
        <row r="2666">
          <cell r="A2666" t="str">
            <v>10106124-8005003LF</v>
          </cell>
          <cell r="B2666" t="str">
            <v>10106124-8005003LF PwrBlade+ RAH</v>
          </cell>
          <cell r="C2666">
            <v>2.1810000000000002E-3</v>
          </cell>
          <cell r="D2666">
            <v>2728.1063732232919</v>
          </cell>
          <cell r="E2666">
            <v>8184.3191196698754</v>
          </cell>
          <cell r="F2666">
            <v>1.3086E-2</v>
          </cell>
        </row>
        <row r="2667">
          <cell r="A2667" t="str">
            <v>10106262-6000401LF</v>
          </cell>
          <cell r="B2667" t="str">
            <v>10106262-6000401LF Connector,PB+RH</v>
          </cell>
          <cell r="C2667">
            <v>6.1000000000000004E-3</v>
          </cell>
          <cell r="D2667">
            <v>975.4098360655737</v>
          </cell>
          <cell r="E2667">
            <v>2926.2295081967213</v>
          </cell>
          <cell r="F2667">
            <v>2.7E-2</v>
          </cell>
        </row>
        <row r="2668">
          <cell r="A2668" t="str">
            <v>10106262-1C03007LF</v>
          </cell>
          <cell r="B2668" t="str">
            <v>10106262-1C03007LF PwrBlade+ RAH</v>
          </cell>
          <cell r="C2668">
            <v>3.0000000000000001E-3</v>
          </cell>
          <cell r="D2668">
            <v>1983.3333333333333</v>
          </cell>
          <cell r="E2668">
            <v>5950</v>
          </cell>
          <cell r="F2668">
            <v>1.9199999999999998E-2</v>
          </cell>
        </row>
        <row r="2669">
          <cell r="A2669" t="str">
            <v>10106139-8005001LF</v>
          </cell>
          <cell r="B2669" t="str">
            <v>10106139-8005001LF Connector,PB+VR</v>
          </cell>
          <cell r="C2669">
            <v>3.3E-3</v>
          </cell>
          <cell r="D2669">
            <v>1803.030303030303</v>
          </cell>
          <cell r="E2669">
            <v>5409.090909090909</v>
          </cell>
          <cell r="F2669">
            <v>3.8399999999999997E-2</v>
          </cell>
        </row>
        <row r="2670">
          <cell r="A2670" t="str">
            <v>10106269-1C03005LF</v>
          </cell>
          <cell r="B2670" t="str">
            <v>10106269-1C03005LF Connector,PB+VR</v>
          </cell>
          <cell r="C2670">
            <v>4.1666999999999997E-3</v>
          </cell>
          <cell r="D2670">
            <v>1427.9885760913915</v>
          </cell>
          <cell r="E2670">
            <v>4283.9657282741746</v>
          </cell>
          <cell r="F2670">
            <v>3.77778E-2</v>
          </cell>
        </row>
        <row r="2671">
          <cell r="A2671" t="str">
            <v>10106262-8004005LF</v>
          </cell>
          <cell r="B2671" t="str">
            <v>10106262-8004005LF PwrBlade+ RAH STB</v>
          </cell>
          <cell r="C2671">
            <v>3.3E-3</v>
          </cell>
          <cell r="D2671">
            <v>1803.030303030303</v>
          </cell>
          <cell r="E2671">
            <v>5409.090909090909</v>
          </cell>
          <cell r="F2671">
            <v>4.2584999999999998E-2</v>
          </cell>
        </row>
        <row r="2672">
          <cell r="A2672" t="str">
            <v>10106139-8005K01LF</v>
          </cell>
          <cell r="B2672" t="str">
            <v>10106139-8005K01LF Connector,PB+VR</v>
          </cell>
          <cell r="C2672">
            <v>6.0000000000000001E-3</v>
          </cell>
          <cell r="D2672">
            <v>991.66666666666663</v>
          </cell>
          <cell r="E2672">
            <v>2975</v>
          </cell>
          <cell r="F2672">
            <v>3.2000000000000001E-2</v>
          </cell>
        </row>
        <row r="2673">
          <cell r="A2673" t="str">
            <v>10106262-2600001LF</v>
          </cell>
          <cell r="B2673" t="str">
            <v>10106262-2600001LF PwrBlade+ RAH STB</v>
          </cell>
          <cell r="C2673">
            <v>6.1000000000000004E-3</v>
          </cell>
          <cell r="D2673">
            <v>975.4098360655737</v>
          </cell>
          <cell r="E2673">
            <v>2926.2295081967213</v>
          </cell>
          <cell r="F2673">
            <v>2.945E-2</v>
          </cell>
        </row>
        <row r="2674">
          <cell r="A2674" t="str">
            <v>10106262-6003010LF</v>
          </cell>
          <cell r="B2674" t="str">
            <v>10106262-6003010LF PwrBlade+ RAH STB</v>
          </cell>
          <cell r="C2674">
            <v>3.3E-3</v>
          </cell>
          <cell r="D2674">
            <v>1803.030303030303</v>
          </cell>
          <cell r="E2674">
            <v>5409.090909090909</v>
          </cell>
          <cell r="F2674">
            <v>2.7E-2</v>
          </cell>
        </row>
        <row r="2675">
          <cell r="A2675" t="str">
            <v>10106262-1C03013LF</v>
          </cell>
          <cell r="B2675" t="str">
            <v>10106262-1C03013LF PwrBlade+ RAH STB</v>
          </cell>
          <cell r="C2675">
            <v>3.1249680000000001E-3</v>
          </cell>
          <cell r="D2675">
            <v>1904.0194971596509</v>
          </cell>
          <cell r="E2675">
            <v>5712.0584914789524</v>
          </cell>
          <cell r="F2675">
            <v>3.3143600000000002E-2</v>
          </cell>
        </row>
        <row r="2676">
          <cell r="A2676" t="str">
            <v>10106132-G000001LF</v>
          </cell>
          <cell r="B2676" t="str">
            <v>10106132-G000001LF PwrBlade+ RAH STB</v>
          </cell>
          <cell r="C2676">
            <v>7.0000000000000001E-3</v>
          </cell>
          <cell r="D2676">
            <v>850</v>
          </cell>
          <cell r="E2676">
            <v>2550</v>
          </cell>
          <cell r="F2676">
            <v>2.4E-2</v>
          </cell>
        </row>
        <row r="2677">
          <cell r="A2677" t="str">
            <v>10106132-B006002LF</v>
          </cell>
          <cell r="B2677" t="str">
            <v>10106132-B006002LF Connector,PB+RH</v>
          </cell>
          <cell r="C2677">
            <v>2E-3</v>
          </cell>
          <cell r="D2677">
            <v>2975</v>
          </cell>
          <cell r="E2677">
            <v>8925</v>
          </cell>
          <cell r="F2677">
            <v>2.5000000000000001E-2</v>
          </cell>
        </row>
        <row r="2678">
          <cell r="A2678" t="str">
            <v>10106130-E008001LF</v>
          </cell>
          <cell r="B2678" t="str">
            <v>10106130-E008001LF PwrBlade+ VTR</v>
          </cell>
          <cell r="C2678">
            <v>4.4900000000000001E-3</v>
          </cell>
          <cell r="D2678">
            <v>1325.1670378619153</v>
          </cell>
          <cell r="E2678">
            <v>3975.5011135857458</v>
          </cell>
          <cell r="F2678">
            <v>1.92172E-2</v>
          </cell>
        </row>
        <row r="2679">
          <cell r="A2679" t="str">
            <v>10106262-6206007LF</v>
          </cell>
          <cell r="B2679" t="str">
            <v>10106262-6206007LF PwrBlade+ RAH STB</v>
          </cell>
          <cell r="C2679">
            <v>3.3E-3</v>
          </cell>
          <cell r="D2679">
            <v>1803.030303030303</v>
          </cell>
          <cell r="E2679">
            <v>5409.090909090909</v>
          </cell>
          <cell r="F2679">
            <v>2.1999999999999999E-2</v>
          </cell>
        </row>
        <row r="2680">
          <cell r="A2680" t="str">
            <v>10106124-4004004LF</v>
          </cell>
          <cell r="B2680" t="str">
            <v>10106124-4004004LF PwrBlade+ RAH</v>
          </cell>
          <cell r="C2680">
            <v>3.0000000000000001E-3</v>
          </cell>
          <cell r="D2680">
            <v>1983.3333333333333</v>
          </cell>
          <cell r="E2680">
            <v>5950</v>
          </cell>
          <cell r="F2680">
            <v>1.7614999999999999E-2</v>
          </cell>
        </row>
        <row r="2681">
          <cell r="A2681" t="str">
            <v>10106263-0400003LF</v>
          </cell>
          <cell r="B2681" t="str">
            <v>10106263-0400003LF PwrBlade+ RAH PF</v>
          </cell>
          <cell r="C2681" t="e">
            <v>#N/A</v>
          </cell>
          <cell r="D2681" t="e">
            <v>#N/A</v>
          </cell>
          <cell r="E2681" t="e">
            <v>#N/A</v>
          </cell>
          <cell r="F2681">
            <v>2.1000000000000001E-2</v>
          </cell>
        </row>
        <row r="2682">
          <cell r="A2682" t="str">
            <v>10106116-4004503LF</v>
          </cell>
          <cell r="B2682" t="str">
            <v>10106116-4004503LF Connector,PB+RH</v>
          </cell>
          <cell r="C2682">
            <v>5.0000000000000001E-3</v>
          </cell>
          <cell r="D2682">
            <v>1190</v>
          </cell>
          <cell r="E2682">
            <v>3570</v>
          </cell>
          <cell r="F2682">
            <v>4.2000000000000003E-2</v>
          </cell>
        </row>
        <row r="2683">
          <cell r="A2683" t="str">
            <v>10106131-4004001LF</v>
          </cell>
          <cell r="B2683" t="str">
            <v>10106131-4004001LF PwrBlade+ VR PF</v>
          </cell>
          <cell r="C2683">
            <v>3.3E-3</v>
          </cell>
          <cell r="D2683">
            <v>1803.030303030303</v>
          </cell>
          <cell r="E2683">
            <v>5409.090909090909</v>
          </cell>
          <cell r="F2683">
            <v>1.44175E-2</v>
          </cell>
        </row>
        <row r="2684">
          <cell r="A2684" t="str">
            <v>10106263-B006001LF</v>
          </cell>
          <cell r="B2684" t="str">
            <v>10106263-B006001LF PwrBlade+ RAH</v>
          </cell>
          <cell r="C2684">
            <v>3.0000000000000001E-3</v>
          </cell>
          <cell r="D2684">
            <v>1983.3333333333333</v>
          </cell>
          <cell r="E2684">
            <v>5950</v>
          </cell>
          <cell r="F2684">
            <v>2.8000000000000001E-2</v>
          </cell>
        </row>
        <row r="2685">
          <cell r="A2685" t="str">
            <v>10106116-4004501LF</v>
          </cell>
          <cell r="B2685" t="str">
            <v>10106116-4004501LF Connector,PB+RH</v>
          </cell>
          <cell r="C2685">
            <v>3.3E-3</v>
          </cell>
          <cell r="D2685">
            <v>1803.030303030303</v>
          </cell>
          <cell r="E2685">
            <v>5409.090909090909</v>
          </cell>
          <cell r="F2685">
            <v>2.8000000000000001E-2</v>
          </cell>
        </row>
        <row r="2686">
          <cell r="A2686" t="str">
            <v>10106131-2202001LF</v>
          </cell>
          <cell r="B2686" t="str">
            <v>10106131-2202001LF PwrBlade+ VR PF</v>
          </cell>
          <cell r="C2686">
            <v>6.0000000000000001E-3</v>
          </cell>
          <cell r="D2686">
            <v>991.66666666666663</v>
          </cell>
          <cell r="E2686">
            <v>2975</v>
          </cell>
          <cell r="F2686">
            <v>1.2699999999999999E-2</v>
          </cell>
        </row>
        <row r="2687">
          <cell r="A2687" t="str">
            <v>10106124-4006003LF</v>
          </cell>
          <cell r="B2687" t="str">
            <v>10106124-4006003LF Connector,PB+RH</v>
          </cell>
          <cell r="C2687">
            <v>3.3E-3</v>
          </cell>
          <cell r="D2687">
            <v>1803.030303030303</v>
          </cell>
          <cell r="E2687">
            <v>5409.090909090909</v>
          </cell>
          <cell r="F2687">
            <v>3.7699999999999997E-2</v>
          </cell>
        </row>
        <row r="2688">
          <cell r="A2688" t="str">
            <v>10106262-1C03012LF</v>
          </cell>
          <cell r="B2688" t="str">
            <v>10106262-1C03012LF PwrBlade+ RAH</v>
          </cell>
          <cell r="C2688">
            <v>2.7899999999999999E-3</v>
          </cell>
          <cell r="D2688">
            <v>2132.6164874551973</v>
          </cell>
          <cell r="E2688">
            <v>6397.8494623655915</v>
          </cell>
          <cell r="F2688">
            <v>2.9760000000000002E-2</v>
          </cell>
        </row>
        <row r="2689">
          <cell r="A2689" t="str">
            <v>10106269-2001002LF</v>
          </cell>
          <cell r="B2689" t="str">
            <v>10106269-2001002LF Connector,PB+VR</v>
          </cell>
          <cell r="C2689">
            <v>3.0000000000000001E-3</v>
          </cell>
          <cell r="D2689">
            <v>1983.3333333333333</v>
          </cell>
          <cell r="E2689">
            <v>5950</v>
          </cell>
          <cell r="F2689">
            <v>0.03</v>
          </cell>
        </row>
        <row r="2690">
          <cell r="A2690" t="str">
            <v>10106125-5005001LF</v>
          </cell>
          <cell r="B2690" t="str">
            <v>10106125-5005001LF PwrBlade+ RAH</v>
          </cell>
          <cell r="C2690">
            <v>3.3E-3</v>
          </cell>
          <cell r="D2690">
            <v>1803.030303030303</v>
          </cell>
          <cell r="E2690">
            <v>5409.090909090909</v>
          </cell>
          <cell r="F2690">
            <v>3.9320453999999998E-2</v>
          </cell>
        </row>
        <row r="2691">
          <cell r="A2691" t="str">
            <v>10106262-J000001LF</v>
          </cell>
          <cell r="B2691" t="str">
            <v>10106262-J000001LF PwrBlade+ RAH STB</v>
          </cell>
          <cell r="C2691">
            <v>6.1000000000000004E-3</v>
          </cell>
          <cell r="D2691">
            <v>975.4098360655737</v>
          </cell>
          <cell r="E2691">
            <v>2926.2295081967213</v>
          </cell>
          <cell r="F2691">
            <v>3.6999999999999998E-2</v>
          </cell>
        </row>
        <row r="2692">
          <cell r="A2692" t="str">
            <v>10106262-F203A01LF</v>
          </cell>
          <cell r="B2692" t="str">
            <v>10106262-F203A01LF PwrBlade+ RAH STB</v>
          </cell>
          <cell r="C2692">
            <v>3.3E-3</v>
          </cell>
          <cell r="D2692">
            <v>1803.030303030303</v>
          </cell>
          <cell r="E2692">
            <v>5409.090909090909</v>
          </cell>
          <cell r="F2692">
            <v>3.7999999999999999E-2</v>
          </cell>
        </row>
        <row r="2693">
          <cell r="A2693" t="str">
            <v>10106125-C812101LF</v>
          </cell>
          <cell r="B2693" t="str">
            <v>10106125-C812101LF PwrBlade+ RAH PF</v>
          </cell>
          <cell r="C2693" t="e">
            <v>#N/A</v>
          </cell>
          <cell r="D2693" t="e">
            <v>#N/A</v>
          </cell>
          <cell r="E2693" t="e">
            <v>#N/A</v>
          </cell>
          <cell r="F2693">
            <v>5.0634999999999999E-2</v>
          </cell>
        </row>
        <row r="2694">
          <cell r="A2694" t="str">
            <v>10106268-8003001LF</v>
          </cell>
          <cell r="B2694" t="str">
            <v>10106268-8003001LF Connector,PB+VR</v>
          </cell>
          <cell r="C2694">
            <v>3.3E-3</v>
          </cell>
          <cell r="D2694">
            <v>1803.030303030303</v>
          </cell>
          <cell r="E2694">
            <v>5409.090909090909</v>
          </cell>
          <cell r="F2694">
            <v>3.5999999999999997E-2</v>
          </cell>
        </row>
        <row r="2695">
          <cell r="A2695" t="str">
            <v>10106269-6208001LF</v>
          </cell>
          <cell r="B2695" t="str">
            <v>10106269-6208001LF PwrBlade+ VR PF</v>
          </cell>
          <cell r="C2695">
            <v>2.7E-2</v>
          </cell>
          <cell r="D2695">
            <v>220.37037037037038</v>
          </cell>
          <cell r="E2695">
            <v>661.11111111111109</v>
          </cell>
          <cell r="F2695">
            <v>4.8000000000000001E-2</v>
          </cell>
        </row>
        <row r="2696">
          <cell r="A2696" t="str">
            <v>10106262-7006001LF</v>
          </cell>
          <cell r="B2696" t="str">
            <v>10106262-7006001LF PwrBlade+ RAH STB</v>
          </cell>
          <cell r="C2696">
            <v>6.1000000000000004E-3</v>
          </cell>
          <cell r="D2696">
            <v>975.4098360655737</v>
          </cell>
          <cell r="E2696">
            <v>2926.2295081967213</v>
          </cell>
          <cell r="F2696">
            <v>5.4301136E-2</v>
          </cell>
        </row>
        <row r="2697">
          <cell r="A2697" t="str">
            <v>10106262-D006001LF</v>
          </cell>
          <cell r="B2697" t="str">
            <v>10106262-D006001LF PwrBlade+ RAH STB</v>
          </cell>
          <cell r="C2697">
            <v>3.0000000000000001E-3</v>
          </cell>
          <cell r="D2697">
            <v>1983.3333333333333</v>
          </cell>
          <cell r="E2697">
            <v>5950</v>
          </cell>
          <cell r="F2697">
            <v>3.3058575E-2</v>
          </cell>
        </row>
        <row r="2698">
          <cell r="A2698" t="str">
            <v>10106268-2003K01LF</v>
          </cell>
          <cell r="B2698" t="str">
            <v>10106268-2003K01LF Connector,PB+VR</v>
          </cell>
          <cell r="C2698">
            <v>4.0000000000000001E-3</v>
          </cell>
          <cell r="D2698">
            <v>1487.5</v>
          </cell>
          <cell r="E2698">
            <v>4462.5</v>
          </cell>
          <cell r="F2698">
            <v>3.1E-2</v>
          </cell>
        </row>
        <row r="2699">
          <cell r="A2699" t="str">
            <v>10106262-4000006LF</v>
          </cell>
          <cell r="B2699" t="str">
            <v>10106262-4000006LF PwrBlade+ RAH STB</v>
          </cell>
          <cell r="C2699">
            <v>3.0000000000000001E-3</v>
          </cell>
          <cell r="D2699">
            <v>1983.3333333333333</v>
          </cell>
          <cell r="E2699">
            <v>5950</v>
          </cell>
          <cell r="F2699">
            <v>2.1000000000000001E-2</v>
          </cell>
        </row>
        <row r="2700">
          <cell r="A2700" t="str">
            <v>10106262-4000402LF</v>
          </cell>
          <cell r="B2700" t="str">
            <v>10106262-4000402LF Connector,PB+RH</v>
          </cell>
          <cell r="C2700">
            <v>3.0000000000000001E-3</v>
          </cell>
          <cell r="D2700">
            <v>1983.3333333333333</v>
          </cell>
          <cell r="E2700">
            <v>5950</v>
          </cell>
          <cell r="F2700">
            <v>2.3E-2</v>
          </cell>
        </row>
        <row r="2701">
          <cell r="A2701" t="str">
            <v>10106269-9005003LF</v>
          </cell>
          <cell r="B2701" t="str">
            <v>10106269-9005003LF PwrBlade+ VR PF</v>
          </cell>
          <cell r="C2701">
            <v>6.0000000000000001E-3</v>
          </cell>
          <cell r="D2701">
            <v>991.66666666666663</v>
          </cell>
          <cell r="E2701">
            <v>2975</v>
          </cell>
          <cell r="F2701">
            <v>2.1999999999999999E-2</v>
          </cell>
        </row>
        <row r="2702">
          <cell r="A2702" t="str">
            <v>10106262-9005004LF</v>
          </cell>
          <cell r="B2702" t="str">
            <v>10106262-9005004LF PB+ RAH STB</v>
          </cell>
          <cell r="C2702">
            <v>3.3E-3</v>
          </cell>
          <cell r="D2702">
            <v>1803.030303030303</v>
          </cell>
          <cell r="E2702">
            <v>5409.090909090909</v>
          </cell>
          <cell r="F2702">
            <v>3.5935000000000002E-2</v>
          </cell>
        </row>
        <row r="2703">
          <cell r="A2703" t="str">
            <v>10106263-2003001LF</v>
          </cell>
          <cell r="B2703" t="str">
            <v>10106263-2003001LF PwrBlade+ RAH PF</v>
          </cell>
          <cell r="C2703">
            <v>3.3E-3</v>
          </cell>
          <cell r="D2703">
            <v>1803.030303030303</v>
          </cell>
          <cell r="E2703">
            <v>5409.090909090909</v>
          </cell>
          <cell r="F2703">
            <v>4.6385000000000003E-2</v>
          </cell>
        </row>
        <row r="2704">
          <cell r="A2704" t="str">
            <v>10106262-3001501LF</v>
          </cell>
          <cell r="B2704" t="str">
            <v>10106262-3001501LF PwrBlade+ RAH STB</v>
          </cell>
          <cell r="C2704">
            <v>3.3E-3</v>
          </cell>
          <cell r="D2704">
            <v>1803.030303030303</v>
          </cell>
          <cell r="E2704">
            <v>5409.090909090909</v>
          </cell>
          <cell r="F2704">
            <v>2.9000000000000001E-2</v>
          </cell>
        </row>
        <row r="2705">
          <cell r="A2705" t="str">
            <v>10106125-8004001LF</v>
          </cell>
          <cell r="B2705" t="str">
            <v>10106125-8004001LF CNR</v>
          </cell>
          <cell r="C2705">
            <v>3.3E-3</v>
          </cell>
          <cell r="D2705">
            <v>1803.030303030303</v>
          </cell>
          <cell r="E2705">
            <v>5409.090909090909</v>
          </cell>
          <cell r="F2705">
            <v>2.6624999999999999E-2</v>
          </cell>
        </row>
        <row r="2706">
          <cell r="A2706" t="str">
            <v>10106262-2G03A01LF</v>
          </cell>
          <cell r="B2706" t="str">
            <v>10106262-2G03A01LF PwrBlade+ RAH STB</v>
          </cell>
          <cell r="C2706">
            <v>4.0000000000000001E-3</v>
          </cell>
          <cell r="D2706">
            <v>1487.5</v>
          </cell>
          <cell r="E2706">
            <v>4462.5</v>
          </cell>
          <cell r="F2706">
            <v>3.5000000000000003E-2</v>
          </cell>
        </row>
        <row r="2707">
          <cell r="A2707" t="str">
            <v>10106133-8007001LF</v>
          </cell>
          <cell r="B2707" t="str">
            <v>10106133-8007001LF PwrBlade+ RAH STB</v>
          </cell>
          <cell r="C2707">
            <v>5.0000000000000001E-3</v>
          </cell>
          <cell r="D2707">
            <v>1190</v>
          </cell>
          <cell r="E2707">
            <v>3570</v>
          </cell>
          <cell r="F2707">
            <v>3.5999999999999997E-2</v>
          </cell>
        </row>
        <row r="2708">
          <cell r="A2708" t="str">
            <v>10106269-0402005LF</v>
          </cell>
          <cell r="B2708" t="str">
            <v>10106269-0402005LF Connector,PB+VR</v>
          </cell>
          <cell r="C2708">
            <v>3.3E-3</v>
          </cell>
          <cell r="D2708">
            <v>1803.030303030303</v>
          </cell>
          <cell r="E2708">
            <v>5409.090909090909</v>
          </cell>
          <cell r="F2708">
            <v>2.5000000000000001E-2</v>
          </cell>
        </row>
        <row r="2709">
          <cell r="A2709" t="str">
            <v>10106124-6000A01LF</v>
          </cell>
          <cell r="B2709" t="str">
            <v>10106124-6000A01LF Connector,PB+RH</v>
          </cell>
          <cell r="C2709">
            <v>6.1000000000000004E-3</v>
          </cell>
          <cell r="D2709">
            <v>975.4098360655737</v>
          </cell>
          <cell r="E2709">
            <v>2926.2295081967213</v>
          </cell>
          <cell r="F2709">
            <v>3.2000000000000001E-2</v>
          </cell>
        </row>
        <row r="2710">
          <cell r="A2710" t="str">
            <v>10106262-0006001LF</v>
          </cell>
          <cell r="B2710" t="str">
            <v>10106262-0006001LF PwrBlade+ RAH STB</v>
          </cell>
          <cell r="C2710">
            <v>3.3E-3</v>
          </cell>
          <cell r="D2710">
            <v>1803.030303030303</v>
          </cell>
          <cell r="E2710">
            <v>5409.090909090909</v>
          </cell>
          <cell r="F2710">
            <v>2.4835652999999999E-2</v>
          </cell>
        </row>
        <row r="2711">
          <cell r="A2711" t="str">
            <v>10106124-4004001LF</v>
          </cell>
          <cell r="B2711" t="str">
            <v>10106124-4004001LF PwrBlade+ RAH STB</v>
          </cell>
          <cell r="C2711">
            <v>2E-3</v>
          </cell>
          <cell r="D2711">
            <v>2975</v>
          </cell>
          <cell r="E2711">
            <v>8925</v>
          </cell>
          <cell r="F2711">
            <v>1.5800000000000002E-2</v>
          </cell>
        </row>
        <row r="2712">
          <cell r="A2712" t="str">
            <v>10106262-0D17001LF</v>
          </cell>
          <cell r="B2712" t="str">
            <v>10106262-0D17001LF PwrBlade+ RAH STB</v>
          </cell>
          <cell r="C2712">
            <v>6.7000000000000002E-3</v>
          </cell>
          <cell r="D2712">
            <v>888.05970149253733</v>
          </cell>
          <cell r="E2712">
            <v>2664.1791044776119</v>
          </cell>
          <cell r="F2712">
            <v>5.6000000000000001E-2</v>
          </cell>
        </row>
        <row r="2713">
          <cell r="A2713" t="str">
            <v>10106116-4000002LF</v>
          </cell>
          <cell r="B2713" t="str">
            <v>10106116-4000002LF Connector,PB+RH</v>
          </cell>
          <cell r="C2713">
            <v>1.6999999999999999E-3</v>
          </cell>
          <cell r="D2713">
            <v>3500.0000000000005</v>
          </cell>
          <cell r="E2713">
            <v>10500.000000000002</v>
          </cell>
          <cell r="F2713">
            <v>3.0000000000000001E-3</v>
          </cell>
        </row>
        <row r="2714">
          <cell r="A2714" t="str">
            <v>10106262-1C03015LF</v>
          </cell>
          <cell r="B2714" t="str">
            <v>10106262-1C03015LF Connector,PB+RH</v>
          </cell>
          <cell r="C2714">
            <v>2.8E-3</v>
          </cell>
          <cell r="D2714">
            <v>2125</v>
          </cell>
          <cell r="E2714">
            <v>6375</v>
          </cell>
          <cell r="F2714">
            <v>2.98E-2</v>
          </cell>
        </row>
        <row r="2715">
          <cell r="A2715" t="str">
            <v>10106116-8007003LF</v>
          </cell>
          <cell r="B2715" t="str">
            <v>10106116-8007003LF Connector,PB+RH</v>
          </cell>
          <cell r="C2715">
            <v>3.3E-3</v>
          </cell>
          <cell r="D2715">
            <v>1803.030303030303</v>
          </cell>
          <cell r="E2715">
            <v>5409.090909090909</v>
          </cell>
          <cell r="F2715">
            <v>3.5999999999999997E-2</v>
          </cell>
        </row>
        <row r="2716">
          <cell r="A2716" t="str">
            <v>10106263-0402001LF</v>
          </cell>
          <cell r="B2716" t="str">
            <v>10106263-0402001LF PwrBlade+ RAH PF</v>
          </cell>
          <cell r="C2716">
            <v>3.3E-3</v>
          </cell>
          <cell r="D2716">
            <v>1803.030303030303</v>
          </cell>
          <cell r="E2716">
            <v>5409.090909090909</v>
          </cell>
          <cell r="F2716">
            <v>3.3000000000000002E-2</v>
          </cell>
        </row>
        <row r="2717">
          <cell r="A2717" t="str">
            <v>10106262-0203001LF</v>
          </cell>
          <cell r="B2717" t="str">
            <v>10106262-0203001LF PwrBlade+ RAH STB</v>
          </cell>
          <cell r="C2717">
            <v>3.3E-3</v>
          </cell>
          <cell r="D2717">
            <v>1803.030303030303</v>
          </cell>
          <cell r="E2717">
            <v>5409.090909090909</v>
          </cell>
          <cell r="F2717">
            <v>0.03</v>
          </cell>
        </row>
        <row r="2718">
          <cell r="A2718" t="str">
            <v>10106139-B006002LF</v>
          </cell>
          <cell r="B2718" t="str">
            <v>10106139-B006002LF Connector,PB+VR</v>
          </cell>
          <cell r="C2718">
            <v>0.02</v>
          </cell>
          <cell r="D2718">
            <v>297.5</v>
          </cell>
          <cell r="E2718">
            <v>892.5</v>
          </cell>
          <cell r="F2718">
            <v>9.4999999999999998E-3</v>
          </cell>
        </row>
        <row r="2719">
          <cell r="A2719" t="str">
            <v>10106269-2006002LF</v>
          </cell>
          <cell r="B2719" t="str">
            <v>10106269-2006002LF Connector,PB+VR</v>
          </cell>
          <cell r="C2719">
            <v>2.0199999999999999E-2</v>
          </cell>
          <cell r="D2719">
            <v>294.55445544554459</v>
          </cell>
          <cell r="E2719">
            <v>883.66336633663377</v>
          </cell>
          <cell r="F2719">
            <v>2.3E-2</v>
          </cell>
        </row>
        <row r="2720">
          <cell r="A2720" t="str">
            <v>10106268-2003001LF</v>
          </cell>
          <cell r="B2720" t="str">
            <v>10106268-2003001LF Connector,PB+VR</v>
          </cell>
          <cell r="C2720">
            <v>3.3E-3</v>
          </cell>
          <cell r="D2720">
            <v>1803.030303030303</v>
          </cell>
          <cell r="E2720">
            <v>5409.090909090909</v>
          </cell>
          <cell r="F2720">
            <v>2.5000000000000001E-2</v>
          </cell>
        </row>
        <row r="2721">
          <cell r="A2721" t="str">
            <v>10106268-8004007LF</v>
          </cell>
          <cell r="B2721" t="str">
            <v>10106268-8004007LF Connector,PB+VR</v>
          </cell>
          <cell r="C2721">
            <v>4.4000000000000003E-3</v>
          </cell>
          <cell r="D2721">
            <v>1352.2727272727273</v>
          </cell>
          <cell r="E2721">
            <v>4056.818181818182</v>
          </cell>
          <cell r="F2721">
            <v>3.2000000000000001E-2</v>
          </cell>
        </row>
        <row r="2722">
          <cell r="A2722" t="str">
            <v>10106262-0602K01LF</v>
          </cell>
          <cell r="B2722" t="str">
            <v>10106262-0602K01LF Connector,PB+RH</v>
          </cell>
          <cell r="C2722">
            <v>3.0000000000000001E-3</v>
          </cell>
          <cell r="D2722">
            <v>1983.3333333333333</v>
          </cell>
          <cell r="E2722">
            <v>5950</v>
          </cell>
          <cell r="F2722">
            <v>2.5000000000000001E-2</v>
          </cell>
        </row>
        <row r="2723">
          <cell r="A2723" t="str">
            <v>10106131-4006003LF</v>
          </cell>
          <cell r="B2723" t="str">
            <v>10106131-4006003LF Connector,PB+VR</v>
          </cell>
          <cell r="C2723">
            <v>2.1000000000000001E-2</v>
          </cell>
          <cell r="D2723">
            <v>283.33333333333331</v>
          </cell>
          <cell r="E2723">
            <v>850</v>
          </cell>
          <cell r="F2723">
            <v>3.5999999999999997E-2</v>
          </cell>
        </row>
        <row r="2724">
          <cell r="A2724" t="str">
            <v>10106268-2600004LF</v>
          </cell>
          <cell r="B2724" t="str">
            <v>10106268-2600004LF Connector,PB+VR</v>
          </cell>
          <cell r="C2724">
            <v>3.3E-3</v>
          </cell>
          <cell r="D2724">
            <v>1803.030303030303</v>
          </cell>
          <cell r="E2724">
            <v>5409.090909090909</v>
          </cell>
          <cell r="F2724">
            <v>2.8000000000000001E-2</v>
          </cell>
        </row>
        <row r="2725">
          <cell r="A2725" t="str">
            <v>10106262-4002K02LF</v>
          </cell>
          <cell r="B2725" t="str">
            <v>10106262-4002K02LF Connector,PB+RH</v>
          </cell>
          <cell r="C2725">
            <v>3.3E-3</v>
          </cell>
          <cell r="D2725">
            <v>1803.030303030303</v>
          </cell>
          <cell r="E2725">
            <v>5409.090909090909</v>
          </cell>
          <cell r="F2725">
            <v>3.2000000000000001E-2</v>
          </cell>
        </row>
        <row r="2726">
          <cell r="A2726" t="str">
            <v>10106262-0004001LF</v>
          </cell>
          <cell r="B2726" t="str">
            <v>10106262-0004001LF Connector,PB+RH</v>
          </cell>
          <cell r="C2726">
            <v>3.3E-3</v>
          </cell>
          <cell r="D2726">
            <v>1803.030303030303</v>
          </cell>
          <cell r="E2726">
            <v>5409.090909090909</v>
          </cell>
          <cell r="F2726">
            <v>3.3000000000000002E-2</v>
          </cell>
        </row>
        <row r="2727">
          <cell r="A2727" t="str">
            <v>10106269-2002002LF</v>
          </cell>
          <cell r="B2727" t="str">
            <v>10106269-2002002LF PwrBlade+ VTR</v>
          </cell>
          <cell r="C2727">
            <v>3.0000000000000001E-3</v>
          </cell>
          <cell r="D2727">
            <v>1983.3333333333333</v>
          </cell>
          <cell r="E2727">
            <v>5950</v>
          </cell>
          <cell r="F2727">
            <v>1.7000000000000001E-2</v>
          </cell>
        </row>
        <row r="2728">
          <cell r="A2728" t="str">
            <v>10106269-0204K03LF</v>
          </cell>
          <cell r="B2728" t="str">
            <v>10106269-0204K03LF PB+ VTR PF-2LP+16S</v>
          </cell>
          <cell r="C2728">
            <v>4.0000000000000001E-3</v>
          </cell>
          <cell r="D2728">
            <v>1487.5</v>
          </cell>
          <cell r="E2728">
            <v>4462.5</v>
          </cell>
          <cell r="F2728">
            <v>3.1E-2</v>
          </cell>
        </row>
        <row r="2729">
          <cell r="A2729" t="str">
            <v>10106116-2000002LF</v>
          </cell>
          <cell r="B2729" t="str">
            <v>10106116-2000002LF Connector,PB+RH</v>
          </cell>
          <cell r="C2729">
            <v>6.1000000000000004E-3</v>
          </cell>
          <cell r="D2729">
            <v>975.4098360655737</v>
          </cell>
          <cell r="E2729">
            <v>2926.2295081967213</v>
          </cell>
          <cell r="F2729">
            <v>2.8000000000000001E-2</v>
          </cell>
        </row>
        <row r="2730">
          <cell r="A2730" t="str">
            <v>10106116-2000502LF</v>
          </cell>
          <cell r="B2730" t="str">
            <v>10106116-2000502LF PwrBlade+ RAH STB</v>
          </cell>
          <cell r="C2730">
            <v>3.0000000000000001E-3</v>
          </cell>
          <cell r="D2730">
            <v>1983.3333333333333</v>
          </cell>
          <cell r="E2730">
            <v>5950</v>
          </cell>
          <cell r="F2730">
            <v>1.7999999999999999E-2</v>
          </cell>
        </row>
        <row r="2731">
          <cell r="A2731" t="str">
            <v>10106116-2002401LF</v>
          </cell>
          <cell r="B2731" t="str">
            <v>10106116-2002401LF Connector,PB+RH</v>
          </cell>
          <cell r="C2731">
            <v>3.3E-3</v>
          </cell>
          <cell r="D2731">
            <v>1803.030303030303</v>
          </cell>
          <cell r="E2731">
            <v>5409.090909090909</v>
          </cell>
          <cell r="F2731">
            <v>2.5000000000000001E-2</v>
          </cell>
        </row>
        <row r="2732">
          <cell r="A2732" t="str">
            <v>10106116-2005001LF</v>
          </cell>
          <cell r="B2732" t="str">
            <v>10106116-2005001LF Connector,PB+RH</v>
          </cell>
          <cell r="C2732">
            <v>3.0000000000000001E-3</v>
          </cell>
          <cell r="D2732">
            <v>1983.3333333333333</v>
          </cell>
          <cell r="E2732">
            <v>5950</v>
          </cell>
          <cell r="F2732">
            <v>2.1000000000000001E-2</v>
          </cell>
        </row>
        <row r="2733">
          <cell r="A2733" t="str">
            <v>10106116-3000001LF</v>
          </cell>
          <cell r="B2733" t="str">
            <v>10106116-3000001LF Connector,PB+RH</v>
          </cell>
          <cell r="C2733">
            <v>6.1000000000000004E-3</v>
          </cell>
          <cell r="D2733">
            <v>975.4098360655737</v>
          </cell>
          <cell r="E2733">
            <v>2926.2295081967213</v>
          </cell>
          <cell r="F2733">
            <v>0.03</v>
          </cell>
        </row>
        <row r="2734">
          <cell r="A2734" t="str">
            <v>10106116-3000003LF</v>
          </cell>
          <cell r="B2734" t="str">
            <v>10106116-3000003LF PwrBlade+ RAH STB</v>
          </cell>
          <cell r="C2734">
            <v>6.1000000000000004E-3</v>
          </cell>
          <cell r="D2734">
            <v>975.4098360655737</v>
          </cell>
          <cell r="E2734">
            <v>2926.2295081967213</v>
          </cell>
          <cell r="F2734">
            <v>2.1999999999999999E-2</v>
          </cell>
        </row>
        <row r="2735">
          <cell r="A2735" t="str">
            <v>10106116-3000K01LF</v>
          </cell>
          <cell r="B2735" t="str">
            <v>10106116-3000K01LF Connector,PB+RH</v>
          </cell>
          <cell r="C2735">
            <v>3.0000000000000001E-3</v>
          </cell>
          <cell r="D2735">
            <v>1983.3333333333333</v>
          </cell>
          <cell r="E2735">
            <v>5950</v>
          </cell>
          <cell r="F2735">
            <v>1.7000000000000001E-2</v>
          </cell>
        </row>
        <row r="2736">
          <cell r="A2736" t="str">
            <v>10106116-3000K02LF</v>
          </cell>
          <cell r="B2736" t="str">
            <v>10106116-3000K02LF Connector,PB+RH</v>
          </cell>
          <cell r="C2736">
            <v>3.0000000000000001E-3</v>
          </cell>
          <cell r="D2736">
            <v>1983.3333333333333</v>
          </cell>
          <cell r="E2736">
            <v>5950</v>
          </cell>
          <cell r="F2736">
            <v>1.9E-2</v>
          </cell>
        </row>
        <row r="2737">
          <cell r="A2737" t="str">
            <v>10106116-3002001LF</v>
          </cell>
          <cell r="B2737" t="str">
            <v>10106116-3002001LF Connector,PB+RH</v>
          </cell>
          <cell r="C2737">
            <v>3.3E-3</v>
          </cell>
          <cell r="D2737">
            <v>1803.030303030303</v>
          </cell>
          <cell r="E2737">
            <v>5409.090909090909</v>
          </cell>
          <cell r="F2737">
            <v>3.5000000000000001E-3</v>
          </cell>
        </row>
        <row r="2738">
          <cell r="A2738" t="str">
            <v>10106116-3002K01LF</v>
          </cell>
          <cell r="B2738" t="str">
            <v>10106116-3002K01LF Connector,PB+RH</v>
          </cell>
          <cell r="C2738">
            <v>3.0000000000000001E-3</v>
          </cell>
          <cell r="D2738">
            <v>1983.3333333333333</v>
          </cell>
          <cell r="E2738">
            <v>5950</v>
          </cell>
          <cell r="F2738">
            <v>2.5000000000000001E-2</v>
          </cell>
        </row>
        <row r="2739">
          <cell r="A2739" t="str">
            <v>10106116-3003002LF</v>
          </cell>
          <cell r="B2739" t="str">
            <v>10106116-3003002LF PwrBlade+ RAH STB</v>
          </cell>
          <cell r="C2739">
            <v>3.3E-3</v>
          </cell>
          <cell r="D2739">
            <v>1803.030303030303</v>
          </cell>
          <cell r="E2739">
            <v>5409.090909090909</v>
          </cell>
          <cell r="F2739">
            <v>3.2000000000000001E-2</v>
          </cell>
        </row>
        <row r="2740">
          <cell r="A2740" t="str">
            <v>10106116-3006001LF</v>
          </cell>
          <cell r="B2740" t="str">
            <v>10106116-3006001LF Connector,PB+RH</v>
          </cell>
          <cell r="C2740">
            <v>3.3E-3</v>
          </cell>
          <cell r="D2740">
            <v>1803.030303030303</v>
          </cell>
          <cell r="E2740">
            <v>5409.090909090909</v>
          </cell>
          <cell r="F2740">
            <v>3.2000000000000001E-2</v>
          </cell>
        </row>
        <row r="2741">
          <cell r="A2741" t="str">
            <v>10106116-3007K01LF</v>
          </cell>
          <cell r="B2741" t="str">
            <v>10106116-3007K01LF Connector,PB+RH</v>
          </cell>
          <cell r="C2741">
            <v>3.3E-3</v>
          </cell>
          <cell r="D2741">
            <v>1803.030303030303</v>
          </cell>
          <cell r="E2741">
            <v>5409.090909090909</v>
          </cell>
          <cell r="F2741">
            <v>3.2000000000000001E-2</v>
          </cell>
        </row>
        <row r="2742">
          <cell r="A2742" t="str">
            <v>10106116-4001001LF</v>
          </cell>
          <cell r="B2742" t="str">
            <v>10106116-4001001LF Connector,PB+RH</v>
          </cell>
          <cell r="C2742">
            <v>3.3E-3</v>
          </cell>
          <cell r="D2742">
            <v>1803.030303030303</v>
          </cell>
          <cell r="E2742">
            <v>5409.090909090909</v>
          </cell>
          <cell r="F2742">
            <v>2.8000000000000001E-2</v>
          </cell>
        </row>
        <row r="2743">
          <cell r="A2743" t="str">
            <v>10106116-4003001LF</v>
          </cell>
          <cell r="B2743" t="str">
            <v>10106116-4003001LF Connector,PB+RH</v>
          </cell>
          <cell r="C2743">
            <v>3.3E-3</v>
          </cell>
          <cell r="D2743">
            <v>1803.030303030303</v>
          </cell>
          <cell r="E2743">
            <v>5409.090909090909</v>
          </cell>
          <cell r="F2743">
            <v>4.3999999999999997E-2</v>
          </cell>
        </row>
        <row r="2744">
          <cell r="A2744" t="str">
            <v>10106116-4003K01LF</v>
          </cell>
          <cell r="B2744" t="str">
            <v>10106116-4003K01LF Connector,PB+RH</v>
          </cell>
          <cell r="C2744">
            <v>3.3E-3</v>
          </cell>
          <cell r="D2744">
            <v>1803.030303030303</v>
          </cell>
          <cell r="E2744">
            <v>5409.090909090909</v>
          </cell>
          <cell r="F2744">
            <v>3.5000000000000003E-2</v>
          </cell>
        </row>
        <row r="2745">
          <cell r="A2745" t="str">
            <v>10106116-4004K01LF</v>
          </cell>
          <cell r="B2745" t="str">
            <v>10106116-4004K01LF Connector,PB+RH</v>
          </cell>
          <cell r="C2745">
            <v>4.0000000000000001E-3</v>
          </cell>
          <cell r="D2745">
            <v>1487.5</v>
          </cell>
          <cell r="E2745">
            <v>4462.5</v>
          </cell>
          <cell r="F2745">
            <v>3.5000000000000003E-2</v>
          </cell>
        </row>
        <row r="2746">
          <cell r="A2746" t="str">
            <v>10106116-4005002LF</v>
          </cell>
          <cell r="B2746" t="str">
            <v>10106116-4005002LF Connector,PB+RH</v>
          </cell>
          <cell r="C2746">
            <v>3.3E-3</v>
          </cell>
          <cell r="D2746">
            <v>1803.030303030303</v>
          </cell>
          <cell r="E2746">
            <v>5409.090909090909</v>
          </cell>
          <cell r="F2746">
            <v>3.5000000000000003E-2</v>
          </cell>
        </row>
        <row r="2747">
          <cell r="A2747" t="str">
            <v>10106116-4009002LF</v>
          </cell>
          <cell r="B2747" t="str">
            <v>10106116-4009002LF Connector,PB+RH</v>
          </cell>
          <cell r="C2747">
            <v>3.3E-3</v>
          </cell>
          <cell r="D2747">
            <v>1803.030303030303</v>
          </cell>
          <cell r="E2747">
            <v>5409.090909090909</v>
          </cell>
          <cell r="F2747">
            <v>5.1999999999999998E-2</v>
          </cell>
        </row>
        <row r="2748">
          <cell r="A2748" t="str">
            <v>10106116-4011001LF</v>
          </cell>
          <cell r="B2748" t="str">
            <v>10106116-4011001LF Connector,PB+RH</v>
          </cell>
          <cell r="C2748">
            <v>3.3E-3</v>
          </cell>
          <cell r="D2748">
            <v>1803.030303030303</v>
          </cell>
          <cell r="E2748">
            <v>5409.090909090909</v>
          </cell>
          <cell r="F2748">
            <v>5.1999999999999998E-2</v>
          </cell>
        </row>
        <row r="2749">
          <cell r="A2749" t="str">
            <v>10106116-4011101LF</v>
          </cell>
          <cell r="B2749" t="str">
            <v>10106116-4011101LF Connector,PB+RH</v>
          </cell>
          <cell r="C2749">
            <v>3.3E-3</v>
          </cell>
          <cell r="D2749">
            <v>1803.030303030303</v>
          </cell>
          <cell r="E2749">
            <v>5409.090909090909</v>
          </cell>
          <cell r="F2749">
            <v>5.1999999999999998E-2</v>
          </cell>
        </row>
        <row r="2750">
          <cell r="A2750" t="str">
            <v>10106116-5002001LF</v>
          </cell>
          <cell r="B2750" t="str">
            <v>10106116-5002001LF Connector,PB+RH</v>
          </cell>
          <cell r="C2750">
            <v>3.3E-3</v>
          </cell>
          <cell r="D2750">
            <v>1803.030303030303</v>
          </cell>
          <cell r="E2750">
            <v>5409.090909090909</v>
          </cell>
          <cell r="F2750">
            <v>2.9000000000000001E-2</v>
          </cell>
        </row>
        <row r="2751">
          <cell r="A2751" t="str">
            <v>10106116-5004001LF</v>
          </cell>
          <cell r="B2751" t="str">
            <v>10106116-5004001LF PwrBlade+ RAH STB</v>
          </cell>
          <cell r="C2751">
            <v>3.3E-3</v>
          </cell>
          <cell r="D2751">
            <v>1803.030303030303</v>
          </cell>
          <cell r="E2751">
            <v>5409.090909090909</v>
          </cell>
          <cell r="F2751">
            <v>3.2000000000000001E-2</v>
          </cell>
        </row>
        <row r="2752">
          <cell r="A2752" t="str">
            <v>10106116-5007K01LF</v>
          </cell>
          <cell r="B2752" t="str">
            <v>10106116-5007K01LF Connector,PB+RH</v>
          </cell>
          <cell r="C2752">
            <v>3.3E-3</v>
          </cell>
          <cell r="D2752">
            <v>1803.030303030303</v>
          </cell>
          <cell r="E2752">
            <v>5409.090909090909</v>
          </cell>
          <cell r="F2752">
            <v>3.5000000000000003E-2</v>
          </cell>
        </row>
        <row r="2753">
          <cell r="A2753" t="str">
            <v>10106116-6000001LF</v>
          </cell>
          <cell r="B2753" t="str">
            <v>10106116-6000001LF Connector,PB+RH</v>
          </cell>
          <cell r="C2753">
            <v>3.3E-3</v>
          </cell>
          <cell r="D2753">
            <v>1803.030303030303</v>
          </cell>
          <cell r="E2753">
            <v>5409.090909090909</v>
          </cell>
          <cell r="F2753">
            <v>2.7E-2</v>
          </cell>
        </row>
        <row r="2754">
          <cell r="A2754" t="str">
            <v>10106116-6000501LF</v>
          </cell>
          <cell r="B2754" t="str">
            <v>10106116-6000501LF Connector,PB+RH</v>
          </cell>
          <cell r="C2754">
            <v>3.0000000000000001E-3</v>
          </cell>
          <cell r="D2754">
            <v>1983.3333333333333</v>
          </cell>
          <cell r="E2754">
            <v>5950</v>
          </cell>
          <cell r="F2754">
            <v>2.1000000000000001E-2</v>
          </cell>
        </row>
        <row r="2755">
          <cell r="A2755" t="str">
            <v>10106116-6002001LF</v>
          </cell>
          <cell r="B2755" t="str">
            <v>10106116-6002001LF Connector,PB+RH</v>
          </cell>
          <cell r="C2755">
            <v>3.3E-3</v>
          </cell>
          <cell r="D2755">
            <v>1803.030303030303</v>
          </cell>
          <cell r="E2755">
            <v>5409.090909090909</v>
          </cell>
          <cell r="F2755">
            <v>3.6999999999999998E-2</v>
          </cell>
        </row>
        <row r="2756">
          <cell r="A2756" t="str">
            <v>10106116-6005K01LF</v>
          </cell>
          <cell r="B2756" t="str">
            <v>10106116-6005K01LF Connector,PB+RH</v>
          </cell>
          <cell r="C2756">
            <v>3.3E-3</v>
          </cell>
          <cell r="D2756">
            <v>1803.030303030303</v>
          </cell>
          <cell r="E2756">
            <v>5409.090909090909</v>
          </cell>
          <cell r="F2756">
            <v>2.5999999999999999E-2</v>
          </cell>
        </row>
        <row r="2757">
          <cell r="A2757" t="str">
            <v>10106116-6006K01LF</v>
          </cell>
          <cell r="B2757" t="str">
            <v>10106116-6006K01LF PwrBlade+ RAH STB</v>
          </cell>
          <cell r="C2757">
            <v>3.0000000000000001E-3</v>
          </cell>
          <cell r="D2757">
            <v>1983.3333333333333</v>
          </cell>
          <cell r="E2757">
            <v>5950</v>
          </cell>
          <cell r="F2757">
            <v>2.8000000000000001E-2</v>
          </cell>
        </row>
        <row r="2758">
          <cell r="A2758" t="str">
            <v>10106116-6016K01LF</v>
          </cell>
          <cell r="B2758" t="str">
            <v>10106116-6016K01LF Connector,PB+RH</v>
          </cell>
          <cell r="C2758">
            <v>5.0000000000000001E-3</v>
          </cell>
          <cell r="D2758">
            <v>1190</v>
          </cell>
          <cell r="E2758">
            <v>3570</v>
          </cell>
          <cell r="F2758">
            <v>4.4999999999999998E-2</v>
          </cell>
        </row>
        <row r="2759">
          <cell r="A2759" t="str">
            <v>10106116-7000004LF</v>
          </cell>
          <cell r="B2759" t="str">
            <v>10106116-7000004LF Connector,PB+RH</v>
          </cell>
          <cell r="C2759">
            <v>6.1000000000000004E-3</v>
          </cell>
          <cell r="D2759">
            <v>975.4098360655737</v>
          </cell>
          <cell r="E2759">
            <v>2926.2295081967213</v>
          </cell>
          <cell r="F2759">
            <v>3.1E-2</v>
          </cell>
        </row>
        <row r="2760">
          <cell r="A2760" t="str">
            <v>10106116-7000401LF</v>
          </cell>
          <cell r="B2760" t="str">
            <v>10106116-7000401LF Connector,PB+RH</v>
          </cell>
          <cell r="C2760">
            <v>6.1000000000000004E-3</v>
          </cell>
          <cell r="D2760">
            <v>975.4098360655737</v>
          </cell>
          <cell r="E2760">
            <v>2926.2295081967213</v>
          </cell>
          <cell r="F2760">
            <v>2.3E-2</v>
          </cell>
        </row>
        <row r="2761">
          <cell r="A2761" t="str">
            <v>10106116-7000K01LF</v>
          </cell>
          <cell r="B2761" t="str">
            <v>10106116-7000K01LF Connector,PB+RH</v>
          </cell>
          <cell r="C2761">
            <v>3.0000000000000001E-3</v>
          </cell>
          <cell r="D2761">
            <v>1983.3333333333333</v>
          </cell>
          <cell r="E2761">
            <v>5950</v>
          </cell>
          <cell r="F2761">
            <v>2.5000000000000001E-2</v>
          </cell>
        </row>
        <row r="2762">
          <cell r="A2762" t="str">
            <v>10106116-7003001LF</v>
          </cell>
          <cell r="B2762" t="str">
            <v>10106116-7003001LF Connector,PB+RH</v>
          </cell>
          <cell r="C2762">
            <v>6.1000000000000004E-3</v>
          </cell>
          <cell r="D2762">
            <v>975.4098360655737</v>
          </cell>
          <cell r="E2762">
            <v>2926.2295081967213</v>
          </cell>
          <cell r="F2762">
            <v>3.2000000000000001E-2</v>
          </cell>
        </row>
        <row r="2763">
          <cell r="A2763" t="str">
            <v>10106116-7005001LF</v>
          </cell>
          <cell r="B2763" t="str">
            <v>10106116-7005001LF Connector,PB+RH</v>
          </cell>
          <cell r="C2763">
            <v>3.3E-3</v>
          </cell>
          <cell r="D2763">
            <v>1803.030303030303</v>
          </cell>
          <cell r="E2763">
            <v>5409.090909090909</v>
          </cell>
          <cell r="F2763">
            <v>4.3999999999999997E-2</v>
          </cell>
        </row>
        <row r="2764">
          <cell r="A2764" t="str">
            <v>10106116-8000K01LF</v>
          </cell>
          <cell r="B2764" t="str">
            <v>10106116-8000K01LF PwrBlade+ RAH STB</v>
          </cell>
          <cell r="C2764">
            <v>3.0000000000000001E-3</v>
          </cell>
          <cell r="D2764">
            <v>1983.3333333333333</v>
          </cell>
          <cell r="E2764">
            <v>5950</v>
          </cell>
          <cell r="F2764">
            <v>2.5000000000000001E-2</v>
          </cell>
        </row>
        <row r="2765">
          <cell r="A2765" t="str">
            <v>10106116-8001K01LF</v>
          </cell>
          <cell r="B2765" t="str">
            <v>10106116-8001K01LF PwrBlade+ RAH STB</v>
          </cell>
          <cell r="C2765">
            <v>3.3E-3</v>
          </cell>
          <cell r="D2765">
            <v>1803.030303030303</v>
          </cell>
          <cell r="E2765">
            <v>5409.090909090909</v>
          </cell>
          <cell r="F2765">
            <v>3.6999999999999998E-2</v>
          </cell>
        </row>
        <row r="2766">
          <cell r="A2766" t="str">
            <v>10106116-8004002LF</v>
          </cell>
          <cell r="B2766" t="str">
            <v>10106116-8004002LF Connector,PB+RH</v>
          </cell>
          <cell r="C2766">
            <v>3.3E-3</v>
          </cell>
          <cell r="D2766">
            <v>1803.030303030303</v>
          </cell>
          <cell r="E2766">
            <v>5409.090909090909</v>
          </cell>
          <cell r="F2766">
            <v>3.5000000000000003E-2</v>
          </cell>
        </row>
        <row r="2767">
          <cell r="A2767" t="str">
            <v>10106116-8005001LF</v>
          </cell>
          <cell r="B2767" t="str">
            <v>10106116-8005001LF Connector,PB+RH</v>
          </cell>
          <cell r="C2767">
            <v>3.3E-3</v>
          </cell>
          <cell r="D2767">
            <v>1803.030303030303</v>
          </cell>
          <cell r="E2767">
            <v>5409.090909090909</v>
          </cell>
          <cell r="F2767">
            <v>4.3999999999999997E-2</v>
          </cell>
        </row>
        <row r="2768">
          <cell r="A2768" t="str">
            <v>10106116-8007001LF</v>
          </cell>
          <cell r="B2768" t="str">
            <v>10106116-8007001LF Connector,PB+RH</v>
          </cell>
          <cell r="C2768">
            <v>3.3E-3</v>
          </cell>
          <cell r="D2768">
            <v>1803.030303030303</v>
          </cell>
          <cell r="E2768">
            <v>5409.090909090909</v>
          </cell>
          <cell r="F2768">
            <v>4.2000000000000003E-2</v>
          </cell>
        </row>
        <row r="2769">
          <cell r="A2769" t="str">
            <v>10106116-8007004LF</v>
          </cell>
          <cell r="B2769" t="str">
            <v>10106116-8007004LF Connector,PB+RH</v>
          </cell>
          <cell r="C2769">
            <v>3.3E-3</v>
          </cell>
          <cell r="D2769">
            <v>1803.030303030303</v>
          </cell>
          <cell r="E2769">
            <v>5409.090909090909</v>
          </cell>
          <cell r="F2769">
            <v>3.7999999999999999E-2</v>
          </cell>
        </row>
        <row r="2770">
          <cell r="A2770" t="str">
            <v>10106116-8008K01LF</v>
          </cell>
          <cell r="B2770" t="str">
            <v>10106116-8008K01LF Connector,PB+RH</v>
          </cell>
          <cell r="C2770">
            <v>3.3E-3</v>
          </cell>
          <cell r="D2770">
            <v>1803.030303030303</v>
          </cell>
          <cell r="E2770">
            <v>5409.090909090909</v>
          </cell>
          <cell r="F2770">
            <v>3.5000000000000003E-2</v>
          </cell>
        </row>
        <row r="2771">
          <cell r="A2771" t="str">
            <v>10106116-9000K01LF</v>
          </cell>
          <cell r="B2771" t="str">
            <v>10106116-9000K01LF Connector,PB+RH</v>
          </cell>
          <cell r="C2771">
            <v>4.0000000000000001E-3</v>
          </cell>
          <cell r="D2771">
            <v>1487.5</v>
          </cell>
          <cell r="E2771">
            <v>4462.5</v>
          </cell>
          <cell r="F2771">
            <v>3.2000000000000001E-2</v>
          </cell>
        </row>
        <row r="2772">
          <cell r="A2772" t="str">
            <v>10106116-9003001LF</v>
          </cell>
          <cell r="B2772" t="str">
            <v>10106116-9003001LF Connector,PB+RH</v>
          </cell>
          <cell r="C2772">
            <v>3.3E-3</v>
          </cell>
          <cell r="D2772">
            <v>1803.030303030303</v>
          </cell>
          <cell r="E2772">
            <v>5409.090909090909</v>
          </cell>
          <cell r="F2772">
            <v>3.7999999999999999E-2</v>
          </cell>
        </row>
        <row r="2773">
          <cell r="A2773" t="str">
            <v>10106116-9003003LF</v>
          </cell>
          <cell r="B2773" t="str">
            <v>10106116-9003003LF Connector,PB+RH</v>
          </cell>
          <cell r="C2773">
            <v>3.0000000000000001E-3</v>
          </cell>
          <cell r="D2773">
            <v>1983.3333333333333</v>
          </cell>
          <cell r="E2773">
            <v>5950</v>
          </cell>
          <cell r="F2773">
            <v>3.7999999999999999E-2</v>
          </cell>
        </row>
        <row r="2774">
          <cell r="A2774" t="str">
            <v>10106116-A000001LF</v>
          </cell>
          <cell r="B2774" t="str">
            <v>10106116-A000001LF Connector,PB+RH</v>
          </cell>
          <cell r="C2774">
            <v>6.1000000000000004E-3</v>
          </cell>
          <cell r="D2774">
            <v>975.4098360655737</v>
          </cell>
          <cell r="E2774">
            <v>2926.2295081967213</v>
          </cell>
          <cell r="F2774">
            <v>3.1E-2</v>
          </cell>
        </row>
        <row r="2775">
          <cell r="A2775" t="str">
            <v>10106116-A002401LF</v>
          </cell>
          <cell r="B2775" t="str">
            <v>10106116-A002401LF Connector,PB+RH</v>
          </cell>
          <cell r="C2775">
            <v>3.3E-3</v>
          </cell>
          <cell r="D2775">
            <v>1803.030303030303</v>
          </cell>
          <cell r="E2775">
            <v>5409.090909090909</v>
          </cell>
          <cell r="F2775">
            <v>3.2000000000000001E-2</v>
          </cell>
        </row>
        <row r="2776">
          <cell r="A2776" t="str">
            <v>10106116-A003K01LF</v>
          </cell>
          <cell r="B2776" t="str">
            <v>10106116-A003K01LF Connector,PB+RH</v>
          </cell>
          <cell r="C2776">
            <v>3.0000000000000001E-3</v>
          </cell>
          <cell r="D2776">
            <v>1983.3333333333333</v>
          </cell>
          <cell r="E2776">
            <v>5950</v>
          </cell>
          <cell r="F2776">
            <v>0.03</v>
          </cell>
        </row>
        <row r="2777">
          <cell r="A2777" t="str">
            <v>10106116-A004K01LF</v>
          </cell>
          <cell r="B2777" t="str">
            <v>10106116-A004K01LF PwrBlade+ RAH STB</v>
          </cell>
          <cell r="C2777">
            <v>4.0000000000000001E-3</v>
          </cell>
          <cell r="D2777">
            <v>1487.5</v>
          </cell>
          <cell r="E2777">
            <v>4462.5</v>
          </cell>
          <cell r="F2777">
            <v>4.1000000000000002E-2</v>
          </cell>
        </row>
        <row r="2778">
          <cell r="A2778" t="str">
            <v>10106116-A006K01LF</v>
          </cell>
          <cell r="B2778" t="str">
            <v>10106116-A006K01LF PwrBlade+ RAH STB</v>
          </cell>
          <cell r="C2778">
            <v>3.0000000000000001E-3</v>
          </cell>
          <cell r="D2778">
            <v>1983.3333333333333</v>
          </cell>
          <cell r="E2778">
            <v>5950</v>
          </cell>
          <cell r="F2778">
            <v>3.1E-2</v>
          </cell>
        </row>
        <row r="2779">
          <cell r="A2779" t="str">
            <v>10106116-B000001LF</v>
          </cell>
          <cell r="B2779" t="str">
            <v>10106116-B000001LF Connector,PB+RH</v>
          </cell>
          <cell r="C2779">
            <v>6.1000000000000004E-3</v>
          </cell>
          <cell r="D2779">
            <v>975.4098360655737</v>
          </cell>
          <cell r="E2779">
            <v>2926.2295081967213</v>
          </cell>
          <cell r="F2779">
            <v>3.5999999999999997E-2</v>
          </cell>
        </row>
        <row r="2780">
          <cell r="A2780" t="str">
            <v>10106116-B004001LF</v>
          </cell>
          <cell r="B2780" t="str">
            <v>10106116-B004001LF Connector,PB+RH</v>
          </cell>
          <cell r="C2780">
            <v>3.0000000000000001E-3</v>
          </cell>
          <cell r="D2780">
            <v>1983.3333333333333</v>
          </cell>
          <cell r="E2780">
            <v>5950</v>
          </cell>
          <cell r="F2780">
            <v>4.8000000000000001E-2</v>
          </cell>
        </row>
        <row r="2781">
          <cell r="A2781" t="str">
            <v>10106116-C009001LF</v>
          </cell>
          <cell r="B2781" t="str">
            <v>10106116-C009001LF PwrBlade+ RAH STB</v>
          </cell>
          <cell r="C2781">
            <v>3.3E-3</v>
          </cell>
          <cell r="D2781">
            <v>1803.030303030303</v>
          </cell>
          <cell r="E2781">
            <v>5409.090909090909</v>
          </cell>
          <cell r="F2781">
            <v>4.2799999999999998E-2</v>
          </cell>
        </row>
        <row r="2782">
          <cell r="A2782" t="str">
            <v>10106116-D000001LF</v>
          </cell>
          <cell r="B2782" t="str">
            <v>10106116-D000001LF Connector,PB+RH</v>
          </cell>
          <cell r="C2782">
            <v>6.1000000000000004E-3</v>
          </cell>
          <cell r="D2782">
            <v>975.4098360655737</v>
          </cell>
          <cell r="E2782">
            <v>2926.2295081967213</v>
          </cell>
          <cell r="F2782">
            <v>3.5000000000000003E-2</v>
          </cell>
        </row>
        <row r="2783">
          <cell r="A2783" t="str">
            <v>10106116-L002001LF</v>
          </cell>
          <cell r="B2783" t="str">
            <v>10106116-L002001LF Connector,PB+RH</v>
          </cell>
          <cell r="C2783">
            <v>3.3E-3</v>
          </cell>
          <cell r="D2783">
            <v>1803.030303030303</v>
          </cell>
          <cell r="E2783">
            <v>5409.090909090909</v>
          </cell>
          <cell r="F2783">
            <v>3.5000000000000003E-2</v>
          </cell>
        </row>
        <row r="2784">
          <cell r="A2784" t="str">
            <v>10106117-5005001LF</v>
          </cell>
          <cell r="B2784" t="str">
            <v>10106117-5005001LF PwrBlade+ RAH PF</v>
          </cell>
          <cell r="C2784">
            <v>3.3E-3</v>
          </cell>
          <cell r="D2784">
            <v>1803.030303030303</v>
          </cell>
          <cell r="E2784">
            <v>5409.090909090909</v>
          </cell>
          <cell r="F2784">
            <v>3.2000000000000001E-2</v>
          </cell>
        </row>
        <row r="2785">
          <cell r="A2785" t="str">
            <v>10106117-7000001LF</v>
          </cell>
          <cell r="B2785" t="str">
            <v>10106117-7000001LF PwrBlade+ RAH PF</v>
          </cell>
          <cell r="C2785" t="e">
            <v>#N/A</v>
          </cell>
          <cell r="D2785" t="e">
            <v>#N/A</v>
          </cell>
          <cell r="E2785" t="e">
            <v>#N/A</v>
          </cell>
          <cell r="F2785">
            <v>3.5000000000000003E-2</v>
          </cell>
        </row>
        <row r="2786">
          <cell r="A2786" t="str">
            <v>10106117-A009001LF</v>
          </cell>
          <cell r="B2786" t="str">
            <v>10106117-A009001LF PwrBlade+ RAH PF</v>
          </cell>
          <cell r="C2786">
            <v>0.01</v>
          </cell>
          <cell r="D2786">
            <v>595</v>
          </cell>
          <cell r="E2786">
            <v>1785</v>
          </cell>
          <cell r="F2786">
            <v>9.8000000000000004E-2</v>
          </cell>
        </row>
        <row r="2787">
          <cell r="A2787" t="str">
            <v>10106118-6000K01LF</v>
          </cell>
          <cell r="B2787" t="str">
            <v>10106118-6000K01LF Connector,PB+RH</v>
          </cell>
          <cell r="C2787">
            <v>4.0000000000000001E-3</v>
          </cell>
          <cell r="D2787">
            <v>1487.5</v>
          </cell>
          <cell r="E2787">
            <v>4462.5</v>
          </cell>
          <cell r="F2787">
            <v>2.8000000000000001E-2</v>
          </cell>
        </row>
        <row r="2788">
          <cell r="A2788" t="str">
            <v>10106122-3000001LF</v>
          </cell>
          <cell r="B2788" t="str">
            <v>10106122-3000001LF Connector,PB+RH</v>
          </cell>
          <cell r="C2788">
            <v>6.1000000000000004E-3</v>
          </cell>
          <cell r="D2788">
            <v>975.4098360655737</v>
          </cell>
          <cell r="E2788">
            <v>2926.2295081967213</v>
          </cell>
          <cell r="F2788">
            <v>3.1E-2</v>
          </cell>
        </row>
        <row r="2789">
          <cell r="A2789" t="str">
            <v>10106122-3000K01LF</v>
          </cell>
          <cell r="B2789" t="str">
            <v>10106122-3000K01LF Connector,PB+RH</v>
          </cell>
          <cell r="C2789">
            <v>3.0000000000000001E-3</v>
          </cell>
          <cell r="D2789">
            <v>1983.3333333333333</v>
          </cell>
          <cell r="E2789">
            <v>5950</v>
          </cell>
          <cell r="F2789">
            <v>1.7000000000000001E-2</v>
          </cell>
        </row>
        <row r="2790">
          <cell r="A2790" t="str">
            <v>10106122-3003K02LF</v>
          </cell>
          <cell r="B2790" t="str">
            <v>10106122-3003K02LF Connector,PB+RH</v>
          </cell>
          <cell r="C2790">
            <v>5.0000000000000001E-3</v>
          </cell>
          <cell r="D2790">
            <v>1190</v>
          </cell>
          <cell r="E2790">
            <v>3570</v>
          </cell>
          <cell r="F2790">
            <v>3.1E-2</v>
          </cell>
        </row>
        <row r="2791">
          <cell r="A2791" t="str">
            <v>10106122-3006001LF</v>
          </cell>
          <cell r="B2791" t="str">
            <v>10106122-3006001LF Connector,PB+RH</v>
          </cell>
          <cell r="C2791">
            <v>6.7000000000000002E-3</v>
          </cell>
          <cell r="D2791">
            <v>888.05970149253733</v>
          </cell>
          <cell r="E2791">
            <v>2664.1791044776119</v>
          </cell>
          <cell r="F2791">
            <v>2.5000000000000001E-2</v>
          </cell>
        </row>
        <row r="2792">
          <cell r="A2792" t="str">
            <v>10106122-4000401LF</v>
          </cell>
          <cell r="B2792" t="str">
            <v>10106122-4000401LF Connector,PB+RH</v>
          </cell>
          <cell r="C2792">
            <v>6.1000000000000004E-3</v>
          </cell>
          <cell r="D2792">
            <v>975.4098360655737</v>
          </cell>
          <cell r="E2792">
            <v>2926.2295081967213</v>
          </cell>
          <cell r="F2792">
            <v>2.1000000000000001E-2</v>
          </cell>
        </row>
        <row r="2793">
          <cell r="A2793" t="str">
            <v>10106122-4003001LF</v>
          </cell>
          <cell r="B2793" t="str">
            <v>10106122-4003001LF Connector,PB+RH</v>
          </cell>
          <cell r="C2793">
            <v>3.3E-3</v>
          </cell>
          <cell r="D2793">
            <v>1803.030303030303</v>
          </cell>
          <cell r="E2793">
            <v>5409.090909090909</v>
          </cell>
          <cell r="F2793">
            <v>3.5000000000000003E-2</v>
          </cell>
        </row>
        <row r="2794">
          <cell r="A2794" t="str">
            <v>10106122-4003401LF</v>
          </cell>
          <cell r="B2794" t="str">
            <v>10106122-4003401LF Connector,PB+RH</v>
          </cell>
          <cell r="C2794">
            <v>3.3E-3</v>
          </cell>
          <cell r="D2794">
            <v>1803.030303030303</v>
          </cell>
          <cell r="E2794">
            <v>5409.090909090909</v>
          </cell>
          <cell r="F2794">
            <v>2.1000000000000001E-2</v>
          </cell>
        </row>
        <row r="2795">
          <cell r="A2795" t="str">
            <v>10106122-4003K01LF</v>
          </cell>
          <cell r="B2795" t="str">
            <v>10106122-4003K01LF Connector,PB+RH</v>
          </cell>
          <cell r="C2795">
            <v>5.0000000000000001E-3</v>
          </cell>
          <cell r="D2795">
            <v>1190</v>
          </cell>
          <cell r="E2795">
            <v>3570</v>
          </cell>
          <cell r="F2795">
            <v>3.2000000000000001E-2</v>
          </cell>
        </row>
        <row r="2796">
          <cell r="A2796" t="str">
            <v>10106122-4008002LF</v>
          </cell>
          <cell r="B2796" t="str">
            <v>10106122-4008002LF PwrBlade+ VR STB</v>
          </cell>
          <cell r="C2796">
            <v>8.0000000000000002E-3</v>
          </cell>
          <cell r="D2796">
            <v>743.75</v>
          </cell>
          <cell r="E2796">
            <v>2231.25</v>
          </cell>
          <cell r="F2796">
            <v>3.1E-2</v>
          </cell>
        </row>
        <row r="2797">
          <cell r="A2797" t="str">
            <v>10106122-5000002LF</v>
          </cell>
          <cell r="B2797" t="str">
            <v>10106122-5000002LF Connector,PB+RH</v>
          </cell>
          <cell r="C2797">
            <v>6.1000000000000004E-3</v>
          </cell>
          <cell r="D2797">
            <v>975.4098360655737</v>
          </cell>
          <cell r="E2797">
            <v>2926.2295081967213</v>
          </cell>
          <cell r="F2797">
            <v>0.03</v>
          </cell>
        </row>
        <row r="2798">
          <cell r="A2798" t="str">
            <v>10106122-6000001LF</v>
          </cell>
          <cell r="B2798" t="str">
            <v>10106122-6000001LF Connector,PB+RH</v>
          </cell>
          <cell r="C2798">
            <v>3.3E-3</v>
          </cell>
          <cell r="D2798">
            <v>1803.030303030303</v>
          </cell>
          <cell r="E2798">
            <v>5409.090909090909</v>
          </cell>
          <cell r="F2798">
            <v>2.7E-2</v>
          </cell>
        </row>
        <row r="2799">
          <cell r="A2799" t="str">
            <v>10106122-6006K01LF</v>
          </cell>
          <cell r="B2799" t="str">
            <v>10106122-6006K01LF Connector,PB+RH</v>
          </cell>
          <cell r="C2799">
            <v>6.0000000000000001E-3</v>
          </cell>
          <cell r="D2799">
            <v>991.66666666666663</v>
          </cell>
          <cell r="E2799">
            <v>2975</v>
          </cell>
          <cell r="F2799">
            <v>2.7E-2</v>
          </cell>
        </row>
        <row r="2800">
          <cell r="A2800" t="str">
            <v>10106122-6008001LF</v>
          </cell>
          <cell r="B2800" t="str">
            <v>10106122-6008001LF Connector,PB+RH</v>
          </cell>
          <cell r="C2800">
            <v>8.5000000000000006E-3</v>
          </cell>
          <cell r="D2800">
            <v>700</v>
          </cell>
          <cell r="E2800">
            <v>2100</v>
          </cell>
          <cell r="F2800">
            <v>2.9000000000000001E-2</v>
          </cell>
        </row>
        <row r="2801">
          <cell r="A2801" t="str">
            <v>10106122-8001K01LF</v>
          </cell>
          <cell r="B2801" t="str">
            <v>10106122-8001K01LF Connector,PB+RH</v>
          </cell>
          <cell r="C2801">
            <v>3.0000000000000001E-3</v>
          </cell>
          <cell r="D2801">
            <v>1983.3333333333333</v>
          </cell>
          <cell r="E2801">
            <v>5950</v>
          </cell>
          <cell r="F2801">
            <v>3.2000000000000001E-2</v>
          </cell>
        </row>
        <row r="2802">
          <cell r="A2802" t="str">
            <v>10106122-8003401LF</v>
          </cell>
          <cell r="B2802" t="str">
            <v>10106122-8003401LF Connector,PB+RH</v>
          </cell>
          <cell r="C2802">
            <v>3.3E-3</v>
          </cell>
          <cell r="D2802">
            <v>1803.030303030303</v>
          </cell>
          <cell r="E2802">
            <v>5409.090909090909</v>
          </cell>
          <cell r="F2802">
            <v>2.9000000000000001E-2</v>
          </cell>
        </row>
        <row r="2803">
          <cell r="A2803" t="str">
            <v>10106122-8004002LF</v>
          </cell>
          <cell r="B2803" t="str">
            <v>10106122-8004002LF Connector,PB+RH</v>
          </cell>
          <cell r="C2803">
            <v>1.4E-2</v>
          </cell>
          <cell r="D2803">
            <v>425</v>
          </cell>
          <cell r="E2803">
            <v>1275</v>
          </cell>
          <cell r="F2803">
            <v>4.2000000000000003E-2</v>
          </cell>
        </row>
        <row r="2804">
          <cell r="A2804" t="str">
            <v>10106122-8004401LF</v>
          </cell>
          <cell r="B2804" t="str">
            <v>10106122-8004401LF Connector,PB+RH</v>
          </cell>
          <cell r="C2804">
            <v>4.4000000000000003E-3</v>
          </cell>
          <cell r="D2804">
            <v>1352.2727272727273</v>
          </cell>
          <cell r="E2804">
            <v>4056.818181818182</v>
          </cell>
          <cell r="F2804">
            <v>3.4000000000000002E-2</v>
          </cell>
        </row>
        <row r="2805">
          <cell r="A2805" t="str">
            <v>10106122-8008K01LF</v>
          </cell>
          <cell r="B2805" t="str">
            <v>10106122-8008K01LF Connector,PB+RH</v>
          </cell>
          <cell r="C2805">
            <v>5.0000000000000001E-3</v>
          </cell>
          <cell r="D2805">
            <v>1190</v>
          </cell>
          <cell r="E2805">
            <v>3570</v>
          </cell>
          <cell r="F2805">
            <v>3.2000000000000001E-2</v>
          </cell>
        </row>
        <row r="2806">
          <cell r="A2806" t="str">
            <v>10106122-9003001LF</v>
          </cell>
          <cell r="B2806" t="str">
            <v>10106122-9003001LF PwrBlade+ VR STB</v>
          </cell>
          <cell r="C2806">
            <v>5.0000000000000001E-3</v>
          </cell>
          <cell r="D2806">
            <v>1190</v>
          </cell>
          <cell r="E2806">
            <v>3570</v>
          </cell>
          <cell r="F2806">
            <v>0.03</v>
          </cell>
        </row>
        <row r="2807">
          <cell r="A2807" t="str">
            <v>10106122-A003K01LF</v>
          </cell>
          <cell r="B2807" t="str">
            <v>10106122-A003K01LF Connector,PB+RH</v>
          </cell>
          <cell r="C2807">
            <v>4.0000000000000001E-3</v>
          </cell>
          <cell r="D2807">
            <v>1487.5</v>
          </cell>
          <cell r="E2807">
            <v>4462.5</v>
          </cell>
          <cell r="F2807">
            <v>2.8000000000000001E-2</v>
          </cell>
        </row>
        <row r="2808">
          <cell r="A2808" t="str">
            <v>10106122-A004K01LF</v>
          </cell>
          <cell r="B2808" t="str">
            <v>10106122-A004K01LF Connector,PB+RH</v>
          </cell>
          <cell r="C2808">
            <v>5.0000000000000001E-3</v>
          </cell>
          <cell r="D2808">
            <v>1190</v>
          </cell>
          <cell r="E2808">
            <v>3570</v>
          </cell>
          <cell r="F2808">
            <v>3.5999999999999997E-2</v>
          </cell>
        </row>
        <row r="2809">
          <cell r="A2809" t="str">
            <v>10106122-A006K01LF</v>
          </cell>
          <cell r="B2809" t="str">
            <v>10106122-A006K01LF PwrBlade+ VR STB</v>
          </cell>
          <cell r="C2809">
            <v>5.0000000000000001E-3</v>
          </cell>
          <cell r="D2809">
            <v>1190</v>
          </cell>
          <cell r="E2809">
            <v>3570</v>
          </cell>
          <cell r="F2809">
            <v>2.8000000000000001E-2</v>
          </cell>
        </row>
        <row r="2810">
          <cell r="A2810" t="str">
            <v>10106122-C009001LF</v>
          </cell>
          <cell r="B2810" t="str">
            <v>10106122-C009001LF PwrBlade+ VR STB</v>
          </cell>
          <cell r="C2810">
            <v>2.93E-2</v>
          </cell>
          <cell r="D2810">
            <v>203.07167235494882</v>
          </cell>
          <cell r="E2810">
            <v>609.21501706484651</v>
          </cell>
          <cell r="F2810">
            <v>5.6000000000000001E-2</v>
          </cell>
        </row>
        <row r="2811">
          <cell r="A2811" t="str">
            <v>10106123-2000001LF</v>
          </cell>
          <cell r="B2811" t="str">
            <v>10106123-2000001LF Connector,PB+VR</v>
          </cell>
          <cell r="C2811">
            <v>3.0000000000000001E-3</v>
          </cell>
          <cell r="D2811">
            <v>1983.3333333333333</v>
          </cell>
          <cell r="E2811">
            <v>5950</v>
          </cell>
          <cell r="F2811">
            <v>2.4E-2</v>
          </cell>
        </row>
        <row r="2812">
          <cell r="A2812" t="str">
            <v>10106123-3000001LF</v>
          </cell>
          <cell r="B2812" t="str">
            <v>10106123-3000001LF PwrBlade+ VR PF</v>
          </cell>
          <cell r="C2812">
            <v>6.1000000000000004E-3</v>
          </cell>
          <cell r="D2812">
            <v>975.4098360655737</v>
          </cell>
          <cell r="E2812">
            <v>2926.2295081967213</v>
          </cell>
          <cell r="F2812">
            <v>0.02</v>
          </cell>
        </row>
        <row r="2813">
          <cell r="A2813" t="str">
            <v>10106123-3000K02LF</v>
          </cell>
          <cell r="B2813" t="str">
            <v>10106123-3000K02LF Connector,PB+VR</v>
          </cell>
          <cell r="C2813">
            <v>3.0000000000000001E-3</v>
          </cell>
          <cell r="D2813">
            <v>1983.3333333333333</v>
          </cell>
          <cell r="E2813">
            <v>5950</v>
          </cell>
          <cell r="F2813">
            <v>1.7999999999999999E-2</v>
          </cell>
        </row>
        <row r="2814">
          <cell r="A2814" t="str">
            <v>10106123-3002K01LF</v>
          </cell>
          <cell r="B2814" t="str">
            <v>10106123-3002K01LF Connector,PB+VR</v>
          </cell>
          <cell r="C2814">
            <v>4.0000000000000001E-3</v>
          </cell>
          <cell r="D2814">
            <v>1487.5</v>
          </cell>
          <cell r="E2814">
            <v>4462.5</v>
          </cell>
          <cell r="F2814">
            <v>2.8000000000000001E-2</v>
          </cell>
        </row>
        <row r="2815">
          <cell r="A2815" t="str">
            <v>10106123-3003K01LF</v>
          </cell>
          <cell r="B2815" t="str">
            <v>10106123-3003K01LF Connector,PB+VR</v>
          </cell>
          <cell r="C2815">
            <v>5.0000000000000001E-3</v>
          </cell>
          <cell r="D2815">
            <v>1190</v>
          </cell>
          <cell r="E2815">
            <v>3570</v>
          </cell>
          <cell r="F2815">
            <v>3.1E-2</v>
          </cell>
        </row>
        <row r="2816">
          <cell r="A2816" t="str">
            <v>10106123-3007K01LF</v>
          </cell>
          <cell r="B2816" t="str">
            <v>10106123-3007K01LF Connector,PB+VR</v>
          </cell>
          <cell r="C2816">
            <v>7.0000000000000001E-3</v>
          </cell>
          <cell r="D2816">
            <v>850</v>
          </cell>
          <cell r="E2816">
            <v>2550</v>
          </cell>
          <cell r="F2816">
            <v>2.8000000000000001E-2</v>
          </cell>
        </row>
        <row r="2817">
          <cell r="A2817" t="str">
            <v>10106123-4006001LF</v>
          </cell>
          <cell r="B2817" t="str">
            <v>10106123-4006001LF Connector,PB+VR</v>
          </cell>
          <cell r="C2817">
            <v>6.7000000000000002E-3</v>
          </cell>
          <cell r="D2817">
            <v>888.05970149253733</v>
          </cell>
          <cell r="E2817">
            <v>2664.1791044776119</v>
          </cell>
          <cell r="F2817">
            <v>2.9000000000000001E-2</v>
          </cell>
        </row>
        <row r="2818">
          <cell r="A2818" t="str">
            <v>10106123-5000001LF</v>
          </cell>
          <cell r="B2818" t="str">
            <v>10106123-5000001LF Connector,PB+VR</v>
          </cell>
          <cell r="C2818">
            <v>6.1000000000000004E-3</v>
          </cell>
          <cell r="D2818">
            <v>975.4098360655737</v>
          </cell>
          <cell r="E2818">
            <v>2926.2295081967213</v>
          </cell>
          <cell r="F2818">
            <v>2.9000000000000001E-2</v>
          </cell>
        </row>
        <row r="2819">
          <cell r="A2819" t="str">
            <v>10106123-500000ELF</v>
          </cell>
          <cell r="B2819" t="str">
            <v>10106123-500000ELF Connector,PB+VR</v>
          </cell>
          <cell r="C2819">
            <v>6.1000000000000004E-3</v>
          </cell>
          <cell r="D2819">
            <v>975.4098360655737</v>
          </cell>
          <cell r="E2819">
            <v>2926.2295081967213</v>
          </cell>
          <cell r="F2819">
            <v>2.9000000000000001E-2</v>
          </cell>
        </row>
        <row r="2820">
          <cell r="A2820" t="str">
            <v>10106123-5003K01LF</v>
          </cell>
          <cell r="B2820" t="str">
            <v>10106123-5003K01LF Connector,PB+VR</v>
          </cell>
          <cell r="C2820">
            <v>5.0000000000000001E-3</v>
          </cell>
          <cell r="D2820">
            <v>1190</v>
          </cell>
          <cell r="E2820">
            <v>3570</v>
          </cell>
          <cell r="F2820">
            <v>3.5000000000000003E-2</v>
          </cell>
        </row>
        <row r="2821">
          <cell r="A2821" t="str">
            <v>10106123-5004001LF</v>
          </cell>
          <cell r="B2821" t="str">
            <v>10106123-5004001LF Connector,PB+VR</v>
          </cell>
          <cell r="C2821">
            <v>4.4000000000000003E-3</v>
          </cell>
          <cell r="D2821">
            <v>1352.2727272727273</v>
          </cell>
          <cell r="E2821">
            <v>4056.818181818182</v>
          </cell>
          <cell r="F2821">
            <v>2.7E-2</v>
          </cell>
        </row>
        <row r="2822">
          <cell r="A2822" t="str">
            <v>10106123-5005001LF</v>
          </cell>
          <cell r="B2822" t="str">
            <v>10106123-5005001LF Connector,PB+VR</v>
          </cell>
          <cell r="C2822">
            <v>1.7000000000000001E-2</v>
          </cell>
          <cell r="D2822">
            <v>350</v>
          </cell>
          <cell r="E2822">
            <v>1050</v>
          </cell>
          <cell r="F2822">
            <v>3.7999999999999999E-2</v>
          </cell>
        </row>
        <row r="2823">
          <cell r="A2823" t="str">
            <v>10106123-5007K02LF</v>
          </cell>
          <cell r="B2823" t="str">
            <v>10106123-5007K02LF Connector,PB+VR</v>
          </cell>
          <cell r="C2823">
            <v>7.0000000000000001E-3</v>
          </cell>
          <cell r="D2823">
            <v>850</v>
          </cell>
          <cell r="E2823">
            <v>2550</v>
          </cell>
          <cell r="F2823">
            <v>3.2000000000000001E-2</v>
          </cell>
        </row>
        <row r="2824">
          <cell r="A2824" t="str">
            <v>10106123-6000K01LF</v>
          </cell>
          <cell r="B2824" t="str">
            <v>10106123-6000K01LF Connector,PB+VR</v>
          </cell>
          <cell r="C2824">
            <v>3.0000000000000001E-3</v>
          </cell>
          <cell r="D2824">
            <v>1983.3333333333333</v>
          </cell>
          <cell r="E2824">
            <v>5950</v>
          </cell>
          <cell r="F2824">
            <v>1.7999999999999999E-2</v>
          </cell>
        </row>
        <row r="2825">
          <cell r="A2825" t="str">
            <v>10106123-7000001LF</v>
          </cell>
          <cell r="B2825" t="str">
            <v>10106123-7000001LF PwrBlade+ VR PF</v>
          </cell>
          <cell r="C2825">
            <v>6.1000000000000004E-3</v>
          </cell>
          <cell r="D2825">
            <v>975.4098360655737</v>
          </cell>
          <cell r="E2825">
            <v>2926.2295081967213</v>
          </cell>
          <cell r="F2825">
            <v>3.6999999999999998E-2</v>
          </cell>
        </row>
        <row r="2826">
          <cell r="A2826" t="str">
            <v>10106123-7000002LF</v>
          </cell>
          <cell r="B2826" t="str">
            <v>10106123-7000002LF Connector,PB+VR</v>
          </cell>
          <cell r="C2826">
            <v>4.0000000000000001E-3</v>
          </cell>
          <cell r="D2826">
            <v>1487.5</v>
          </cell>
          <cell r="E2826">
            <v>4462.5</v>
          </cell>
          <cell r="F2826">
            <v>2.8000000000000001E-2</v>
          </cell>
        </row>
        <row r="2827">
          <cell r="A2827" t="str">
            <v>10106123-8004001LF</v>
          </cell>
          <cell r="B2827" t="str">
            <v>10106123-8004001LF Connector,PB+VR</v>
          </cell>
          <cell r="C2827">
            <v>3.3E-3</v>
          </cell>
          <cell r="D2827">
            <v>1803.030303030303</v>
          </cell>
          <cell r="E2827">
            <v>5409.090909090909</v>
          </cell>
          <cell r="F2827">
            <v>2.5000000000000001E-2</v>
          </cell>
        </row>
        <row r="2828">
          <cell r="A2828" t="str">
            <v>10106123-8038001LF</v>
          </cell>
          <cell r="B2828" t="str">
            <v>10106123-8038001LF Connector,PB+VR</v>
          </cell>
          <cell r="C2828">
            <v>1.7999999999999999E-2</v>
          </cell>
          <cell r="D2828">
            <v>330.5555555555556</v>
          </cell>
          <cell r="E2828">
            <v>991.66666666666674</v>
          </cell>
          <cell r="F2828">
            <v>5.7000000000000002E-2</v>
          </cell>
        </row>
        <row r="2829">
          <cell r="A2829" t="str">
            <v>10106123-A009001LF</v>
          </cell>
          <cell r="B2829" t="str">
            <v>10106123-A009001LF PwrBlade+ VR PF</v>
          </cell>
          <cell r="C2829">
            <v>3.4000000000000002E-2</v>
          </cell>
          <cell r="D2829">
            <v>175</v>
          </cell>
          <cell r="E2829">
            <v>525</v>
          </cell>
          <cell r="F2829">
            <v>5.0999999999999997E-2</v>
          </cell>
        </row>
        <row r="2830">
          <cell r="A2830" t="str">
            <v>10106124-2000001LF</v>
          </cell>
          <cell r="B2830" t="str">
            <v>10106124-2000001LF Connector,PB+RH</v>
          </cell>
          <cell r="C2830">
            <v>6.1000000000000004E-3</v>
          </cell>
          <cell r="D2830">
            <v>975.4098360655737</v>
          </cell>
          <cell r="E2830">
            <v>2926.2295081967213</v>
          </cell>
          <cell r="F2830">
            <v>2.5000000000000001E-2</v>
          </cell>
        </row>
        <row r="2831">
          <cell r="A2831" t="str">
            <v>10106124-2000003LF</v>
          </cell>
          <cell r="B2831" t="str">
            <v>10106124-2000003LF Connector,PB+RH</v>
          </cell>
          <cell r="C2831">
            <v>6.1000000000000004E-3</v>
          </cell>
          <cell r="D2831">
            <v>975.4098360655737</v>
          </cell>
          <cell r="E2831">
            <v>2926.2295081967213</v>
          </cell>
          <cell r="F2831">
            <v>2.1999999999999999E-2</v>
          </cell>
        </row>
        <row r="2832">
          <cell r="A2832" t="str">
            <v>10106124-2000006LF</v>
          </cell>
          <cell r="B2832" t="str">
            <v>10106124-2000006LF Connector,PB+RH</v>
          </cell>
          <cell r="C2832">
            <v>6.1000000000000004E-3</v>
          </cell>
          <cell r="D2832">
            <v>975.4098360655737</v>
          </cell>
          <cell r="E2832">
            <v>2926.2295081967213</v>
          </cell>
          <cell r="F2832">
            <v>2.1000000000000001E-2</v>
          </cell>
        </row>
        <row r="2833">
          <cell r="A2833" t="str">
            <v>10106124-2001001LF</v>
          </cell>
          <cell r="B2833" t="str">
            <v>10106124-2001001LF Connector,PB+RH</v>
          </cell>
          <cell r="C2833">
            <v>3.3E-3</v>
          </cell>
          <cell r="D2833">
            <v>1803.030303030303</v>
          </cell>
          <cell r="E2833">
            <v>5409.090909090909</v>
          </cell>
          <cell r="F2833">
            <v>3.1E-2</v>
          </cell>
        </row>
        <row r="2834">
          <cell r="A2834" t="str">
            <v>10106124-2001401LF</v>
          </cell>
          <cell r="B2834" t="str">
            <v>10106124-2001401LF Connector,PB+RH</v>
          </cell>
          <cell r="C2834">
            <v>6.0000000000000001E-3</v>
          </cell>
          <cell r="D2834">
            <v>991.66666666666663</v>
          </cell>
          <cell r="E2834">
            <v>2975</v>
          </cell>
          <cell r="F2834">
            <v>3.2000000000000001E-2</v>
          </cell>
        </row>
        <row r="2835">
          <cell r="A2835" t="str">
            <v>10106124-2002001LF</v>
          </cell>
          <cell r="B2835" t="str">
            <v>10106124-2002001LF Connector,PB+RH</v>
          </cell>
          <cell r="C2835">
            <v>3.3E-3</v>
          </cell>
          <cell r="D2835">
            <v>1803.030303030303</v>
          </cell>
          <cell r="E2835">
            <v>5409.090909090909</v>
          </cell>
          <cell r="F2835">
            <v>2.7E-2</v>
          </cell>
        </row>
        <row r="2836">
          <cell r="A2836" t="str">
            <v>10106124-2002003LF</v>
          </cell>
          <cell r="B2836" t="str">
            <v>10106124-2002003LF Connector,PB+RH</v>
          </cell>
          <cell r="C2836">
            <v>3.3E-3</v>
          </cell>
          <cell r="D2836">
            <v>1803.030303030303</v>
          </cell>
          <cell r="E2836">
            <v>5409.090909090909</v>
          </cell>
          <cell r="F2836">
            <v>2.8000000000000001E-2</v>
          </cell>
        </row>
        <row r="2837">
          <cell r="A2837" t="str">
            <v>10106124-2002K02LF</v>
          </cell>
          <cell r="B2837" t="str">
            <v>10106124-2002K02LF Connector,PB+RH</v>
          </cell>
          <cell r="C2837">
            <v>5.0000000000000001E-3</v>
          </cell>
          <cell r="D2837">
            <v>1190</v>
          </cell>
          <cell r="E2837">
            <v>3570</v>
          </cell>
          <cell r="F2837">
            <v>2.7E-2</v>
          </cell>
        </row>
        <row r="2838">
          <cell r="A2838" t="str">
            <v>10106124-2003001LF</v>
          </cell>
          <cell r="B2838" t="str">
            <v>10106124-2003001LF Connector,PB+RH</v>
          </cell>
          <cell r="C2838">
            <v>3.3E-3</v>
          </cell>
          <cell r="D2838">
            <v>1803.030303030303</v>
          </cell>
          <cell r="E2838">
            <v>5409.090909090909</v>
          </cell>
          <cell r="F2838">
            <v>3.9E-2</v>
          </cell>
        </row>
        <row r="2839">
          <cell r="A2839" t="str">
            <v>10106124-2003006LF</v>
          </cell>
          <cell r="B2839" t="str">
            <v>10106124-2003006LF Connector,PB+RH</v>
          </cell>
          <cell r="C2839">
            <v>5.0000000000000001E-3</v>
          </cell>
          <cell r="D2839">
            <v>1190</v>
          </cell>
          <cell r="E2839">
            <v>3570</v>
          </cell>
          <cell r="F2839">
            <v>3.7999999999999999E-2</v>
          </cell>
        </row>
        <row r="2840">
          <cell r="A2840" t="str">
            <v>10106124-2003007LF</v>
          </cell>
          <cell r="B2840" t="str">
            <v>10106124-2003007LF Connector,PB+RH</v>
          </cell>
          <cell r="C2840">
            <v>5.0000000000000001E-3</v>
          </cell>
          <cell r="D2840">
            <v>1190</v>
          </cell>
          <cell r="E2840">
            <v>3570</v>
          </cell>
          <cell r="F2840">
            <v>3.5000000000000003E-2</v>
          </cell>
        </row>
        <row r="2841">
          <cell r="A2841" t="str">
            <v>10106124-2003404LF</v>
          </cell>
          <cell r="B2841" t="str">
            <v>10106124-2003404LF Connector,PB+RH</v>
          </cell>
          <cell r="C2841">
            <v>3.3E-3</v>
          </cell>
          <cell r="D2841">
            <v>1803.030303030303</v>
          </cell>
          <cell r="E2841">
            <v>5409.090909090909</v>
          </cell>
          <cell r="F2841">
            <v>2.9000000000000001E-2</v>
          </cell>
        </row>
        <row r="2842">
          <cell r="A2842" t="str">
            <v>10106124-2004001LF</v>
          </cell>
          <cell r="B2842" t="str">
            <v>10106124-2004001LF Connector,PB+RH</v>
          </cell>
          <cell r="C2842">
            <v>3.3E-3</v>
          </cell>
          <cell r="D2842">
            <v>1803.030303030303</v>
          </cell>
          <cell r="E2842">
            <v>5409.090909090909</v>
          </cell>
          <cell r="F2842">
            <v>2.8000000000000001E-2</v>
          </cell>
        </row>
        <row r="2843">
          <cell r="A2843" t="str">
            <v>10106124-2005001LF</v>
          </cell>
          <cell r="B2843" t="str">
            <v>10106124-2005001LF PwrBlade+ RAH STB</v>
          </cell>
          <cell r="C2843">
            <v>3.3E-3</v>
          </cell>
          <cell r="D2843">
            <v>1803.030303030303</v>
          </cell>
          <cell r="E2843">
            <v>5409.090909090909</v>
          </cell>
          <cell r="F2843">
            <v>4.1000000000000002E-2</v>
          </cell>
        </row>
        <row r="2844">
          <cell r="A2844" t="str">
            <v>10106124-2006001LF</v>
          </cell>
          <cell r="B2844" t="str">
            <v>10106124-2006001LF Connector,PB+RH</v>
          </cell>
          <cell r="C2844">
            <v>3.3E-3</v>
          </cell>
          <cell r="D2844">
            <v>1803.030303030303</v>
          </cell>
          <cell r="E2844">
            <v>5409.090909090909</v>
          </cell>
          <cell r="F2844">
            <v>2.8000000000000001E-2</v>
          </cell>
        </row>
        <row r="2845">
          <cell r="A2845" t="str">
            <v>10106124-2202001LF</v>
          </cell>
          <cell r="B2845" t="str">
            <v>10106124-2202001LF PwrBlade+ RAH STB</v>
          </cell>
          <cell r="C2845">
            <v>3.3999999999999998E-3</v>
          </cell>
          <cell r="D2845">
            <v>1750.0000000000002</v>
          </cell>
          <cell r="E2845">
            <v>5250.0000000000009</v>
          </cell>
          <cell r="F2845">
            <v>3.3418181999999998E-2</v>
          </cell>
        </row>
        <row r="2846">
          <cell r="A2846" t="str">
            <v>10106124-3000002LF</v>
          </cell>
          <cell r="B2846" t="str">
            <v>10106124-3000002LF Connector,PB+RH</v>
          </cell>
          <cell r="C2846">
            <v>6.1000000000000004E-3</v>
          </cell>
          <cell r="D2846">
            <v>975.4098360655737</v>
          </cell>
          <cell r="E2846">
            <v>2926.2295081967213</v>
          </cell>
          <cell r="F2846">
            <v>0.03</v>
          </cell>
        </row>
        <row r="2847">
          <cell r="A2847" t="str">
            <v>10106124-4000001LF</v>
          </cell>
          <cell r="B2847" t="str">
            <v>10106124-4000001LF PwrBlade+ RAH STB</v>
          </cell>
          <cell r="C2847">
            <v>6.1000000000000004E-3</v>
          </cell>
          <cell r="D2847">
            <v>975.4098360655737</v>
          </cell>
          <cell r="E2847">
            <v>2926.2295081967213</v>
          </cell>
          <cell r="F2847">
            <v>3.1E-2</v>
          </cell>
        </row>
        <row r="2848">
          <cell r="A2848" t="str">
            <v>10106124-4000002LF</v>
          </cell>
          <cell r="B2848" t="str">
            <v>10106124-4000002LF Connector,PB+RH</v>
          </cell>
          <cell r="C2848">
            <v>6.1000000000000004E-3</v>
          </cell>
          <cell r="D2848">
            <v>975.4098360655737</v>
          </cell>
          <cell r="E2848">
            <v>2926.2295081967213</v>
          </cell>
          <cell r="F2848">
            <v>3.2000000000000001E-2</v>
          </cell>
        </row>
        <row r="2849">
          <cell r="A2849" t="str">
            <v>10106124-4001001LF</v>
          </cell>
          <cell r="B2849" t="str">
            <v>10106124-4001001LF PwrBlade+ RAH STB</v>
          </cell>
          <cell r="C2849">
            <v>3.3E-3</v>
          </cell>
          <cell r="D2849">
            <v>1803.030303030303</v>
          </cell>
          <cell r="E2849">
            <v>5409.090909090909</v>
          </cell>
          <cell r="F2849">
            <v>3.5000000000000003E-2</v>
          </cell>
        </row>
        <row r="2850">
          <cell r="A2850" t="str">
            <v>10106124-4001002LF</v>
          </cell>
          <cell r="B2850" t="str">
            <v>10106124-4001002LF PwrBlade+ RAH STB</v>
          </cell>
          <cell r="C2850">
            <v>3.3E-3</v>
          </cell>
          <cell r="D2850">
            <v>1803.030303030303</v>
          </cell>
          <cell r="E2850">
            <v>5409.090909090909</v>
          </cell>
          <cell r="F2850">
            <v>3.2000000000000001E-2</v>
          </cell>
        </row>
        <row r="2851">
          <cell r="A2851" t="str">
            <v>10106124-4002001LF</v>
          </cell>
          <cell r="B2851" t="str">
            <v>10106124-4002001LF Connector,PB+RH</v>
          </cell>
          <cell r="C2851">
            <v>3.3E-3</v>
          </cell>
          <cell r="D2851">
            <v>1803.030303030303</v>
          </cell>
          <cell r="E2851">
            <v>5409.090909090909</v>
          </cell>
          <cell r="F2851">
            <v>4.5999999999999999E-2</v>
          </cell>
        </row>
        <row r="2852">
          <cell r="A2852" t="str">
            <v>10106124-4002401LF</v>
          </cell>
          <cell r="B2852" t="str">
            <v>10106124-4002401LF Connector,PB+RH</v>
          </cell>
          <cell r="C2852">
            <v>3.3E-3</v>
          </cell>
          <cell r="D2852">
            <v>1803.030303030303</v>
          </cell>
          <cell r="E2852">
            <v>5409.090909090909</v>
          </cell>
          <cell r="F2852">
            <v>3.1E-2</v>
          </cell>
        </row>
        <row r="2853">
          <cell r="A2853" t="str">
            <v>10106124-4003K01LF</v>
          </cell>
          <cell r="B2853" t="str">
            <v>10106124-4003K01LF Connector,PB+RH</v>
          </cell>
          <cell r="C2853">
            <v>3.3E-3</v>
          </cell>
          <cell r="D2853">
            <v>1803.030303030303</v>
          </cell>
          <cell r="E2853">
            <v>5409.090909090909</v>
          </cell>
          <cell r="F2853">
            <v>3.2000000000000001E-2</v>
          </cell>
        </row>
        <row r="2854">
          <cell r="A2854" t="str">
            <v>10106124-4004002LF</v>
          </cell>
          <cell r="B2854" t="str">
            <v>10106124-4004002LF Connector,PB+RH</v>
          </cell>
          <cell r="C2854">
            <v>3.3E-3</v>
          </cell>
          <cell r="D2854">
            <v>1803.030303030303</v>
          </cell>
          <cell r="E2854">
            <v>5409.090909090909</v>
          </cell>
          <cell r="F2854">
            <v>4.4999999999999998E-2</v>
          </cell>
        </row>
        <row r="2855">
          <cell r="A2855" t="str">
            <v>10106124-4004006LF</v>
          </cell>
          <cell r="B2855" t="str">
            <v>10106124-4004006LF Connector,PB+RH</v>
          </cell>
          <cell r="C2855">
            <v>3.3E-3</v>
          </cell>
          <cell r="D2855">
            <v>1803.030303030303</v>
          </cell>
          <cell r="E2855">
            <v>5409.090909090909</v>
          </cell>
          <cell r="F2855">
            <v>3.5999999999999997E-2</v>
          </cell>
        </row>
        <row r="2856">
          <cell r="A2856" t="str">
            <v>10106124-4004K02LF</v>
          </cell>
          <cell r="B2856" t="str">
            <v>10106124-4004K02LF Connector,PB+RH</v>
          </cell>
          <cell r="C2856">
            <v>4.0000000000000001E-3</v>
          </cell>
          <cell r="D2856">
            <v>1487.5</v>
          </cell>
          <cell r="E2856">
            <v>4462.5</v>
          </cell>
          <cell r="F2856">
            <v>3.7999999999999999E-2</v>
          </cell>
        </row>
        <row r="2857">
          <cell r="A2857" t="str">
            <v>10106124-4006001LF</v>
          </cell>
          <cell r="B2857" t="str">
            <v>10106124-4006001LF Connector,PB+RH</v>
          </cell>
          <cell r="C2857">
            <v>3.0000000000000001E-3</v>
          </cell>
          <cell r="D2857">
            <v>1983.3333333333333</v>
          </cell>
          <cell r="E2857">
            <v>5950</v>
          </cell>
          <cell r="F2857">
            <v>0.04</v>
          </cell>
        </row>
        <row r="2858">
          <cell r="A2858" t="str">
            <v>10106124-4006002LF</v>
          </cell>
          <cell r="B2858" t="str">
            <v>10106124-4006002LF PwrBlade+ RAH</v>
          </cell>
          <cell r="C2858">
            <v>3.3E-3</v>
          </cell>
          <cell r="D2858">
            <v>1803.030303030303</v>
          </cell>
          <cell r="E2858">
            <v>5409.090909090909</v>
          </cell>
          <cell r="F2858">
            <v>2.2800000000000001E-2</v>
          </cell>
        </row>
        <row r="2859">
          <cell r="A2859" t="str">
            <v>10106124-4006007LF</v>
          </cell>
          <cell r="B2859" t="str">
            <v>10106124-4006007LF Connector,PB+RH</v>
          </cell>
          <cell r="C2859">
            <v>3.3E-3</v>
          </cell>
          <cell r="D2859">
            <v>1803.030303030303</v>
          </cell>
          <cell r="E2859">
            <v>5409.090909090909</v>
          </cell>
          <cell r="F2859">
            <v>3.4000000000000002E-2</v>
          </cell>
        </row>
        <row r="2860">
          <cell r="A2860" t="str">
            <v>10106124-4006008LF</v>
          </cell>
          <cell r="B2860" t="str">
            <v>10106124-4006008LF Connector,PB+RH</v>
          </cell>
          <cell r="C2860">
            <v>3.3E-3</v>
          </cell>
          <cell r="D2860">
            <v>1803.030303030303</v>
          </cell>
          <cell r="E2860">
            <v>5409.090909090909</v>
          </cell>
          <cell r="F2860">
            <v>3.7999999999999999E-2</v>
          </cell>
        </row>
        <row r="2861">
          <cell r="A2861" t="str">
            <v>10106124-4006009LF</v>
          </cell>
          <cell r="B2861" t="str">
            <v>10106124-4006009LF PwrBlade+ RAH STB</v>
          </cell>
          <cell r="C2861">
            <v>3.3E-3</v>
          </cell>
          <cell r="D2861">
            <v>1803.030303030303</v>
          </cell>
          <cell r="E2861">
            <v>5409.090909090909</v>
          </cell>
          <cell r="F2861">
            <v>3.3000000000000002E-2</v>
          </cell>
        </row>
        <row r="2862">
          <cell r="A2862" t="str">
            <v>10106124-4006010LF</v>
          </cell>
          <cell r="B2862" t="str">
            <v>10106124-4006010LF Connector,PB+RH</v>
          </cell>
          <cell r="C2862">
            <v>3.3E-3</v>
          </cell>
          <cell r="D2862">
            <v>1803.030303030303</v>
          </cell>
          <cell r="E2862">
            <v>5409.090909090909</v>
          </cell>
          <cell r="F2862">
            <v>2.7400000000000001E-2</v>
          </cell>
        </row>
        <row r="2863">
          <cell r="A2863" t="str">
            <v>10106124-4006012LF</v>
          </cell>
          <cell r="B2863" t="str">
            <v>10106124-4006012LF PwrBlade+ RAH STB</v>
          </cell>
          <cell r="C2863">
            <v>3.3E-3</v>
          </cell>
          <cell r="D2863">
            <v>1803.030303030303</v>
          </cell>
          <cell r="E2863">
            <v>5409.090909090909</v>
          </cell>
          <cell r="F2863">
            <v>4.1000000000000002E-2</v>
          </cell>
        </row>
        <row r="2864">
          <cell r="A2864" t="str">
            <v>10106124-4006013LF</v>
          </cell>
          <cell r="B2864" t="str">
            <v>10106124-4006013LF PwrBlade+ RAH STB</v>
          </cell>
          <cell r="C2864">
            <v>3.3E-3</v>
          </cell>
          <cell r="D2864">
            <v>1803.030303030303</v>
          </cell>
          <cell r="E2864">
            <v>5409.090909090909</v>
          </cell>
          <cell r="F2864">
            <v>3.5000000000000003E-2</v>
          </cell>
        </row>
        <row r="2865">
          <cell r="A2865" t="str">
            <v>10106124-4006015LF</v>
          </cell>
          <cell r="B2865" t="str">
            <v>10106124-4006015LF Connector,PB+RH</v>
          </cell>
          <cell r="C2865">
            <v>3.3E-3</v>
          </cell>
          <cell r="D2865">
            <v>1803.030303030303</v>
          </cell>
          <cell r="E2865">
            <v>5409.090909090909</v>
          </cell>
          <cell r="F2865">
            <v>3.7999999999999999E-2</v>
          </cell>
        </row>
        <row r="2866">
          <cell r="A2866" t="str">
            <v>10106124-4006016LF</v>
          </cell>
          <cell r="B2866" t="str">
            <v>10106124-4006016LF Connector,PB+RH</v>
          </cell>
          <cell r="C2866">
            <v>6.1000000000000004E-3</v>
          </cell>
          <cell r="D2866">
            <v>975.4098360655737</v>
          </cell>
          <cell r="E2866">
            <v>2926.2295081967213</v>
          </cell>
          <cell r="F2866">
            <v>4.2000000000000003E-2</v>
          </cell>
        </row>
        <row r="2867">
          <cell r="A2867" t="str">
            <v>10106124-4006K01LF</v>
          </cell>
          <cell r="B2867" t="str">
            <v>10106124-4006K01LF Connector,PB+RH</v>
          </cell>
          <cell r="C2867">
            <v>3.0000000000000001E-3</v>
          </cell>
          <cell r="D2867">
            <v>1983.3333333333333</v>
          </cell>
          <cell r="E2867">
            <v>5950</v>
          </cell>
          <cell r="F2867">
            <v>2.7E-2</v>
          </cell>
        </row>
        <row r="2868">
          <cell r="A2868" t="str">
            <v>10106124-4006K02LF</v>
          </cell>
          <cell r="B2868" t="str">
            <v>10106124-4006K02LF Connector,PB+RH</v>
          </cell>
          <cell r="C2868">
            <v>3.3E-3</v>
          </cell>
          <cell r="D2868">
            <v>1803.030303030303</v>
          </cell>
          <cell r="E2868">
            <v>5409.090909090909</v>
          </cell>
          <cell r="F2868">
            <v>2.8000000000000001E-2</v>
          </cell>
        </row>
        <row r="2869">
          <cell r="A2869" t="str">
            <v>10106124-4008001LF</v>
          </cell>
          <cell r="B2869" t="str">
            <v>10106124-4008001LF Connector,PB+RH</v>
          </cell>
          <cell r="C2869">
            <v>3.3E-3</v>
          </cell>
          <cell r="D2869">
            <v>1803.030303030303</v>
          </cell>
          <cell r="E2869">
            <v>5409.090909090909</v>
          </cell>
          <cell r="F2869">
            <v>3.7999999999999999E-2</v>
          </cell>
        </row>
        <row r="2870">
          <cell r="A2870" t="str">
            <v>10106124-4009K01LF</v>
          </cell>
          <cell r="B2870" t="str">
            <v>10106124-4009K01LF Connector,PB+RH</v>
          </cell>
          <cell r="C2870">
            <v>3.3E-3</v>
          </cell>
          <cell r="D2870">
            <v>1803.030303030303</v>
          </cell>
          <cell r="E2870">
            <v>5409.090909090909</v>
          </cell>
          <cell r="F2870">
            <v>4.2000000000000003E-2</v>
          </cell>
        </row>
        <row r="2871">
          <cell r="A2871" t="str">
            <v>10106124-4017002LF</v>
          </cell>
          <cell r="B2871" t="str">
            <v>10106124-4017002LF Connector,PB+RH</v>
          </cell>
          <cell r="C2871">
            <v>6.7000000000000002E-3</v>
          </cell>
          <cell r="D2871">
            <v>888.05970149253733</v>
          </cell>
          <cell r="E2871">
            <v>2664.1791044776119</v>
          </cell>
          <cell r="F2871">
            <v>0.05</v>
          </cell>
        </row>
        <row r="2872">
          <cell r="A2872" t="str">
            <v>10106124-4403001LF</v>
          </cell>
          <cell r="B2872" t="str">
            <v>10106124-4403001LF PwrBlade+ RAH STB</v>
          </cell>
          <cell r="C2872">
            <v>3.0000000000000001E-3</v>
          </cell>
          <cell r="D2872">
            <v>1983.3333333333333</v>
          </cell>
          <cell r="E2872">
            <v>5950</v>
          </cell>
          <cell r="F2872">
            <v>4.4999999999999998E-2</v>
          </cell>
        </row>
        <row r="2873">
          <cell r="A2873" t="str">
            <v>10106124-5002K01LF</v>
          </cell>
          <cell r="B2873" t="str">
            <v>10106124-5002K01LF Connector,PB+RH</v>
          </cell>
          <cell r="C2873">
            <v>3.0000000000000001E-3</v>
          </cell>
          <cell r="D2873">
            <v>1983.3333333333333</v>
          </cell>
          <cell r="E2873">
            <v>5950</v>
          </cell>
          <cell r="F2873">
            <v>2.7E-2</v>
          </cell>
        </row>
        <row r="2874">
          <cell r="A2874" t="str">
            <v>10106124-5003001LF</v>
          </cell>
          <cell r="B2874" t="str">
            <v>10106124-5003001LF Connector,PB+RH</v>
          </cell>
          <cell r="C2874">
            <v>3.3E-3</v>
          </cell>
          <cell r="D2874">
            <v>1803.030303030303</v>
          </cell>
          <cell r="E2874">
            <v>5409.090909090909</v>
          </cell>
          <cell r="F2874">
            <v>3.2000000000000001E-2</v>
          </cell>
        </row>
        <row r="2875">
          <cell r="A2875" t="str">
            <v>10106124-5004001LF</v>
          </cell>
          <cell r="B2875" t="str">
            <v>10106124-5004001LF Connector,PB+RH</v>
          </cell>
          <cell r="C2875">
            <v>3.3E-3</v>
          </cell>
          <cell r="D2875">
            <v>1803.030303030303</v>
          </cell>
          <cell r="E2875">
            <v>5409.090909090909</v>
          </cell>
          <cell r="F2875">
            <v>3.6999999999999998E-2</v>
          </cell>
        </row>
        <row r="2876">
          <cell r="A2876" t="str">
            <v>10106124-5004101LF</v>
          </cell>
          <cell r="B2876" t="str">
            <v>10106124-5004101LF Connector,PB+RH</v>
          </cell>
          <cell r="C2876">
            <v>3.3E-3</v>
          </cell>
          <cell r="D2876">
            <v>1803.030303030303</v>
          </cell>
          <cell r="E2876">
            <v>5409.090909090909</v>
          </cell>
          <cell r="F2876">
            <v>3.6999999999999998E-2</v>
          </cell>
        </row>
        <row r="2877">
          <cell r="A2877" t="str">
            <v>10106124-5005001LF</v>
          </cell>
          <cell r="B2877" t="str">
            <v>10106124-5005001LF Connector,PB+RH</v>
          </cell>
          <cell r="C2877">
            <v>3.0000000000000001E-3</v>
          </cell>
          <cell r="D2877">
            <v>1983.3333333333333</v>
          </cell>
          <cell r="E2877">
            <v>5950</v>
          </cell>
          <cell r="F2877">
            <v>3.1E-2</v>
          </cell>
        </row>
        <row r="2878">
          <cell r="A2878" t="str">
            <v>10106124-5005101LF</v>
          </cell>
          <cell r="B2878" t="str">
            <v>10106124-5005101LF Connector,PB+RH</v>
          </cell>
          <cell r="C2878">
            <v>3.3E-3</v>
          </cell>
          <cell r="D2878">
            <v>1803.030303030303</v>
          </cell>
          <cell r="E2878">
            <v>5409.090909090909</v>
          </cell>
          <cell r="F2878">
            <v>4.8000000000000001E-2</v>
          </cell>
        </row>
        <row r="2879">
          <cell r="A2879" t="str">
            <v>10106124-6000004LF</v>
          </cell>
          <cell r="B2879" t="str">
            <v>10106124-6000004LF PwrBlade+ RAH STB</v>
          </cell>
          <cell r="C2879">
            <v>6.1000000000000004E-3</v>
          </cell>
          <cell r="D2879">
            <v>975.4098360655737</v>
          </cell>
          <cell r="E2879">
            <v>2926.2295081967213</v>
          </cell>
          <cell r="F2879">
            <v>3.2300000000000002E-2</v>
          </cell>
        </row>
        <row r="2880">
          <cell r="A2880" t="str">
            <v>10106124-6000A02LF</v>
          </cell>
          <cell r="B2880" t="str">
            <v>10106124-6000A02LF Connector,PB+RH</v>
          </cell>
          <cell r="C2880">
            <v>6.1000000000000004E-3</v>
          </cell>
          <cell r="D2880">
            <v>975.4098360655737</v>
          </cell>
          <cell r="E2880">
            <v>2926.2295081967213</v>
          </cell>
          <cell r="F2880">
            <v>2.5000000000000001E-2</v>
          </cell>
        </row>
        <row r="2881">
          <cell r="A2881" t="str">
            <v>10106124-6004001LF</v>
          </cell>
          <cell r="B2881" t="str">
            <v>10106124-6004001LF Connector,PB+RH</v>
          </cell>
          <cell r="C2881">
            <v>2E-3</v>
          </cell>
          <cell r="D2881">
            <v>2975</v>
          </cell>
          <cell r="E2881">
            <v>8925</v>
          </cell>
          <cell r="F2881">
            <v>3.0300000000000001E-2</v>
          </cell>
        </row>
        <row r="2882">
          <cell r="A2882" t="str">
            <v>10106124-6004002LF</v>
          </cell>
          <cell r="B2882" t="str">
            <v>10106124-6004002LF Connector,PB+RH</v>
          </cell>
          <cell r="C2882">
            <v>3.3E-3</v>
          </cell>
          <cell r="D2882">
            <v>1803.030303030303</v>
          </cell>
          <cell r="E2882">
            <v>5409.090909090909</v>
          </cell>
          <cell r="F2882">
            <v>4.9000000000000002E-2</v>
          </cell>
        </row>
        <row r="2883">
          <cell r="A2883" t="str">
            <v>10106124-6004K02LF</v>
          </cell>
          <cell r="B2883" t="str">
            <v>10106124-6004K02LF Connector,PB+RH</v>
          </cell>
          <cell r="C2883">
            <v>4.0000000000000001E-3</v>
          </cell>
          <cell r="D2883">
            <v>1487.5</v>
          </cell>
          <cell r="E2883">
            <v>4462.5</v>
          </cell>
          <cell r="F2883">
            <v>3.7999999999999999E-2</v>
          </cell>
        </row>
        <row r="2884">
          <cell r="A2884" t="str">
            <v>10106124-6005003LF</v>
          </cell>
          <cell r="B2884" t="str">
            <v>10106124-6005003LF Connector,PB+RH</v>
          </cell>
          <cell r="C2884">
            <v>3.3E-3</v>
          </cell>
          <cell r="D2884">
            <v>1803.030303030303</v>
          </cell>
          <cell r="E2884">
            <v>5409.090909090909</v>
          </cell>
          <cell r="F2884">
            <v>3.2000000000000001E-2</v>
          </cell>
        </row>
        <row r="2885">
          <cell r="A2885" t="str">
            <v>10106124-6005A01LF</v>
          </cell>
          <cell r="B2885" t="str">
            <v>10106124-6005A01LF Connector,PB+RH</v>
          </cell>
          <cell r="C2885">
            <v>3.3E-3</v>
          </cell>
          <cell r="D2885">
            <v>1803.030303030303</v>
          </cell>
          <cell r="E2885">
            <v>5409.090909090909</v>
          </cell>
          <cell r="F2885">
            <v>3.5000000000000003E-2</v>
          </cell>
        </row>
        <row r="2886">
          <cell r="A2886" t="str">
            <v>10106124-6006001LF</v>
          </cell>
          <cell r="B2886" t="str">
            <v>10106124-6006001LF Connector,PB+RH</v>
          </cell>
          <cell r="C2886">
            <v>2E-3</v>
          </cell>
          <cell r="D2886">
            <v>2975</v>
          </cell>
          <cell r="E2886">
            <v>8925</v>
          </cell>
          <cell r="F2886">
            <v>3.5999999999999997E-2</v>
          </cell>
        </row>
        <row r="2887">
          <cell r="A2887" t="str">
            <v>10106124-6006008LF</v>
          </cell>
          <cell r="B2887" t="str">
            <v>10106124-6006008LF Connector,PB+RH</v>
          </cell>
          <cell r="C2887">
            <v>3.3E-3</v>
          </cell>
          <cell r="D2887">
            <v>1803.030303030303</v>
          </cell>
          <cell r="E2887">
            <v>5409.090909090909</v>
          </cell>
          <cell r="F2887">
            <v>5.0999999999999997E-2</v>
          </cell>
        </row>
        <row r="2888">
          <cell r="A2888" t="str">
            <v>10106124-6006009LF</v>
          </cell>
          <cell r="B2888" t="str">
            <v>10106124-6006009LF Connector,PB+RH</v>
          </cell>
          <cell r="C2888">
            <v>3.3E-3</v>
          </cell>
          <cell r="D2888">
            <v>1803.030303030303</v>
          </cell>
          <cell r="E2888">
            <v>5409.090909090909</v>
          </cell>
          <cell r="F2888">
            <v>3.2000000000000001E-2</v>
          </cell>
        </row>
        <row r="2889">
          <cell r="A2889" t="str">
            <v>10106124-6006010LF</v>
          </cell>
          <cell r="B2889" t="str">
            <v>10106124-6006010LF Connector,PB+RH</v>
          </cell>
          <cell r="C2889">
            <v>3.3E-3</v>
          </cell>
          <cell r="D2889">
            <v>1803.030303030303</v>
          </cell>
          <cell r="E2889">
            <v>5409.090909090909</v>
          </cell>
          <cell r="F2889">
            <v>3.7999999999999999E-2</v>
          </cell>
        </row>
        <row r="2890">
          <cell r="A2890" t="str">
            <v>10106124-6006011LF</v>
          </cell>
          <cell r="B2890" t="str">
            <v>10106124-6006011LF Connector,PB+RH</v>
          </cell>
          <cell r="C2890">
            <v>1.0999999999999999E-2</v>
          </cell>
          <cell r="D2890">
            <v>540.90909090909099</v>
          </cell>
          <cell r="E2890">
            <v>1622.727272727273</v>
          </cell>
          <cell r="F2890">
            <v>2.9000000000000001E-2</v>
          </cell>
        </row>
        <row r="2891">
          <cell r="A2891" t="str">
            <v>10106124-6007001LF</v>
          </cell>
          <cell r="B2891" t="str">
            <v>10106124-6007001LF Connector,PB+RH</v>
          </cell>
          <cell r="C2891">
            <v>3.3E-3</v>
          </cell>
          <cell r="D2891">
            <v>1803.030303030303</v>
          </cell>
          <cell r="E2891">
            <v>5409.090909090909</v>
          </cell>
          <cell r="F2891">
            <v>4.4999999999999998E-2</v>
          </cell>
        </row>
        <row r="2892">
          <cell r="A2892" t="str">
            <v>10106124-6007A02LF</v>
          </cell>
          <cell r="B2892" t="str">
            <v>10106124-6007A02LF Connector,PB+RH</v>
          </cell>
          <cell r="C2892">
            <v>3.3E-3</v>
          </cell>
          <cell r="D2892">
            <v>1803.030303030303</v>
          </cell>
          <cell r="E2892">
            <v>5409.090909090909</v>
          </cell>
          <cell r="F2892">
            <v>3.7999999999999999E-2</v>
          </cell>
        </row>
        <row r="2893">
          <cell r="A2893" t="str">
            <v>10106124-6008K01LF</v>
          </cell>
          <cell r="B2893" t="str">
            <v>10106124-6008K01LF Connector,PB+RH</v>
          </cell>
          <cell r="C2893">
            <v>4.0000000000000001E-3</v>
          </cell>
          <cell r="D2893">
            <v>1487.5</v>
          </cell>
          <cell r="E2893">
            <v>4462.5</v>
          </cell>
          <cell r="F2893">
            <v>3.7999999999999999E-2</v>
          </cell>
        </row>
        <row r="2894">
          <cell r="A2894" t="str">
            <v>10106124-7000A01LF</v>
          </cell>
          <cell r="B2894" t="str">
            <v>10106124-7000A01LF Connector,PB+RH</v>
          </cell>
          <cell r="C2894">
            <v>3.3E-3</v>
          </cell>
          <cell r="D2894">
            <v>1803.030303030303</v>
          </cell>
          <cell r="E2894">
            <v>5409.090909090909</v>
          </cell>
          <cell r="F2894">
            <v>2.5000000000000001E-2</v>
          </cell>
        </row>
        <row r="2895">
          <cell r="A2895" t="str">
            <v>10106124-7005001LF</v>
          </cell>
          <cell r="B2895" t="str">
            <v>10106124-7005001LF Connector,PB+RH</v>
          </cell>
          <cell r="C2895">
            <v>3.0000000000000001E-3</v>
          </cell>
          <cell r="D2895">
            <v>1983.3333333333333</v>
          </cell>
          <cell r="E2895">
            <v>5950</v>
          </cell>
          <cell r="F2895">
            <v>3.9E-2</v>
          </cell>
        </row>
        <row r="2896">
          <cell r="A2896" t="str">
            <v>10106124-7006001LF</v>
          </cell>
          <cell r="B2896" t="str">
            <v>10106124-7006001LF Connector,PB+RH</v>
          </cell>
          <cell r="C2896">
            <v>3.3E-3</v>
          </cell>
          <cell r="D2896">
            <v>1803.030303030303</v>
          </cell>
          <cell r="E2896">
            <v>5409.090909090909</v>
          </cell>
          <cell r="F2896">
            <v>4.8000000000000001E-2</v>
          </cell>
        </row>
        <row r="2897">
          <cell r="A2897" t="str">
            <v>10106124-7007001LF</v>
          </cell>
          <cell r="B2897" t="str">
            <v>10106124-7007001LF PwrBlade+ RAH STB</v>
          </cell>
          <cell r="C2897">
            <v>3.3E-3</v>
          </cell>
          <cell r="D2897">
            <v>1803.030303030303</v>
          </cell>
          <cell r="E2897">
            <v>5409.090909090909</v>
          </cell>
          <cell r="F2897">
            <v>5.9685000000000002E-2</v>
          </cell>
        </row>
        <row r="2898">
          <cell r="A2898" t="str">
            <v>10106124-8000001LF</v>
          </cell>
          <cell r="B2898" t="str">
            <v>10106124-8000001LF Connector,PB+RH</v>
          </cell>
          <cell r="C2898">
            <v>6.1000000000000004E-3</v>
          </cell>
          <cell r="D2898">
            <v>975.4098360655737</v>
          </cell>
          <cell r="E2898">
            <v>2926.2295081967213</v>
          </cell>
          <cell r="F2898">
            <v>2.8000000000000001E-2</v>
          </cell>
        </row>
        <row r="2899">
          <cell r="A2899" t="str">
            <v>10106124-8000403LF</v>
          </cell>
          <cell r="B2899" t="str">
            <v>10106124-8000403LF Connector,PB+RH</v>
          </cell>
          <cell r="C2899">
            <v>6.1000000000000004E-3</v>
          </cell>
          <cell r="D2899">
            <v>975.4098360655737</v>
          </cell>
          <cell r="E2899">
            <v>2926.2295081967213</v>
          </cell>
          <cell r="F2899">
            <v>2.7E-2</v>
          </cell>
        </row>
        <row r="2900">
          <cell r="A2900" t="str">
            <v>10106124-8000K01LF</v>
          </cell>
          <cell r="B2900" t="str">
            <v>10106124-8000K01LF Connector,PB+RH</v>
          </cell>
          <cell r="C2900">
            <v>4.0000000000000001E-3</v>
          </cell>
          <cell r="D2900">
            <v>1487.5</v>
          </cell>
          <cell r="E2900">
            <v>4462.5</v>
          </cell>
          <cell r="F2900">
            <v>2.8000000000000001E-2</v>
          </cell>
        </row>
        <row r="2901">
          <cell r="A2901" t="str">
            <v>10106124-8002001LF</v>
          </cell>
          <cell r="B2901" t="str">
            <v>10106124-8002001LF Connector,PB+RH</v>
          </cell>
          <cell r="C2901">
            <v>3.3E-3</v>
          </cell>
          <cell r="D2901">
            <v>1803.030303030303</v>
          </cell>
          <cell r="E2901">
            <v>5409.090909090909</v>
          </cell>
          <cell r="F2901">
            <v>4.3999999999999997E-2</v>
          </cell>
        </row>
        <row r="2902">
          <cell r="A2902" t="str">
            <v>10106124-8004001LF</v>
          </cell>
          <cell r="B2902" t="str">
            <v>10106124-8004001LF Connector,PB+RH</v>
          </cell>
          <cell r="C2902">
            <v>3.0000000000000001E-3</v>
          </cell>
          <cell r="D2902">
            <v>1983.3333333333333</v>
          </cell>
          <cell r="E2902">
            <v>5950</v>
          </cell>
          <cell r="F2902">
            <v>0.05</v>
          </cell>
        </row>
        <row r="2903">
          <cell r="A2903" t="str">
            <v>10106124-8004002LF</v>
          </cell>
          <cell r="B2903" t="str">
            <v>10106124-8004002LF Connector,PB+RH</v>
          </cell>
          <cell r="C2903">
            <v>3.3E-3</v>
          </cell>
          <cell r="D2903">
            <v>1803.030303030303</v>
          </cell>
          <cell r="E2903">
            <v>5409.090909090909</v>
          </cell>
          <cell r="F2903">
            <v>4.4999999999999998E-2</v>
          </cell>
        </row>
        <row r="2904">
          <cell r="A2904" t="str">
            <v>10106124-8004004LF</v>
          </cell>
          <cell r="B2904" t="str">
            <v>10106124-8004004LF Connector,PB+RH</v>
          </cell>
          <cell r="C2904">
            <v>3.3E-3</v>
          </cell>
          <cell r="D2904">
            <v>1803.030303030303</v>
          </cell>
          <cell r="E2904">
            <v>5409.090909090909</v>
          </cell>
          <cell r="F2904">
            <v>4.2000000000000003E-2</v>
          </cell>
        </row>
        <row r="2905">
          <cell r="A2905" t="str">
            <v>10106124-8004005LF</v>
          </cell>
          <cell r="B2905" t="str">
            <v>10106124-8004005LF Connector,PB+RH</v>
          </cell>
          <cell r="C2905">
            <v>3.3E-3</v>
          </cell>
          <cell r="D2905">
            <v>1803.030303030303</v>
          </cell>
          <cell r="E2905">
            <v>5409.090909090909</v>
          </cell>
          <cell r="F2905">
            <v>3.7999999999999999E-2</v>
          </cell>
        </row>
        <row r="2906">
          <cell r="A2906" t="str">
            <v>10106124-8004A01LF</v>
          </cell>
          <cell r="B2906" t="str">
            <v>10106124-8004A01LF Connector,PB+RH</v>
          </cell>
          <cell r="C2906">
            <v>3.3E-3</v>
          </cell>
          <cell r="D2906">
            <v>1803.030303030303</v>
          </cell>
          <cell r="E2906">
            <v>5409.090909090909</v>
          </cell>
          <cell r="F2906">
            <v>4.7E-2</v>
          </cell>
        </row>
        <row r="2907">
          <cell r="A2907" t="str">
            <v>10106124-8005001LF</v>
          </cell>
          <cell r="B2907" t="str">
            <v>10106124-8005001LF Connector,PB+RH</v>
          </cell>
          <cell r="C2907">
            <v>3.0000000000000001E-3</v>
          </cell>
          <cell r="D2907">
            <v>1983.3333333333333</v>
          </cell>
          <cell r="E2907">
            <v>5950</v>
          </cell>
          <cell r="F2907">
            <v>4.4999999999999998E-2</v>
          </cell>
        </row>
        <row r="2908">
          <cell r="A2908" t="str">
            <v>10106124-8005K01LF</v>
          </cell>
          <cell r="B2908" t="str">
            <v>10106124-8005K01LF Connector,PB+RH</v>
          </cell>
          <cell r="C2908">
            <v>3.0000000000000001E-3</v>
          </cell>
          <cell r="D2908">
            <v>1983.3333333333333</v>
          </cell>
          <cell r="E2908">
            <v>5950</v>
          </cell>
          <cell r="F2908">
            <v>1.7999999999999999E-2</v>
          </cell>
        </row>
        <row r="2909">
          <cell r="A2909" t="str">
            <v>10106124-8006002LF</v>
          </cell>
          <cell r="B2909" t="str">
            <v>10106124-8006002LF Connector,PB+RH</v>
          </cell>
          <cell r="C2909">
            <v>3.3E-3</v>
          </cell>
          <cell r="D2909">
            <v>1803.030303030303</v>
          </cell>
          <cell r="E2909">
            <v>5409.090909090909</v>
          </cell>
          <cell r="F2909">
            <v>4.9000000000000002E-2</v>
          </cell>
        </row>
        <row r="2910">
          <cell r="A2910" t="str">
            <v>10106124-8006003LF</v>
          </cell>
          <cell r="B2910" t="str">
            <v>10106124-8006003LF Connector,PB+RH</v>
          </cell>
          <cell r="C2910">
            <v>3.3E-3</v>
          </cell>
          <cell r="D2910">
            <v>1803.030303030303</v>
          </cell>
          <cell r="E2910">
            <v>5409.090909090909</v>
          </cell>
          <cell r="F2910">
            <v>4.4999999999999998E-2</v>
          </cell>
        </row>
        <row r="2911">
          <cell r="A2911" t="str">
            <v>10106124-8006005LF</v>
          </cell>
          <cell r="B2911" t="str">
            <v>10106124-8006005LF Connector,PB+RH</v>
          </cell>
          <cell r="C2911">
            <v>3.3E-3</v>
          </cell>
          <cell r="D2911">
            <v>1803.030303030303</v>
          </cell>
          <cell r="E2911">
            <v>5409.090909090909</v>
          </cell>
          <cell r="F2911">
            <v>5.6000000000000001E-2</v>
          </cell>
        </row>
        <row r="2912">
          <cell r="A2912" t="str">
            <v>10106124-8006006LF</v>
          </cell>
          <cell r="B2912" t="str">
            <v>10106124-8006006LF Connector,PB+RH</v>
          </cell>
          <cell r="C2912">
            <v>3.3E-3</v>
          </cell>
          <cell r="D2912">
            <v>1803.030303030303</v>
          </cell>
          <cell r="E2912">
            <v>5409.090909090909</v>
          </cell>
          <cell r="F2912">
            <v>4.2000000000000003E-2</v>
          </cell>
        </row>
        <row r="2913">
          <cell r="A2913" t="str">
            <v>10106124-8006007LF</v>
          </cell>
          <cell r="B2913" t="str">
            <v>10106124-8006007LF Connector,PB+RH</v>
          </cell>
          <cell r="C2913">
            <v>3.3E-3</v>
          </cell>
          <cell r="D2913">
            <v>1803.030303030303</v>
          </cell>
          <cell r="E2913">
            <v>5409.090909090909</v>
          </cell>
          <cell r="F2913">
            <v>5.0999999999999997E-2</v>
          </cell>
        </row>
        <row r="2914">
          <cell r="A2914" t="str">
            <v>10106124-8007001LF</v>
          </cell>
          <cell r="B2914" t="str">
            <v>10106124-8007001LF Connector,PB+RH</v>
          </cell>
          <cell r="C2914">
            <v>3.3E-3</v>
          </cell>
          <cell r="D2914">
            <v>1803.030303030303</v>
          </cell>
          <cell r="E2914">
            <v>5409.090909090909</v>
          </cell>
          <cell r="F2914">
            <v>3.5000000000000003E-2</v>
          </cell>
        </row>
        <row r="2915">
          <cell r="A2915" t="str">
            <v>10106124-8008001LF</v>
          </cell>
          <cell r="B2915" t="str">
            <v>10106124-8008001LF PwrBlade+ RAH</v>
          </cell>
          <cell r="C2915">
            <v>3.3E-3</v>
          </cell>
          <cell r="D2915">
            <v>1803.030303030303</v>
          </cell>
          <cell r="E2915">
            <v>5409.090909090909</v>
          </cell>
          <cell r="F2915">
            <v>5.0999999999999997E-2</v>
          </cell>
        </row>
        <row r="2916">
          <cell r="A2916" t="str">
            <v>10106124-9000001LF</v>
          </cell>
          <cell r="B2916" t="str">
            <v>10106124-9000001LF Connector,PB+RH</v>
          </cell>
          <cell r="C2916">
            <v>6.1000000000000004E-3</v>
          </cell>
          <cell r="D2916">
            <v>975.4098360655737</v>
          </cell>
          <cell r="E2916">
            <v>2926.2295081967213</v>
          </cell>
          <cell r="F2916">
            <v>3.4000000000000002E-2</v>
          </cell>
        </row>
        <row r="2917">
          <cell r="A2917" t="str">
            <v>10106124-9000002LF</v>
          </cell>
          <cell r="B2917" t="str">
            <v>10106124-9000002LF PwrBlade+ RAH STB</v>
          </cell>
          <cell r="C2917">
            <v>3.3333E-3</v>
          </cell>
          <cell r="D2917">
            <v>1785.0178501785019</v>
          </cell>
          <cell r="E2917">
            <v>5355.0535505355056</v>
          </cell>
          <cell r="F2917">
            <v>1.9444400000000001E-2</v>
          </cell>
        </row>
        <row r="2918">
          <cell r="A2918" t="str">
            <v>10106124-9002001LF</v>
          </cell>
          <cell r="B2918" t="str">
            <v>10106124-9002001LF Connector,PB+RH</v>
          </cell>
          <cell r="C2918">
            <v>2.2000000000000001E-3</v>
          </cell>
          <cell r="D2918">
            <v>2704.5454545454545</v>
          </cell>
          <cell r="E2918">
            <v>8113.636363636364</v>
          </cell>
          <cell r="F2918">
            <v>3.5000000000000003E-2</v>
          </cell>
        </row>
        <row r="2919">
          <cell r="A2919" t="str">
            <v>10106124-9014001LF</v>
          </cell>
          <cell r="B2919" t="str">
            <v>10106124-9014001LF PwrBlade+ RAH STB</v>
          </cell>
          <cell r="C2919">
            <v>5.0000000000000001E-3</v>
          </cell>
          <cell r="D2919">
            <v>1190</v>
          </cell>
          <cell r="E2919">
            <v>3570</v>
          </cell>
          <cell r="F2919">
            <v>4.2000000000000003E-2</v>
          </cell>
        </row>
        <row r="2920">
          <cell r="A2920" t="str">
            <v>10106124-9014002LF</v>
          </cell>
          <cell r="B2920" t="str">
            <v>10106124-9014002LF PwrBlade+ RAH STB</v>
          </cell>
          <cell r="C2920">
            <v>7.0000000000000001E-3</v>
          </cell>
          <cell r="D2920">
            <v>850</v>
          </cell>
          <cell r="E2920">
            <v>2550</v>
          </cell>
          <cell r="F2920">
            <v>4.2000000000000003E-2</v>
          </cell>
        </row>
        <row r="2921">
          <cell r="A2921" t="str">
            <v>10106124-A000001LF</v>
          </cell>
          <cell r="B2921" t="str">
            <v>10106124-A000001LF Connector,PB+RH</v>
          </cell>
          <cell r="C2921">
            <v>6.1000000000000004E-3</v>
          </cell>
          <cell r="D2921">
            <v>975.4098360655737</v>
          </cell>
          <cell r="E2921">
            <v>2926.2295081967213</v>
          </cell>
          <cell r="F2921">
            <v>3.9E-2</v>
          </cell>
        </row>
        <row r="2922">
          <cell r="A2922" t="str">
            <v>10106124-A000501LF</v>
          </cell>
          <cell r="B2922" t="str">
            <v>10106124-A000501LF Connector,PB+RH</v>
          </cell>
          <cell r="C2922">
            <v>6.1000000000000004E-3</v>
          </cell>
          <cell r="D2922">
            <v>975.4098360655737</v>
          </cell>
          <cell r="E2922">
            <v>2926.2295081967213</v>
          </cell>
          <cell r="F2922">
            <v>1.9800000000000002E-2</v>
          </cell>
        </row>
        <row r="2923">
          <cell r="A2923" t="str">
            <v>10106124-A004001LF</v>
          </cell>
          <cell r="B2923" t="str">
            <v>10106124-A004001LF Connector,PB+RH</v>
          </cell>
          <cell r="C2923">
            <v>2E-3</v>
          </cell>
          <cell r="D2923">
            <v>2975</v>
          </cell>
          <cell r="E2923">
            <v>8925</v>
          </cell>
          <cell r="F2923">
            <v>3.4000000000000002E-2</v>
          </cell>
        </row>
        <row r="2924">
          <cell r="A2924" t="str">
            <v>10106124-A004003LF</v>
          </cell>
          <cell r="B2924" t="str">
            <v>10106124-A004003LF Connector,PB+RH</v>
          </cell>
          <cell r="C2924">
            <v>3.3E-3</v>
          </cell>
          <cell r="D2924">
            <v>1803.030303030303</v>
          </cell>
          <cell r="E2924">
            <v>5409.090909090909</v>
          </cell>
          <cell r="F2924">
            <v>4.1000000000000002E-2</v>
          </cell>
        </row>
        <row r="2925">
          <cell r="A2925" t="str">
            <v>10106124-A004101LF</v>
          </cell>
          <cell r="B2925" t="str">
            <v>10106124-A004101LF Connector,PB+RH</v>
          </cell>
          <cell r="C2925">
            <v>3.3E-3</v>
          </cell>
          <cell r="D2925">
            <v>1803.030303030303</v>
          </cell>
          <cell r="E2925">
            <v>5409.090909090909</v>
          </cell>
          <cell r="F2925">
            <v>4.4999999999999998E-2</v>
          </cell>
        </row>
        <row r="2926">
          <cell r="A2926" t="str">
            <v>10106124-A006002LF</v>
          </cell>
          <cell r="B2926" t="str">
            <v>10106124-A006002LF PwrBlade+ RAH STB</v>
          </cell>
          <cell r="C2926">
            <v>3.3E-3</v>
          </cell>
          <cell r="D2926">
            <v>1803.030303030303</v>
          </cell>
          <cell r="E2926">
            <v>5409.090909090909</v>
          </cell>
          <cell r="F2926">
            <v>4.4999999999999998E-2</v>
          </cell>
        </row>
        <row r="2927">
          <cell r="A2927" t="str">
            <v>10106124-A908001LF</v>
          </cell>
          <cell r="B2927" t="str">
            <v>10106124-A908001LF Connector,PB+RH</v>
          </cell>
          <cell r="C2927">
            <v>6.7000000000000002E-3</v>
          </cell>
          <cell r="D2927">
            <v>888.05970149253733</v>
          </cell>
          <cell r="E2927">
            <v>2664.1791044776119</v>
          </cell>
          <cell r="F2927">
            <v>6.8000000000000005E-2</v>
          </cell>
        </row>
        <row r="2928">
          <cell r="A2928" t="str">
            <v>10106124-B002K01LF</v>
          </cell>
          <cell r="B2928" t="str">
            <v>10106124-B002K01LF Connector,PB+RH</v>
          </cell>
          <cell r="C2928">
            <v>3.3E-3</v>
          </cell>
          <cell r="D2928">
            <v>1803.030303030303</v>
          </cell>
          <cell r="E2928">
            <v>5409.090909090909</v>
          </cell>
          <cell r="F2928">
            <v>3.5000000000000003E-2</v>
          </cell>
        </row>
        <row r="2929">
          <cell r="A2929" t="str">
            <v>10106124-B006001LF</v>
          </cell>
          <cell r="B2929" t="str">
            <v>10106124-B006001LF Connector,PB+RH</v>
          </cell>
          <cell r="C2929">
            <v>3.3E-3</v>
          </cell>
          <cell r="D2929">
            <v>1803.030303030303</v>
          </cell>
          <cell r="E2929">
            <v>5409.090909090909</v>
          </cell>
          <cell r="F2929">
            <v>4.7E-2</v>
          </cell>
        </row>
        <row r="2930">
          <cell r="A2930" t="str">
            <v>10106124-C004001LF</v>
          </cell>
          <cell r="B2930" t="str">
            <v>10106124-C004001LF Connector,PB+RH</v>
          </cell>
          <cell r="C2930">
            <v>2E-3</v>
          </cell>
          <cell r="D2930">
            <v>2975</v>
          </cell>
          <cell r="E2930">
            <v>8925</v>
          </cell>
          <cell r="F2930">
            <v>3.5000000000000003E-2</v>
          </cell>
        </row>
        <row r="2931">
          <cell r="A2931" t="str">
            <v>10106124-C006001LF</v>
          </cell>
          <cell r="B2931" t="str">
            <v>10106124-C006001LF PwrBlade+ RAH STB</v>
          </cell>
          <cell r="C2931">
            <v>3.3E-3</v>
          </cell>
          <cell r="D2931">
            <v>1803.030303030303</v>
          </cell>
          <cell r="E2931">
            <v>5409.090909090909</v>
          </cell>
          <cell r="F2931">
            <v>4.7335000000000002E-2</v>
          </cell>
        </row>
        <row r="2932">
          <cell r="A2932" t="str">
            <v>10106124-C012001LF</v>
          </cell>
          <cell r="B2932" t="str">
            <v>10106124-C012001LF Connector,PB+RH</v>
          </cell>
          <cell r="C2932">
            <v>3.3000000000000002E-2</v>
          </cell>
          <cell r="D2932">
            <v>180.30303030303031</v>
          </cell>
          <cell r="E2932">
            <v>540.90909090909099</v>
          </cell>
          <cell r="F2932">
            <v>5.5E-2</v>
          </cell>
        </row>
        <row r="2933">
          <cell r="A2933" t="str">
            <v>10106124-E000K01LF</v>
          </cell>
          <cell r="B2933" t="str">
            <v>10106124-E000K01LF Connector,PB+RH</v>
          </cell>
          <cell r="C2933">
            <v>5.0000000000000001E-3</v>
          </cell>
          <cell r="D2933">
            <v>1190</v>
          </cell>
          <cell r="E2933">
            <v>3570</v>
          </cell>
          <cell r="F2933">
            <v>3.2000000000000001E-2</v>
          </cell>
        </row>
        <row r="2934">
          <cell r="A2934" t="str">
            <v>10106124-E006001LF</v>
          </cell>
          <cell r="B2934" t="str">
            <v>10106124-E006001LF Connector,PB+RH</v>
          </cell>
          <cell r="C2934">
            <v>3.3E-3</v>
          </cell>
          <cell r="D2934">
            <v>1803.030303030303</v>
          </cell>
          <cell r="E2934">
            <v>5409.090909090909</v>
          </cell>
          <cell r="F2934">
            <v>0.06</v>
          </cell>
        </row>
        <row r="2935">
          <cell r="A2935" t="str">
            <v>10106124-E008001LF</v>
          </cell>
          <cell r="B2935" t="str">
            <v>10106124-E008001LF PwrBlade+ RAH</v>
          </cell>
          <cell r="C2935">
            <v>2E-3</v>
          </cell>
          <cell r="D2935">
            <v>2975</v>
          </cell>
          <cell r="E2935">
            <v>8925</v>
          </cell>
          <cell r="F2935">
            <v>1.7999999999999999E-2</v>
          </cell>
        </row>
        <row r="2936">
          <cell r="A2936" t="str">
            <v>10106124-E012001LF</v>
          </cell>
          <cell r="B2936" t="str">
            <v>10106124-E012001LF Connector,PB+RH</v>
          </cell>
          <cell r="C2936">
            <v>5.0000000000000001E-3</v>
          </cell>
          <cell r="D2936">
            <v>1190</v>
          </cell>
          <cell r="E2936">
            <v>3570</v>
          </cell>
          <cell r="F2936">
            <v>5.3999999999999999E-2</v>
          </cell>
        </row>
        <row r="2937">
          <cell r="A2937" t="str">
            <v>10106124-F005K01LF</v>
          </cell>
          <cell r="B2937" t="str">
            <v>10106124-F005K01LF PwrBlade+ RAH STB</v>
          </cell>
          <cell r="C2937">
            <v>3.0000000000000001E-3</v>
          </cell>
          <cell r="D2937">
            <v>1983.3333333333333</v>
          </cell>
          <cell r="E2937">
            <v>5950</v>
          </cell>
          <cell r="F2937">
            <v>3.5000000000000003E-2</v>
          </cell>
        </row>
        <row r="2938">
          <cell r="A2938" t="str">
            <v>10106124-F006001LF</v>
          </cell>
          <cell r="B2938" t="str">
            <v>10106124-F006001LF Connector,PB+RH</v>
          </cell>
          <cell r="C2938">
            <v>3.3E-3</v>
          </cell>
          <cell r="D2938">
            <v>1803.030303030303</v>
          </cell>
          <cell r="E2938">
            <v>5409.090909090909</v>
          </cell>
          <cell r="F2938">
            <v>5.3999999999999999E-2</v>
          </cell>
        </row>
        <row r="2939">
          <cell r="A2939" t="str">
            <v>10106124-F006002LF</v>
          </cell>
          <cell r="B2939" t="str">
            <v>10106124-F006002LF Connector,PB+RH</v>
          </cell>
          <cell r="C2939">
            <v>3.3E-3</v>
          </cell>
          <cell r="D2939">
            <v>1803.030303030303</v>
          </cell>
          <cell r="E2939">
            <v>5409.090909090909</v>
          </cell>
          <cell r="F2939">
            <v>5.1999999999999998E-2</v>
          </cell>
        </row>
        <row r="2940">
          <cell r="A2940" t="str">
            <v>10106124-G003001LF</v>
          </cell>
          <cell r="B2940" t="str">
            <v>10106124-G003001LF Connector,PB+RH</v>
          </cell>
          <cell r="C2940">
            <v>3.3E-3</v>
          </cell>
          <cell r="D2940">
            <v>1803.030303030303</v>
          </cell>
          <cell r="E2940">
            <v>5409.090909090909</v>
          </cell>
          <cell r="F2940">
            <v>2.9600000000000001E-2</v>
          </cell>
        </row>
        <row r="2941">
          <cell r="A2941" t="str">
            <v>10106124-G003002LF</v>
          </cell>
          <cell r="B2941" t="str">
            <v>10106124-G003002LF Connector,PB+RH</v>
          </cell>
          <cell r="C2941">
            <v>3.3E-3</v>
          </cell>
          <cell r="D2941">
            <v>1803.030303030303</v>
          </cell>
          <cell r="E2941">
            <v>5409.090909090909</v>
          </cell>
          <cell r="F2941">
            <v>3.1600000000000003E-2</v>
          </cell>
        </row>
        <row r="2942">
          <cell r="A2942" t="str">
            <v>10106125-2004001LF</v>
          </cell>
          <cell r="B2942" t="str">
            <v>10106125-2004001LF PwrBlade+ RAH PF</v>
          </cell>
          <cell r="C2942">
            <v>3.3E-3</v>
          </cell>
          <cell r="D2942">
            <v>1803.030303030303</v>
          </cell>
          <cell r="E2942">
            <v>5409.090909090909</v>
          </cell>
          <cell r="F2942">
            <v>3.7999999999999999E-2</v>
          </cell>
        </row>
        <row r="2943">
          <cell r="A2943" t="str">
            <v>10106125-4000003LF</v>
          </cell>
          <cell r="B2943" t="str">
            <v>10106125-4000003LF PwrBlade+ RAH STB</v>
          </cell>
          <cell r="C2943" t="e">
            <v>#N/A</v>
          </cell>
          <cell r="D2943" t="e">
            <v>#N/A</v>
          </cell>
          <cell r="E2943" t="e">
            <v>#N/A</v>
          </cell>
          <cell r="F2943">
            <v>2.5000000000000001E-2</v>
          </cell>
        </row>
        <row r="2944">
          <cell r="A2944" t="str">
            <v>10106125-4006002LF</v>
          </cell>
          <cell r="B2944" t="str">
            <v>10106125-4006002LF PwrBlade+ RAH PF</v>
          </cell>
          <cell r="C2944">
            <v>3.3E-3</v>
          </cell>
          <cell r="D2944">
            <v>1803.030303030303</v>
          </cell>
          <cell r="E2944">
            <v>5409.090909090909</v>
          </cell>
          <cell r="F2944">
            <v>4.5999999999999999E-2</v>
          </cell>
        </row>
        <row r="2945">
          <cell r="A2945" t="str">
            <v>10106125-4006004LF</v>
          </cell>
          <cell r="B2945" t="str">
            <v>10106125-4006004LF PwrBlade+ RAH PF</v>
          </cell>
          <cell r="C2945">
            <v>3.3E-3</v>
          </cell>
          <cell r="D2945">
            <v>1803.030303030303</v>
          </cell>
          <cell r="E2945">
            <v>5409.090909090909</v>
          </cell>
          <cell r="F2945">
            <v>2.9000000000000001E-2</v>
          </cell>
        </row>
        <row r="2946">
          <cell r="A2946" t="str">
            <v>10106125-8000002LF</v>
          </cell>
          <cell r="B2946" t="str">
            <v>10106125-8000002LF PwrBlade+ RAH PF</v>
          </cell>
          <cell r="C2946" t="e">
            <v>#N/A</v>
          </cell>
          <cell r="D2946" t="e">
            <v>#N/A</v>
          </cell>
          <cell r="E2946" t="e">
            <v>#N/A</v>
          </cell>
          <cell r="F2946">
            <v>3.5999999999999997E-2</v>
          </cell>
        </row>
        <row r="2947">
          <cell r="A2947" t="str">
            <v>10106125-8015001LF</v>
          </cell>
          <cell r="B2947" t="str">
            <v>10106125-8015001LF PwrBlade+ RAH PF</v>
          </cell>
          <cell r="C2947">
            <v>1.2E-2</v>
          </cell>
          <cell r="D2947">
            <v>495.83333333333331</v>
          </cell>
          <cell r="E2947">
            <v>1487.5</v>
          </cell>
          <cell r="F2947">
            <v>8.6999999999999994E-2</v>
          </cell>
        </row>
        <row r="2948">
          <cell r="A2948" t="str">
            <v>10106125-G018001LF</v>
          </cell>
          <cell r="B2948" t="str">
            <v>10106125-G018001LF PwrBlade+ RAH PF</v>
          </cell>
          <cell r="C2948">
            <v>3.3E-3</v>
          </cell>
          <cell r="D2948">
            <v>1803.030303030303</v>
          </cell>
          <cell r="E2948">
            <v>5409.090909090909</v>
          </cell>
          <cell r="F2948">
            <v>6.5000000000000002E-2</v>
          </cell>
        </row>
        <row r="2949">
          <cell r="A2949" t="str">
            <v>10106126-8000K01LF</v>
          </cell>
          <cell r="B2949" t="str">
            <v>10106126-8000K01LF Connector,PB+RR</v>
          </cell>
          <cell r="C2949">
            <v>4.0000000000000001E-3</v>
          </cell>
          <cell r="D2949">
            <v>1487.5</v>
          </cell>
          <cell r="E2949">
            <v>4462.5</v>
          </cell>
          <cell r="F2949">
            <v>2.8000000000000001E-2</v>
          </cell>
        </row>
        <row r="2950">
          <cell r="A2950" t="str">
            <v>10106126-E000K01LF</v>
          </cell>
          <cell r="B2950" t="str">
            <v>10106126-E000K01LF Connector,PB+RR</v>
          </cell>
          <cell r="C2950">
            <v>5.0000000000000001E-3</v>
          </cell>
          <cell r="D2950">
            <v>1190</v>
          </cell>
          <cell r="E2950">
            <v>3570</v>
          </cell>
          <cell r="F2950">
            <v>3.2000000000000001E-2</v>
          </cell>
        </row>
        <row r="2951">
          <cell r="A2951" t="str">
            <v>10106130-2000001LF</v>
          </cell>
          <cell r="B2951" t="str">
            <v>10106130-2000001LF Connector,PB+VR</v>
          </cell>
          <cell r="C2951">
            <v>6.1000000000000004E-3</v>
          </cell>
          <cell r="D2951">
            <v>975.4098360655737</v>
          </cell>
          <cell r="E2951">
            <v>2926.2295081967213</v>
          </cell>
          <cell r="F2951">
            <v>1.9E-2</v>
          </cell>
        </row>
        <row r="2952">
          <cell r="A2952" t="str">
            <v>10106130-2001001LF</v>
          </cell>
          <cell r="B2952" t="str">
            <v>10106130-2001001LF Connector,PB+VR</v>
          </cell>
          <cell r="C2952">
            <v>3.3E-3</v>
          </cell>
          <cell r="D2952">
            <v>1803.030303030303</v>
          </cell>
          <cell r="E2952">
            <v>5409.090909090909</v>
          </cell>
          <cell r="F2952">
            <v>1.67E-2</v>
          </cell>
        </row>
        <row r="2953">
          <cell r="A2953" t="str">
            <v>10106130-2002001LF</v>
          </cell>
          <cell r="B2953" t="str">
            <v>10106130-2002001LF Connector,PB+VR</v>
          </cell>
          <cell r="C2953">
            <v>2.2000000000000001E-3</v>
          </cell>
          <cell r="D2953">
            <v>2704.5454545454545</v>
          </cell>
          <cell r="E2953">
            <v>8113.636363636364</v>
          </cell>
          <cell r="F2953">
            <v>2.1999999999999999E-2</v>
          </cell>
        </row>
        <row r="2954">
          <cell r="A2954" t="str">
            <v>10106130-2003001LF</v>
          </cell>
          <cell r="B2954" t="str">
            <v>10106130-2003001LF Connector,PB+VR</v>
          </cell>
          <cell r="C2954">
            <v>3.3E-3</v>
          </cell>
          <cell r="D2954">
            <v>1803.030303030303</v>
          </cell>
          <cell r="E2954">
            <v>5409.090909090909</v>
          </cell>
          <cell r="F2954">
            <v>3.2000000000000001E-2</v>
          </cell>
        </row>
        <row r="2955">
          <cell r="A2955" t="str">
            <v>10106130-2004001LF</v>
          </cell>
          <cell r="B2955" t="str">
            <v>10106130-2004001LF Connector,PB+VR</v>
          </cell>
          <cell r="C2955">
            <v>3.3E-3</v>
          </cell>
          <cell r="D2955">
            <v>1803.030303030303</v>
          </cell>
          <cell r="E2955">
            <v>5409.090909090909</v>
          </cell>
          <cell r="F2955">
            <v>2.1999999999999999E-2</v>
          </cell>
        </row>
        <row r="2956">
          <cell r="A2956" t="str">
            <v>10106130-2005001LF</v>
          </cell>
          <cell r="B2956" t="str">
            <v>10106130-2005001LF PwrBlade+ VR STB</v>
          </cell>
          <cell r="C2956">
            <v>6.7000000000000002E-3</v>
          </cell>
          <cell r="D2956">
            <v>888.05970149253733</v>
          </cell>
          <cell r="E2956">
            <v>2664.1791044776119</v>
          </cell>
          <cell r="F2956">
            <v>2.3E-2</v>
          </cell>
        </row>
        <row r="2957">
          <cell r="A2957" t="str">
            <v>10106130-3002001LF</v>
          </cell>
          <cell r="B2957" t="str">
            <v>10106130-3002001LF PwrBlade+ VR STB</v>
          </cell>
          <cell r="C2957">
            <v>3.3E-3</v>
          </cell>
          <cell r="D2957">
            <v>1803.030303030303</v>
          </cell>
          <cell r="E2957">
            <v>5409.090909090909</v>
          </cell>
          <cell r="F2957">
            <v>1.7885000000000002E-2</v>
          </cell>
        </row>
        <row r="2958">
          <cell r="A2958" t="str">
            <v>10106130-4000K01LF</v>
          </cell>
          <cell r="B2958" t="str">
            <v>10106130-4000K01LF Connector,PB+VR</v>
          </cell>
          <cell r="C2958">
            <v>3.0000000000000001E-3</v>
          </cell>
          <cell r="D2958">
            <v>1983.3333333333333</v>
          </cell>
          <cell r="E2958">
            <v>5950</v>
          </cell>
          <cell r="F2958">
            <v>2.3E-2</v>
          </cell>
        </row>
        <row r="2959">
          <cell r="A2959" t="str">
            <v>10106130-4001001LF</v>
          </cell>
          <cell r="B2959" t="str">
            <v>10106130-4001001LF Connector,PB+VR</v>
          </cell>
          <cell r="C2959">
            <v>3.0000000000000001E-3</v>
          </cell>
          <cell r="D2959">
            <v>1983.3333333333333</v>
          </cell>
          <cell r="E2959">
            <v>5950</v>
          </cell>
          <cell r="F2959">
            <v>2.1000000000000001E-2</v>
          </cell>
        </row>
        <row r="2960">
          <cell r="A2960" t="str">
            <v>10106130-4001002LF</v>
          </cell>
          <cell r="B2960" t="str">
            <v>10106130-4001002LF Connector,PB+VR</v>
          </cell>
          <cell r="C2960">
            <v>3.3E-3</v>
          </cell>
          <cell r="D2960">
            <v>1803.030303030303</v>
          </cell>
          <cell r="E2960">
            <v>5409.090909090909</v>
          </cell>
          <cell r="F2960">
            <v>2.7E-2</v>
          </cell>
        </row>
        <row r="2961">
          <cell r="A2961" t="str">
            <v>10106130-4001004LF</v>
          </cell>
          <cell r="B2961" t="str">
            <v>10106130-4001004LF PwrBlade+ VR STB</v>
          </cell>
          <cell r="C2961">
            <v>3.0000000000000001E-3</v>
          </cell>
          <cell r="D2961">
            <v>1983.3333333333333</v>
          </cell>
          <cell r="E2961">
            <v>5950</v>
          </cell>
          <cell r="F2961">
            <v>2.3E-2</v>
          </cell>
        </row>
        <row r="2962">
          <cell r="A2962" t="str">
            <v>10106130-4002001LF</v>
          </cell>
          <cell r="B2962" t="str">
            <v>10106130-4002001LF Connector,PB+VR</v>
          </cell>
          <cell r="C2962">
            <v>3.3E-3</v>
          </cell>
          <cell r="D2962">
            <v>1803.030303030303</v>
          </cell>
          <cell r="E2962">
            <v>5409.090909090909</v>
          </cell>
          <cell r="F2962">
            <v>2.7E-2</v>
          </cell>
        </row>
        <row r="2963">
          <cell r="A2963" t="str">
            <v>10106130-4003001LF</v>
          </cell>
          <cell r="B2963" t="str">
            <v>10106130-4003001LF PwrBlade+ VR STB</v>
          </cell>
          <cell r="C2963">
            <v>3.3E-3</v>
          </cell>
          <cell r="D2963">
            <v>1803.030303030303</v>
          </cell>
          <cell r="E2963">
            <v>5409.090909090909</v>
          </cell>
          <cell r="F2963">
            <v>2.7E-2</v>
          </cell>
        </row>
        <row r="2964">
          <cell r="A2964" t="str">
            <v>10106130-4004001LF</v>
          </cell>
          <cell r="B2964" t="str">
            <v>10106130-4004001LF Connector,PB+VR</v>
          </cell>
          <cell r="C2964">
            <v>4.4000000000000003E-3</v>
          </cell>
          <cell r="D2964">
            <v>1352.2727272727273</v>
          </cell>
          <cell r="E2964">
            <v>4056.818181818182</v>
          </cell>
          <cell r="F2964">
            <v>3.2000000000000001E-2</v>
          </cell>
        </row>
        <row r="2965">
          <cell r="A2965" t="str">
            <v>10106130-4004002LF</v>
          </cell>
          <cell r="B2965" t="str">
            <v>10106130-4004002LF Connector,PB+VR</v>
          </cell>
          <cell r="C2965">
            <v>5.0000000000000001E-3</v>
          </cell>
          <cell r="D2965">
            <v>1190</v>
          </cell>
          <cell r="E2965">
            <v>3570</v>
          </cell>
          <cell r="F2965">
            <v>3.2000000000000001E-2</v>
          </cell>
        </row>
        <row r="2966">
          <cell r="A2966" t="str">
            <v>10106130-4004K01LF</v>
          </cell>
          <cell r="B2966" t="str">
            <v>10106130-4004K01LF Connector,PB+VR</v>
          </cell>
          <cell r="C2966">
            <v>5.0000000000000001E-3</v>
          </cell>
          <cell r="D2966">
            <v>1190</v>
          </cell>
          <cell r="E2966">
            <v>3570</v>
          </cell>
          <cell r="F2966">
            <v>2.8000000000000001E-2</v>
          </cell>
        </row>
        <row r="2967">
          <cell r="A2967" t="str">
            <v>10106130-4006004LF</v>
          </cell>
          <cell r="B2967" t="str">
            <v>10106130-4006004LF Connector,PB+VR</v>
          </cell>
          <cell r="C2967">
            <v>3.3E-3</v>
          </cell>
          <cell r="D2967">
            <v>1803.030303030303</v>
          </cell>
          <cell r="E2967">
            <v>5409.090909090909</v>
          </cell>
          <cell r="F2967">
            <v>2.1000000000000001E-2</v>
          </cell>
        </row>
        <row r="2968">
          <cell r="A2968" t="str">
            <v>10106130-4007001LF</v>
          </cell>
          <cell r="B2968" t="str">
            <v>10106130-4007001LF Connector,PB+VR</v>
          </cell>
          <cell r="C2968">
            <v>6.0000000000000001E-3</v>
          </cell>
          <cell r="D2968">
            <v>991.66666666666663</v>
          </cell>
          <cell r="E2968">
            <v>2975</v>
          </cell>
          <cell r="F2968">
            <v>3.2000000000000001E-2</v>
          </cell>
        </row>
        <row r="2969">
          <cell r="A2969" t="str">
            <v>10106130-4008K01LF</v>
          </cell>
          <cell r="B2969" t="str">
            <v>10106130-4008K01LF Connector,PB+VR</v>
          </cell>
          <cell r="C2969">
            <v>8.0000000000000002E-3</v>
          </cell>
          <cell r="D2969">
            <v>743.75</v>
          </cell>
          <cell r="E2969">
            <v>2231.25</v>
          </cell>
          <cell r="F2969">
            <v>2.8000000000000001E-2</v>
          </cell>
        </row>
        <row r="2970">
          <cell r="A2970" t="str">
            <v>10106130-4009K01LF</v>
          </cell>
          <cell r="B2970" t="str">
            <v>10106130-4009K01LF Connector,PB+VR</v>
          </cell>
          <cell r="C2970">
            <v>6.0000000000000001E-3</v>
          </cell>
          <cell r="D2970">
            <v>991.66666666666663</v>
          </cell>
          <cell r="E2970">
            <v>2975</v>
          </cell>
          <cell r="F2970">
            <v>3.6999999999999998E-2</v>
          </cell>
        </row>
        <row r="2971">
          <cell r="A2971" t="str">
            <v>10106130-4017002LF</v>
          </cell>
          <cell r="B2971" t="str">
            <v>10106130-4017002LF Connector,PB+VR</v>
          </cell>
          <cell r="C2971">
            <v>2.5000000000000001E-2</v>
          </cell>
          <cell r="D2971">
            <v>238</v>
          </cell>
          <cell r="E2971">
            <v>714</v>
          </cell>
          <cell r="F2971">
            <v>1.4999999999999999E-2</v>
          </cell>
        </row>
        <row r="2972">
          <cell r="A2972" t="str">
            <v>10106130-4403001LF</v>
          </cell>
          <cell r="B2972" t="str">
            <v>10106130-4403001LF PwrBlade+ VR STB</v>
          </cell>
          <cell r="C2972">
            <v>5.2529999999999999E-3</v>
          </cell>
          <cell r="D2972">
            <v>1132.686084142395</v>
          </cell>
          <cell r="E2972">
            <v>3398.0582524271849</v>
          </cell>
          <cell r="F2972">
            <v>3.7282999999999997E-2</v>
          </cell>
        </row>
        <row r="2973">
          <cell r="A2973" t="str">
            <v>10106130-5003001LF</v>
          </cell>
          <cell r="B2973" t="str">
            <v>10106130-5003001LF Connector,PB+VR</v>
          </cell>
          <cell r="C2973">
            <v>4.4000000000000003E-3</v>
          </cell>
          <cell r="D2973">
            <v>1352.2727272727273</v>
          </cell>
          <cell r="E2973">
            <v>4056.818181818182</v>
          </cell>
          <cell r="F2973">
            <v>2.3E-2</v>
          </cell>
        </row>
        <row r="2974">
          <cell r="A2974" t="str">
            <v>10106130-5004001LF</v>
          </cell>
          <cell r="B2974" t="str">
            <v>10106130-5004001LF Connector,PB+VR</v>
          </cell>
          <cell r="C2974">
            <v>4.4000000000000003E-3</v>
          </cell>
          <cell r="D2974">
            <v>1352.2727272727273</v>
          </cell>
          <cell r="E2974">
            <v>4056.818181818182</v>
          </cell>
          <cell r="F2974">
            <v>3.5000000000000003E-2</v>
          </cell>
        </row>
        <row r="2975">
          <cell r="A2975" t="str">
            <v>10106130-5004101LF</v>
          </cell>
          <cell r="B2975" t="str">
            <v>10106130-5004101LF Connector,PB+VR</v>
          </cell>
          <cell r="C2975">
            <v>4.4000000000000003E-3</v>
          </cell>
          <cell r="D2975">
            <v>1352.2727272727273</v>
          </cell>
          <cell r="E2975">
            <v>4056.818181818182</v>
          </cell>
          <cell r="F2975">
            <v>3.5000000000000003E-2</v>
          </cell>
        </row>
        <row r="2976">
          <cell r="A2976" t="str">
            <v>10106130-5005101LF</v>
          </cell>
          <cell r="B2976" t="str">
            <v>10106130-5005101LF Connector,PB+VR</v>
          </cell>
          <cell r="C2976">
            <v>5.5999999999999999E-3</v>
          </cell>
          <cell r="D2976">
            <v>1062.5</v>
          </cell>
          <cell r="E2976">
            <v>3187.5</v>
          </cell>
          <cell r="F2976">
            <v>3.6999999999999998E-2</v>
          </cell>
        </row>
        <row r="2977">
          <cell r="A2977" t="str">
            <v>10106130-6003K01LF</v>
          </cell>
          <cell r="B2977" t="str">
            <v>10106130-6003K01LF Connector,PB+VR</v>
          </cell>
          <cell r="C2977">
            <v>5.0000000000000001E-3</v>
          </cell>
          <cell r="D2977">
            <v>1190</v>
          </cell>
          <cell r="E2977">
            <v>3570</v>
          </cell>
          <cell r="F2977">
            <v>2.8000000000000001E-2</v>
          </cell>
        </row>
        <row r="2978">
          <cell r="A2978" t="str">
            <v>10106130-6004K01LF</v>
          </cell>
          <cell r="B2978" t="str">
            <v>10106130-6004K01LF Connector,PB+VR</v>
          </cell>
          <cell r="C2978">
            <v>4.0000000000000001E-3</v>
          </cell>
          <cell r="D2978">
            <v>1487.5</v>
          </cell>
          <cell r="E2978">
            <v>4462.5</v>
          </cell>
          <cell r="F2978">
            <v>2.9000000000000001E-2</v>
          </cell>
        </row>
        <row r="2979">
          <cell r="A2979" t="str">
            <v>10106130-6007001LF</v>
          </cell>
          <cell r="B2979" t="str">
            <v>10106130-6007001LF Connector,PB+VR</v>
          </cell>
          <cell r="C2979">
            <v>7.7999999999999996E-3</v>
          </cell>
          <cell r="D2979">
            <v>762.82051282051293</v>
          </cell>
          <cell r="E2979">
            <v>2288.461538461539</v>
          </cell>
          <cell r="F2979">
            <v>3.5000000000000003E-2</v>
          </cell>
        </row>
        <row r="2980">
          <cell r="A2980" t="str">
            <v>10106130-6008K01LF</v>
          </cell>
          <cell r="B2980" t="str">
            <v>10106130-6008K01LF Connector,PB+VR</v>
          </cell>
          <cell r="C2980">
            <v>6.0000000000000001E-3</v>
          </cell>
          <cell r="D2980">
            <v>991.66666666666663</v>
          </cell>
          <cell r="E2980">
            <v>2975</v>
          </cell>
          <cell r="F2980">
            <v>3.2000000000000001E-2</v>
          </cell>
        </row>
        <row r="2981">
          <cell r="A2981" t="str">
            <v>10106130-7000A01LF</v>
          </cell>
          <cell r="B2981" t="str">
            <v>10106130-7000A01LF Connector,PB+VR</v>
          </cell>
          <cell r="C2981">
            <v>3.3E-3</v>
          </cell>
          <cell r="D2981">
            <v>1803.030303030303</v>
          </cell>
          <cell r="E2981">
            <v>5409.090909090909</v>
          </cell>
          <cell r="F2981">
            <v>2.5000000000000001E-2</v>
          </cell>
        </row>
        <row r="2982">
          <cell r="A2982" t="str">
            <v>10106130-7000A02LF</v>
          </cell>
          <cell r="B2982" t="str">
            <v>10106130-7000A02LF Connector,PB+VR</v>
          </cell>
          <cell r="C2982">
            <v>3.3E-3</v>
          </cell>
          <cell r="D2982">
            <v>1803.030303030303</v>
          </cell>
          <cell r="E2982">
            <v>5409.090909090909</v>
          </cell>
          <cell r="F2982">
            <v>2.5000000000000001E-2</v>
          </cell>
        </row>
        <row r="2983">
          <cell r="A2983" t="str">
            <v>10106130-7006001LF</v>
          </cell>
          <cell r="B2983" t="str">
            <v>10106130-7006001LF Connector,PB+VR</v>
          </cell>
          <cell r="C2983">
            <v>6.7000000000000002E-3</v>
          </cell>
          <cell r="D2983">
            <v>888.05970149253733</v>
          </cell>
          <cell r="E2983">
            <v>2664.1791044776119</v>
          </cell>
          <cell r="F2983">
            <v>3.1E-2</v>
          </cell>
        </row>
        <row r="2984">
          <cell r="A2984" t="str">
            <v>10106130-8000001LF</v>
          </cell>
          <cell r="B2984" t="str">
            <v>10106130-8000001LF Connector,PB+VR</v>
          </cell>
          <cell r="C2984">
            <v>6.1000000000000004E-3</v>
          </cell>
          <cell r="D2984">
            <v>975.4098360655737</v>
          </cell>
          <cell r="E2984">
            <v>2926.2295081967213</v>
          </cell>
          <cell r="F2984">
            <v>3.5999999999999997E-2</v>
          </cell>
        </row>
        <row r="2985">
          <cell r="A2985" t="str">
            <v>10106130-8002K01LF</v>
          </cell>
          <cell r="B2985" t="str">
            <v>10106130-8002K01LF Connector,PB+VR</v>
          </cell>
          <cell r="C2985">
            <v>4.0000000000000001E-3</v>
          </cell>
          <cell r="D2985">
            <v>1487.5</v>
          </cell>
          <cell r="E2985">
            <v>4462.5</v>
          </cell>
          <cell r="F2985">
            <v>2.8000000000000001E-2</v>
          </cell>
        </row>
        <row r="2986">
          <cell r="A2986" t="str">
            <v>10106130-8004001LF</v>
          </cell>
          <cell r="B2986" t="str">
            <v>10106130-8004001LF Connector,PB+VR</v>
          </cell>
          <cell r="C2986">
            <v>1.4E-2</v>
          </cell>
          <cell r="D2986">
            <v>425</v>
          </cell>
          <cell r="E2986">
            <v>1275</v>
          </cell>
          <cell r="F2986">
            <v>4.2000000000000003E-2</v>
          </cell>
        </row>
        <row r="2987">
          <cell r="A2987" t="str">
            <v>10106130-8004002LF</v>
          </cell>
          <cell r="B2987" t="str">
            <v>10106130-8004002LF Connector,PB+VR</v>
          </cell>
          <cell r="C2987">
            <v>1.4E-2</v>
          </cell>
          <cell r="D2987">
            <v>425</v>
          </cell>
          <cell r="E2987">
            <v>1275</v>
          </cell>
          <cell r="F2987">
            <v>4.5999999999999999E-2</v>
          </cell>
        </row>
        <row r="2988">
          <cell r="A2988" t="str">
            <v>10106130-8005001LF</v>
          </cell>
          <cell r="B2988" t="str">
            <v>10106130-8005001LF Connector,PB+VR</v>
          </cell>
          <cell r="C2988">
            <v>1.7999999999999999E-2</v>
          </cell>
          <cell r="D2988">
            <v>330.5555555555556</v>
          </cell>
          <cell r="E2988">
            <v>991.66666666666674</v>
          </cell>
          <cell r="F2988">
            <v>4.2999999999999997E-2</v>
          </cell>
        </row>
        <row r="2989">
          <cell r="A2989" t="str">
            <v>10106130-8005002LF</v>
          </cell>
          <cell r="B2989" t="str">
            <v>10106130-8005002LF Connector,PB+VR</v>
          </cell>
          <cell r="C2989">
            <v>1.7000000000000001E-2</v>
          </cell>
          <cell r="D2989">
            <v>350</v>
          </cell>
          <cell r="E2989">
            <v>1050</v>
          </cell>
          <cell r="F2989">
            <v>4.5999999999999999E-2</v>
          </cell>
        </row>
        <row r="2990">
          <cell r="A2990" t="str">
            <v>10106130-8006001LF</v>
          </cell>
          <cell r="B2990" t="str">
            <v>10106130-8006001LF Connector,PB+VR</v>
          </cell>
          <cell r="C2990">
            <v>0.02</v>
          </cell>
          <cell r="D2990">
            <v>297.5</v>
          </cell>
          <cell r="E2990">
            <v>892.5</v>
          </cell>
          <cell r="F2990">
            <v>4.7E-2</v>
          </cell>
        </row>
        <row r="2991">
          <cell r="A2991" t="str">
            <v>10106130-8006002LF</v>
          </cell>
          <cell r="B2991" t="str">
            <v>10106130-8006002LF Connector,PB+VR</v>
          </cell>
          <cell r="C2991">
            <v>6.7000000000000002E-3</v>
          </cell>
          <cell r="D2991">
            <v>888.05970149253733</v>
          </cell>
          <cell r="E2991">
            <v>2664.1791044776119</v>
          </cell>
          <cell r="F2991">
            <v>2.9000000000000001E-2</v>
          </cell>
        </row>
        <row r="2992">
          <cell r="A2992" t="str">
            <v>10106130-8007001LF</v>
          </cell>
          <cell r="B2992" t="str">
            <v>10106130-8007001LF Connector,PB+VR</v>
          </cell>
          <cell r="C2992">
            <v>8.9999999999999993E-3</v>
          </cell>
          <cell r="D2992">
            <v>661.1111111111112</v>
          </cell>
          <cell r="E2992">
            <v>1983.3333333333335</v>
          </cell>
          <cell r="F2992">
            <v>2.9000000000000001E-2</v>
          </cell>
        </row>
        <row r="2993">
          <cell r="A2993" t="str">
            <v>10106130-9000001LF</v>
          </cell>
          <cell r="B2993" t="str">
            <v>10106130-9000001LF Connector,PB+VR</v>
          </cell>
          <cell r="C2993">
            <v>6.1000000000000004E-3</v>
          </cell>
          <cell r="D2993">
            <v>975.4098360655737</v>
          </cell>
          <cell r="E2993">
            <v>2926.2295081967213</v>
          </cell>
          <cell r="F2993">
            <v>3.5000000000000003E-2</v>
          </cell>
        </row>
        <row r="2994">
          <cell r="A2994" t="str">
            <v>10106130-9016001LF</v>
          </cell>
          <cell r="B2994" t="str">
            <v>10106130-9016001LF Connector,PB+VR</v>
          </cell>
          <cell r="C2994">
            <v>7.0000000000000001E-3</v>
          </cell>
          <cell r="D2994">
            <v>850</v>
          </cell>
          <cell r="E2994">
            <v>2550</v>
          </cell>
          <cell r="F2994">
            <v>4.2000000000000003E-2</v>
          </cell>
        </row>
        <row r="2995">
          <cell r="A2995" t="str">
            <v>10106130-A004002LF</v>
          </cell>
          <cell r="B2995" t="str">
            <v>10106130-A004002LF Connector,PB+VR</v>
          </cell>
          <cell r="C2995">
            <v>4.4000000000000003E-3</v>
          </cell>
          <cell r="D2995">
            <v>1352.2727272727273</v>
          </cell>
          <cell r="E2995">
            <v>4056.818181818182</v>
          </cell>
          <cell r="F2995">
            <v>0.03</v>
          </cell>
        </row>
        <row r="2996">
          <cell r="A2996" t="str">
            <v>10106130-A004101LF</v>
          </cell>
          <cell r="B2996" t="str">
            <v>10106130-A004101LF Connector,PB+VR</v>
          </cell>
          <cell r="C2996">
            <v>1.4E-2</v>
          </cell>
          <cell r="D2996">
            <v>425</v>
          </cell>
          <cell r="E2996">
            <v>1275</v>
          </cell>
          <cell r="F2996">
            <v>5.0999999999999997E-2</v>
          </cell>
        </row>
        <row r="2997">
          <cell r="A2997" t="str">
            <v>10106130-A908001LF</v>
          </cell>
          <cell r="B2997" t="str">
            <v>10106130-A908001LF Connector,PB+VR</v>
          </cell>
          <cell r="C2997">
            <v>8.8999999999999999E-3</v>
          </cell>
          <cell r="D2997">
            <v>668.5393258426966</v>
          </cell>
          <cell r="E2997">
            <v>2005.6179775280898</v>
          </cell>
          <cell r="F2997">
            <v>4.9000000000000002E-2</v>
          </cell>
        </row>
        <row r="2998">
          <cell r="A2998" t="str">
            <v>10106130-E006001LF</v>
          </cell>
          <cell r="B2998" t="str">
            <v>10106130-E006001LF Connector,PB+VR</v>
          </cell>
          <cell r="C2998">
            <v>6.7000000000000002E-3</v>
          </cell>
          <cell r="D2998">
            <v>888.05970149253733</v>
          </cell>
          <cell r="E2998">
            <v>2664.1791044776119</v>
          </cell>
          <cell r="F2998">
            <v>3.1E-2</v>
          </cell>
        </row>
        <row r="2999">
          <cell r="A2999" t="str">
            <v>10106131-2002001LF</v>
          </cell>
          <cell r="B2999" t="str">
            <v>10106131-2002001LF Connector,PB+VR</v>
          </cell>
          <cell r="C2999">
            <v>3.3E-3</v>
          </cell>
          <cell r="D2999">
            <v>1803.030303030303</v>
          </cell>
          <cell r="E2999">
            <v>5409.090909090909</v>
          </cell>
          <cell r="F2999">
            <v>2.4E-2</v>
          </cell>
        </row>
        <row r="3000">
          <cell r="A3000" t="str">
            <v>10106131-2003001LF</v>
          </cell>
          <cell r="B3000" t="str">
            <v>10106131-2003001LF Connector,PB+VR</v>
          </cell>
          <cell r="C3000">
            <v>3.3E-3</v>
          </cell>
          <cell r="D3000">
            <v>1803.030303030303</v>
          </cell>
          <cell r="E3000">
            <v>5409.090909090909</v>
          </cell>
          <cell r="F3000">
            <v>2.5000000000000001E-2</v>
          </cell>
        </row>
        <row r="3001">
          <cell r="A3001" t="str">
            <v>10106131-2003002LF</v>
          </cell>
          <cell r="B3001" t="str">
            <v>10106131-2003002LF Connector,PB+VR</v>
          </cell>
          <cell r="C3001">
            <v>5.0000000000000001E-3</v>
          </cell>
          <cell r="D3001">
            <v>1190</v>
          </cell>
          <cell r="E3001">
            <v>3570</v>
          </cell>
          <cell r="F3001">
            <v>3.7999999999999999E-2</v>
          </cell>
        </row>
        <row r="3002">
          <cell r="A3002" t="str">
            <v>10106131-2003003LF</v>
          </cell>
          <cell r="B3002" t="str">
            <v>10106131-2003003LF Connector,PB+VR</v>
          </cell>
          <cell r="C3002">
            <v>5.0000000000000001E-3</v>
          </cell>
          <cell r="D3002">
            <v>1190</v>
          </cell>
          <cell r="E3002">
            <v>3570</v>
          </cell>
          <cell r="F3002">
            <v>3.5000000000000003E-2</v>
          </cell>
        </row>
        <row r="3003">
          <cell r="A3003" t="str">
            <v>10106131-2003501LF</v>
          </cell>
          <cell r="B3003" t="str">
            <v>10106131-2003501LF Connector,PB+VR</v>
          </cell>
          <cell r="C3003">
            <v>3.0000000000000001E-3</v>
          </cell>
          <cell r="D3003">
            <v>1983.3333333333333</v>
          </cell>
          <cell r="E3003">
            <v>5950</v>
          </cell>
          <cell r="F3003">
            <v>2.1000000000000001E-2</v>
          </cell>
        </row>
        <row r="3004">
          <cell r="A3004" t="str">
            <v>10106131-2004001LF</v>
          </cell>
          <cell r="B3004" t="str">
            <v>10106131-2004001LF Connector,PB+VR</v>
          </cell>
          <cell r="C3004">
            <v>1.41E-2</v>
          </cell>
          <cell r="D3004">
            <v>421.98581560283691</v>
          </cell>
          <cell r="E3004">
            <v>1265.9574468085107</v>
          </cell>
          <cell r="F3004">
            <v>2.1600000000000001E-2</v>
          </cell>
        </row>
        <row r="3005">
          <cell r="A3005" t="str">
            <v>10106131-2004201LF</v>
          </cell>
          <cell r="B3005" t="str">
            <v>10106131-2004201LF Connector,PB+VR</v>
          </cell>
          <cell r="C3005">
            <v>6.3E-3</v>
          </cell>
          <cell r="D3005">
            <v>944.44444444444446</v>
          </cell>
          <cell r="E3005">
            <v>2833.3333333333335</v>
          </cell>
          <cell r="F3005">
            <v>7.0000000000000001E-3</v>
          </cell>
        </row>
        <row r="3006">
          <cell r="A3006" t="str">
            <v>10106131-2004202LF</v>
          </cell>
          <cell r="B3006" t="str">
            <v>10106131-2004202LF Connector,PB+VR</v>
          </cell>
          <cell r="C3006">
            <v>3.3E-3</v>
          </cell>
          <cell r="D3006">
            <v>1803.030303030303</v>
          </cell>
          <cell r="E3006">
            <v>5409.090909090909</v>
          </cell>
          <cell r="F3006">
            <v>2.1000000000000001E-2</v>
          </cell>
        </row>
        <row r="3007">
          <cell r="A3007" t="str">
            <v>10106131-4000002LF</v>
          </cell>
          <cell r="B3007" t="str">
            <v>10106131-4000002LF Connector,PB+VR</v>
          </cell>
          <cell r="C3007">
            <v>6.1000000000000004E-3</v>
          </cell>
          <cell r="D3007">
            <v>975.4098360655737</v>
          </cell>
          <cell r="E3007">
            <v>2926.2295081967213</v>
          </cell>
          <cell r="F3007">
            <v>3.1E-2</v>
          </cell>
        </row>
        <row r="3008">
          <cell r="A3008" t="str">
            <v>10106131-4001001LF</v>
          </cell>
          <cell r="B3008" t="str">
            <v>10106131-4001001LF PwrBlade+ VR PF</v>
          </cell>
          <cell r="C3008">
            <v>3.3E-3</v>
          </cell>
          <cell r="D3008">
            <v>1803.030303030303</v>
          </cell>
          <cell r="E3008">
            <v>5409.090909090909</v>
          </cell>
          <cell r="F3008">
            <v>2.7E-2</v>
          </cell>
        </row>
        <row r="3009">
          <cell r="A3009" t="str">
            <v>10106131-4001K01LF</v>
          </cell>
          <cell r="B3009" t="str">
            <v>10106131-4001K01LF Connector,PB+VR</v>
          </cell>
          <cell r="C3009">
            <v>3.0000000000000001E-3</v>
          </cell>
          <cell r="D3009">
            <v>1983.3333333333333</v>
          </cell>
          <cell r="E3009">
            <v>5950</v>
          </cell>
          <cell r="F3009">
            <v>2.8000000000000001E-2</v>
          </cell>
        </row>
        <row r="3010">
          <cell r="A3010" t="str">
            <v>10106131-4002004LF</v>
          </cell>
          <cell r="B3010" t="str">
            <v>10106131-4002004LF Connector,PB+VR</v>
          </cell>
          <cell r="C3010">
            <v>3.3E-3</v>
          </cell>
          <cell r="D3010">
            <v>1803.030303030303</v>
          </cell>
          <cell r="E3010">
            <v>5409.090909090909</v>
          </cell>
          <cell r="F3010">
            <v>2.1000000000000001E-2</v>
          </cell>
        </row>
        <row r="3011">
          <cell r="A3011" t="str">
            <v>10106131-4004002LF</v>
          </cell>
          <cell r="B3011" t="str">
            <v>10106131-4004002LF Connector,PB+VR</v>
          </cell>
          <cell r="C3011">
            <v>6.6E-3</v>
          </cell>
          <cell r="D3011">
            <v>901.5151515151515</v>
          </cell>
          <cell r="E3011">
            <v>2704.5454545454545</v>
          </cell>
          <cell r="F3011">
            <v>2.7E-2</v>
          </cell>
        </row>
        <row r="3012">
          <cell r="A3012" t="str">
            <v>10106131-4004003LF</v>
          </cell>
          <cell r="B3012" t="str">
            <v>10106131-4004003LF Connector,PB+VR</v>
          </cell>
          <cell r="C3012">
            <v>4.4000000000000003E-3</v>
          </cell>
          <cell r="D3012">
            <v>1352.2727272727273</v>
          </cell>
          <cell r="E3012">
            <v>4056.818181818182</v>
          </cell>
          <cell r="F3012">
            <v>2.8000000000000001E-2</v>
          </cell>
        </row>
        <row r="3013">
          <cell r="A3013" t="str">
            <v>10106131-4006001LF</v>
          </cell>
          <cell r="B3013" t="str">
            <v>10106131-4006001LF PwrBlade+ VR PF</v>
          </cell>
          <cell r="C3013">
            <v>2.1999999999999999E-2</v>
          </cell>
          <cell r="D3013">
            <v>270.4545454545455</v>
          </cell>
          <cell r="E3013">
            <v>811.36363636363649</v>
          </cell>
          <cell r="F3013">
            <v>3.5999999999999997E-2</v>
          </cell>
        </row>
        <row r="3014">
          <cell r="A3014" t="str">
            <v>10106131-4006005LF</v>
          </cell>
          <cell r="B3014" t="str">
            <v>10106131-4006005LF PwrBlade+ VR PF</v>
          </cell>
          <cell r="C3014">
            <v>2.1000000000000001E-2</v>
          </cell>
          <cell r="D3014">
            <v>283.33333333333331</v>
          </cell>
          <cell r="E3014">
            <v>850</v>
          </cell>
          <cell r="F3014">
            <v>2.6275799999999998E-2</v>
          </cell>
        </row>
        <row r="3015">
          <cell r="A3015" t="str">
            <v>10106131-4006009LF</v>
          </cell>
          <cell r="B3015" t="str">
            <v>10106131-4006009LF Connector,PB+VR</v>
          </cell>
          <cell r="C3015">
            <v>6.7000000000000002E-3</v>
          </cell>
          <cell r="D3015">
            <v>888.05970149253733</v>
          </cell>
          <cell r="E3015">
            <v>2664.1791044776119</v>
          </cell>
          <cell r="F3015">
            <v>2.5999999999999999E-2</v>
          </cell>
        </row>
        <row r="3016">
          <cell r="A3016" t="str">
            <v>10106131-4006011LF</v>
          </cell>
          <cell r="B3016" t="str">
            <v>10106131-4006011LF PwrBlade+ VR PF</v>
          </cell>
          <cell r="C3016">
            <v>8.0000000000000002E-3</v>
          </cell>
          <cell r="D3016">
            <v>743.75</v>
          </cell>
          <cell r="E3016">
            <v>2231.25</v>
          </cell>
          <cell r="F3016">
            <v>0.03</v>
          </cell>
        </row>
        <row r="3017">
          <cell r="A3017" t="str">
            <v>10106131-4006012LF</v>
          </cell>
          <cell r="B3017" t="str">
            <v>10106131-4006012LF Connector,PB+VR</v>
          </cell>
          <cell r="C3017">
            <v>6.0000000000000001E-3</v>
          </cell>
          <cell r="D3017">
            <v>991.66666666666663</v>
          </cell>
          <cell r="E3017">
            <v>2975</v>
          </cell>
          <cell r="F3017">
            <v>3.5000000000000003E-2</v>
          </cell>
        </row>
        <row r="3018">
          <cell r="A3018" t="str">
            <v>10106131-4006201LF</v>
          </cell>
          <cell r="B3018" t="str">
            <v>10106131-4006201LF Connector,PB+VR</v>
          </cell>
          <cell r="C3018">
            <v>1.7899999999999999E-2</v>
          </cell>
          <cell r="D3018">
            <v>332.40223463687153</v>
          </cell>
          <cell r="E3018">
            <v>997.20670391061458</v>
          </cell>
          <cell r="F3018">
            <v>2.2200000000000001E-2</v>
          </cell>
        </row>
        <row r="3019">
          <cell r="A3019" t="str">
            <v>10106131-4006202LF</v>
          </cell>
          <cell r="B3019" t="str">
            <v>10106131-4006202LF Connector,PB+VR</v>
          </cell>
          <cell r="C3019">
            <v>2.1000000000000001E-2</v>
          </cell>
          <cell r="D3019">
            <v>283.33333333333331</v>
          </cell>
          <cell r="E3019">
            <v>850</v>
          </cell>
          <cell r="F3019">
            <v>3.5999999999999997E-2</v>
          </cell>
        </row>
        <row r="3020">
          <cell r="A3020" t="str">
            <v>10106131-4008001LF</v>
          </cell>
          <cell r="B3020" t="str">
            <v>10106131-4008001LF Connector,PB+VR</v>
          </cell>
          <cell r="C3020">
            <v>2.63E-2</v>
          </cell>
          <cell r="D3020">
            <v>226.23574144486693</v>
          </cell>
          <cell r="E3020">
            <v>678.70722433460082</v>
          </cell>
          <cell r="F3020">
            <v>3.6999999999999998E-2</v>
          </cell>
        </row>
        <row r="3021">
          <cell r="A3021" t="str">
            <v>10106131-4008201LF</v>
          </cell>
          <cell r="B3021" t="str">
            <v>10106131-4008201LF Connector,PB+VR</v>
          </cell>
          <cell r="C3021">
            <v>2.63E-2</v>
          </cell>
          <cell r="D3021">
            <v>226.23574144486693</v>
          </cell>
          <cell r="E3021">
            <v>678.70722433460082</v>
          </cell>
          <cell r="F3021">
            <v>3.6999999999999998E-2</v>
          </cell>
        </row>
        <row r="3022">
          <cell r="A3022" t="str">
            <v>10106131-4008401LF</v>
          </cell>
          <cell r="B3022" t="str">
            <v>10106131-4008401LF Connector,PB+VR</v>
          </cell>
          <cell r="C3022">
            <v>8.8999999999999999E-3</v>
          </cell>
          <cell r="D3022">
            <v>668.5393258426966</v>
          </cell>
          <cell r="E3022">
            <v>2005.6179775280898</v>
          </cell>
          <cell r="F3022">
            <v>2.5000000000000001E-2</v>
          </cell>
        </row>
        <row r="3023">
          <cell r="A3023" t="str">
            <v>10106131-4012001LF</v>
          </cell>
          <cell r="B3023" t="str">
            <v>10106131-4012001LF Connector,PB+VR</v>
          </cell>
          <cell r="C3023">
            <v>3.8399999999999997E-2</v>
          </cell>
          <cell r="D3023">
            <v>154.94791666666669</v>
          </cell>
          <cell r="E3023">
            <v>464.84375000000006</v>
          </cell>
          <cell r="F3023">
            <v>3.9E-2</v>
          </cell>
        </row>
        <row r="3024">
          <cell r="A3024" t="str">
            <v>10106131-4012201LF</v>
          </cell>
          <cell r="B3024" t="str">
            <v>10106131-4012201LF Connector,PB+VR</v>
          </cell>
          <cell r="C3024">
            <v>3.8399999999999997E-2</v>
          </cell>
          <cell r="D3024">
            <v>154.94791666666669</v>
          </cell>
          <cell r="E3024">
            <v>464.84375000000006</v>
          </cell>
          <cell r="F3024">
            <v>3.5099999999999999E-2</v>
          </cell>
        </row>
        <row r="3025">
          <cell r="A3025" t="str">
            <v>10106131-5005001LF</v>
          </cell>
          <cell r="B3025" t="str">
            <v>10106131-5005001LF Connector,PB+VR</v>
          </cell>
          <cell r="C3025">
            <v>7.1999999999999998E-3</v>
          </cell>
          <cell r="D3025">
            <v>826.38888888888891</v>
          </cell>
          <cell r="E3025">
            <v>2479.166666666667</v>
          </cell>
          <cell r="F3025">
            <v>2.41E-2</v>
          </cell>
        </row>
        <row r="3026">
          <cell r="A3026" t="str">
            <v>10106131-5005002LF</v>
          </cell>
          <cell r="B3026" t="str">
            <v>10106131-5005002LF PwrBlade+ VR PF</v>
          </cell>
          <cell r="C3026">
            <v>1.7999999999999999E-2</v>
          </cell>
          <cell r="D3026">
            <v>330.5555555555556</v>
          </cell>
          <cell r="E3026">
            <v>991.66666666666674</v>
          </cell>
          <cell r="F3026">
            <v>3.5200000000000002E-2</v>
          </cell>
        </row>
        <row r="3027">
          <cell r="A3027" t="str">
            <v>10106131-6000001LF</v>
          </cell>
          <cell r="B3027" t="str">
            <v>10106131-6000001LF Connector,PB+VR</v>
          </cell>
          <cell r="C3027">
            <v>6.1000000000000004E-3</v>
          </cell>
          <cell r="D3027">
            <v>975.4098360655737</v>
          </cell>
          <cell r="E3027">
            <v>2926.2295081967213</v>
          </cell>
          <cell r="F3027">
            <v>3.1E-2</v>
          </cell>
        </row>
        <row r="3028">
          <cell r="A3028" t="str">
            <v>10106131-6000002LF</v>
          </cell>
          <cell r="B3028" t="str">
            <v>10106131-6000002LF PwrBlade+ VR PF</v>
          </cell>
          <cell r="C3028">
            <v>3.0000000000000001E-3</v>
          </cell>
          <cell r="D3028">
            <v>1983.3333333333333</v>
          </cell>
          <cell r="E3028">
            <v>5950</v>
          </cell>
          <cell r="F3028">
            <v>2.5000000000000001E-2</v>
          </cell>
        </row>
        <row r="3029">
          <cell r="A3029" t="str">
            <v>10106131-6000A01LF</v>
          </cell>
          <cell r="B3029" t="str">
            <v>10106131-6000A01LF Connector,PB+VR</v>
          </cell>
          <cell r="C3029">
            <v>6.1000000000000004E-3</v>
          </cell>
          <cell r="D3029">
            <v>975.4098360655737</v>
          </cell>
          <cell r="E3029">
            <v>2926.2295081967213</v>
          </cell>
          <cell r="F3029">
            <v>3.2000000000000001E-2</v>
          </cell>
        </row>
        <row r="3030">
          <cell r="A3030" t="str">
            <v>10106131-6002001LF</v>
          </cell>
          <cell r="B3030" t="str">
            <v>10106131-6002001LF Connector,PB+VR</v>
          </cell>
          <cell r="C3030">
            <v>8.0999999999999996E-3</v>
          </cell>
          <cell r="D3030">
            <v>734.56790123456801</v>
          </cell>
          <cell r="E3030">
            <v>2203.7037037037039</v>
          </cell>
          <cell r="F3030">
            <v>3.9E-2</v>
          </cell>
        </row>
        <row r="3031">
          <cell r="A3031" t="str">
            <v>10106131-6004004LF</v>
          </cell>
          <cell r="B3031" t="str">
            <v>10106131-6004004LF Connector,PB+VR</v>
          </cell>
          <cell r="C3031">
            <v>4.4000000000000003E-3</v>
          </cell>
          <cell r="D3031">
            <v>1352.2727272727273</v>
          </cell>
          <cell r="E3031">
            <v>4056.818181818182</v>
          </cell>
          <cell r="F3031">
            <v>2.4E-2</v>
          </cell>
        </row>
        <row r="3032">
          <cell r="A3032" t="str">
            <v>10106131-6006003LF</v>
          </cell>
          <cell r="B3032" t="str">
            <v>10106131-6006003LF Connector,PB+VR</v>
          </cell>
          <cell r="C3032">
            <v>6.6E-3</v>
          </cell>
          <cell r="D3032">
            <v>901.5151515151515</v>
          </cell>
          <cell r="E3032">
            <v>2704.5454545454545</v>
          </cell>
          <cell r="F3032">
            <v>3.5999999999999997E-2</v>
          </cell>
        </row>
        <row r="3033">
          <cell r="A3033" t="str">
            <v>10106131-6006004LF</v>
          </cell>
          <cell r="B3033" t="str">
            <v>10106131-6006004LF Connector,PB+VR</v>
          </cell>
          <cell r="C3033">
            <v>6.7000000000000002E-3</v>
          </cell>
          <cell r="D3033">
            <v>888.05970149253733</v>
          </cell>
          <cell r="E3033">
            <v>2664.1791044776119</v>
          </cell>
          <cell r="F3033">
            <v>3.5000000000000003E-2</v>
          </cell>
        </row>
        <row r="3034">
          <cell r="A3034" t="str">
            <v>10106131-6006006LF</v>
          </cell>
          <cell r="B3034" t="str">
            <v>10106131-6006006LF Connector,PB+VR</v>
          </cell>
          <cell r="C3034">
            <v>8.0000000000000002E-3</v>
          </cell>
          <cell r="D3034">
            <v>743.75</v>
          </cell>
          <cell r="E3034">
            <v>2231.25</v>
          </cell>
          <cell r="F3034">
            <v>3.1E-2</v>
          </cell>
        </row>
        <row r="3035">
          <cell r="A3035" t="str">
            <v>10106131-7005001LF</v>
          </cell>
          <cell r="B3035" t="str">
            <v>10106131-7005001LF Connector,PB+VR</v>
          </cell>
          <cell r="C3035">
            <v>7.1999999999999998E-3</v>
          </cell>
          <cell r="D3035">
            <v>826.38888888888891</v>
          </cell>
          <cell r="E3035">
            <v>2479.166666666667</v>
          </cell>
          <cell r="F3035">
            <v>2.8199999999999999E-2</v>
          </cell>
        </row>
        <row r="3036">
          <cell r="A3036" t="str">
            <v>10106131-8000001LF</v>
          </cell>
          <cell r="B3036" t="str">
            <v>10106131-8000001LF Connector,PB+VR</v>
          </cell>
          <cell r="C3036">
            <v>6.1000000000000004E-3</v>
          </cell>
          <cell r="D3036">
            <v>975.4098360655737</v>
          </cell>
          <cell r="E3036">
            <v>2926.2295081967213</v>
          </cell>
          <cell r="F3036">
            <v>3.7999999999999999E-2</v>
          </cell>
        </row>
        <row r="3037">
          <cell r="A3037" t="str">
            <v>10106131-8004003LF</v>
          </cell>
          <cell r="B3037" t="str">
            <v>10106131-8004003LF Connector,PB+VR</v>
          </cell>
          <cell r="C3037">
            <v>4.4000000000000003E-3</v>
          </cell>
          <cell r="D3037">
            <v>1352.2727272727273</v>
          </cell>
          <cell r="E3037">
            <v>4056.818181818182</v>
          </cell>
          <cell r="F3037">
            <v>2.1999999999999999E-2</v>
          </cell>
        </row>
        <row r="3038">
          <cell r="A3038" t="str">
            <v>10106131-8005003LF</v>
          </cell>
          <cell r="B3038" t="str">
            <v>10106131-8005003LF Connector,PB+VR</v>
          </cell>
          <cell r="C3038">
            <v>5.0000000000000001E-3</v>
          </cell>
          <cell r="D3038">
            <v>1190</v>
          </cell>
          <cell r="E3038">
            <v>3570</v>
          </cell>
          <cell r="F3038">
            <v>2.7E-2</v>
          </cell>
        </row>
        <row r="3039">
          <cell r="A3039" t="str">
            <v>10106131-8005004LF</v>
          </cell>
          <cell r="B3039" t="str">
            <v>10106131-8005004LF Connector,PB+VR</v>
          </cell>
          <cell r="C3039">
            <v>5.0000000000000001E-3</v>
          </cell>
          <cell r="D3039">
            <v>1190</v>
          </cell>
          <cell r="E3039">
            <v>3570</v>
          </cell>
          <cell r="F3039">
            <v>2.7E-2</v>
          </cell>
        </row>
        <row r="3040">
          <cell r="A3040" t="str">
            <v>10106131-8008002LF</v>
          </cell>
          <cell r="B3040" t="str">
            <v>10106131-8008002LF PwrBlade+ VR PF</v>
          </cell>
          <cell r="C3040">
            <v>8.8999999999999999E-3</v>
          </cell>
          <cell r="D3040">
            <v>668.5393258426966</v>
          </cell>
          <cell r="E3040">
            <v>2005.6179775280898</v>
          </cell>
          <cell r="F3040">
            <v>2.8049999999999999E-2</v>
          </cell>
        </row>
        <row r="3041">
          <cell r="A3041" t="str">
            <v>10106131-8009003LF</v>
          </cell>
          <cell r="B3041" t="str">
            <v>10106131-8009003LF PwrBlade+ VR PF</v>
          </cell>
          <cell r="C3041">
            <v>8.0000000000000002E-3</v>
          </cell>
          <cell r="D3041">
            <v>743.75</v>
          </cell>
          <cell r="E3041">
            <v>2231.25</v>
          </cell>
          <cell r="F3041">
            <v>3.5000000000000003E-2</v>
          </cell>
        </row>
        <row r="3042">
          <cell r="A3042" t="str">
            <v>10106131-9014001LF</v>
          </cell>
          <cell r="B3042" t="str">
            <v>10106131-9014001LF PwrBlade+ VR PF</v>
          </cell>
          <cell r="C3042">
            <v>1.2E-2</v>
          </cell>
          <cell r="D3042">
            <v>495.83333333333331</v>
          </cell>
          <cell r="E3042">
            <v>1487.5</v>
          </cell>
          <cell r="F3042">
            <v>2.8000000000000001E-2</v>
          </cell>
        </row>
        <row r="3043">
          <cell r="A3043" t="str">
            <v>10106131-A000001LF</v>
          </cell>
          <cell r="B3043" t="str">
            <v>10106131-A000001LF Connector,PB+VR</v>
          </cell>
          <cell r="C3043">
            <v>6.1000000000000004E-3</v>
          </cell>
          <cell r="D3043">
            <v>975.4098360655737</v>
          </cell>
          <cell r="E3043">
            <v>2926.2295081967213</v>
          </cell>
          <cell r="F3043">
            <v>3.6999999999999998E-2</v>
          </cell>
        </row>
        <row r="3044">
          <cell r="A3044" t="str">
            <v>10106131-A004001LF</v>
          </cell>
          <cell r="B3044" t="str">
            <v>10106131-A004001LF Connector,PB+VR</v>
          </cell>
          <cell r="C3044">
            <v>3.0000000000000001E-3</v>
          </cell>
          <cell r="D3044">
            <v>1983.3333333333333</v>
          </cell>
          <cell r="E3044">
            <v>5950</v>
          </cell>
          <cell r="F3044">
            <v>3.2000000000000001E-2</v>
          </cell>
        </row>
        <row r="3045">
          <cell r="A3045" t="str">
            <v>10106131-A006001LF</v>
          </cell>
          <cell r="B3045" t="str">
            <v>10106131-A006001LF PwrBlade+ VR PF</v>
          </cell>
          <cell r="C3045">
            <v>8.0000000000000002E-3</v>
          </cell>
          <cell r="D3045">
            <v>743.75</v>
          </cell>
          <cell r="E3045">
            <v>2231.25</v>
          </cell>
          <cell r="F3045">
            <v>3.7999999999999999E-2</v>
          </cell>
        </row>
        <row r="3046">
          <cell r="A3046" t="str">
            <v>10106131-C000001LF</v>
          </cell>
          <cell r="B3046" t="str">
            <v>10106131-C000001LF Connector,PB+VR</v>
          </cell>
          <cell r="C3046">
            <v>6.1000000000000004E-3</v>
          </cell>
          <cell r="D3046">
            <v>975.4098360655737</v>
          </cell>
          <cell r="E3046">
            <v>2926.2295081967213</v>
          </cell>
          <cell r="F3046">
            <v>5.8000000000000003E-2</v>
          </cell>
        </row>
        <row r="3047">
          <cell r="A3047" t="str">
            <v>10106131-C000002LF</v>
          </cell>
          <cell r="B3047" t="str">
            <v>10106131-C000002LF PwrBlade+ VR PF</v>
          </cell>
          <cell r="C3047">
            <v>6.1000000000000004E-3</v>
          </cell>
          <cell r="D3047">
            <v>975.4098360655737</v>
          </cell>
          <cell r="E3047">
            <v>2926.2295081967213</v>
          </cell>
          <cell r="F3047">
            <v>5.2200000000000003E-2</v>
          </cell>
        </row>
        <row r="3048">
          <cell r="A3048" t="str">
            <v>10106131-C004001LF</v>
          </cell>
          <cell r="B3048" t="str">
            <v>10106131-C004001LF Connector,PB+VR</v>
          </cell>
          <cell r="C3048">
            <v>5.0000000000000001E-3</v>
          </cell>
          <cell r="D3048">
            <v>1190</v>
          </cell>
          <cell r="E3048">
            <v>3570</v>
          </cell>
          <cell r="F3048">
            <v>2.35E-2</v>
          </cell>
        </row>
        <row r="3049">
          <cell r="A3049" t="str">
            <v>10106131-C006001LF</v>
          </cell>
          <cell r="B3049" t="str">
            <v>10106131-C006001LF Connector,PB+VR</v>
          </cell>
          <cell r="C3049">
            <v>7.0000000000000001E-3</v>
          </cell>
          <cell r="D3049">
            <v>850</v>
          </cell>
          <cell r="E3049">
            <v>2550</v>
          </cell>
          <cell r="F3049">
            <v>3.1699999999999999E-2</v>
          </cell>
        </row>
        <row r="3050">
          <cell r="A3050" t="str">
            <v>10106131-C010K01LF</v>
          </cell>
          <cell r="B3050" t="str">
            <v>10106131-C010K01LF Connector,PB+VR</v>
          </cell>
          <cell r="C3050">
            <v>0.01</v>
          </cell>
          <cell r="D3050">
            <v>595</v>
          </cell>
          <cell r="E3050">
            <v>1785</v>
          </cell>
          <cell r="F3050">
            <v>3.2000000000000001E-2</v>
          </cell>
        </row>
        <row r="3051">
          <cell r="A3051" t="str">
            <v>10106131-C812001LF</v>
          </cell>
          <cell r="B3051" t="str">
            <v>10106131-C812001LF Connector,PB+VR</v>
          </cell>
          <cell r="C3051">
            <v>3.8300000000000001E-2</v>
          </cell>
          <cell r="D3051">
            <v>155.35248041775458</v>
          </cell>
          <cell r="E3051">
            <v>466.05744125326373</v>
          </cell>
          <cell r="F3051">
            <v>7.46E-2</v>
          </cell>
        </row>
        <row r="3052">
          <cell r="A3052" t="str">
            <v>10106131-E005001LF</v>
          </cell>
          <cell r="B3052" t="str">
            <v>10106131-E005001LF PwrBlade+ VR PF</v>
          </cell>
          <cell r="C3052">
            <v>6.7000000000000002E-3</v>
          </cell>
          <cell r="D3052">
            <v>888.05970149253733</v>
          </cell>
          <cell r="E3052">
            <v>2664.1791044776119</v>
          </cell>
          <cell r="F3052">
            <v>3.5000000000000003E-2</v>
          </cell>
        </row>
        <row r="3053">
          <cell r="A3053" t="str">
            <v>10106131-E006001LF</v>
          </cell>
          <cell r="B3053" t="str">
            <v>10106131-E006001LF Connector,PB+VR</v>
          </cell>
          <cell r="C3053">
            <v>6.7000000000000002E-3</v>
          </cell>
          <cell r="D3053">
            <v>888.05970149253733</v>
          </cell>
          <cell r="E3053">
            <v>2664.1791044776119</v>
          </cell>
          <cell r="F3053">
            <v>4.2000000000000003E-2</v>
          </cell>
        </row>
        <row r="3054">
          <cell r="A3054" t="str">
            <v>10106131-G018001LF</v>
          </cell>
          <cell r="B3054" t="str">
            <v>10106131-G018001LF Connector,PB+VR</v>
          </cell>
          <cell r="C3054">
            <v>5.7000000000000002E-2</v>
          </cell>
          <cell r="D3054">
            <v>104.3859649122807</v>
          </cell>
          <cell r="E3054">
            <v>313.15789473684208</v>
          </cell>
          <cell r="F3054">
            <v>7.4999999999999997E-2</v>
          </cell>
        </row>
        <row r="3055">
          <cell r="A3055" t="str">
            <v>10106131-G018002LF</v>
          </cell>
          <cell r="B3055" t="str">
            <v>10106131-G018002LF PwrBlade+ VR PF</v>
          </cell>
          <cell r="C3055">
            <v>5.7000000000000002E-2</v>
          </cell>
          <cell r="D3055">
            <v>104.3859649122807</v>
          </cell>
          <cell r="E3055">
            <v>313.15789473684208</v>
          </cell>
          <cell r="F3055">
            <v>7.9439999999999997E-2</v>
          </cell>
        </row>
        <row r="3056">
          <cell r="A3056" t="str">
            <v>10106132-2000004LF</v>
          </cell>
          <cell r="B3056" t="str">
            <v>10106132-2000004LF PB+ RAH STB</v>
          </cell>
          <cell r="C3056">
            <v>3.0000000000000001E-3</v>
          </cell>
          <cell r="D3056">
            <v>1983.3333333333333</v>
          </cell>
          <cell r="E3056">
            <v>5950</v>
          </cell>
          <cell r="F3056">
            <v>2.1999999999999999E-2</v>
          </cell>
        </row>
        <row r="3057">
          <cell r="A3057" t="str">
            <v>10106132-2004001LF</v>
          </cell>
          <cell r="B3057" t="str">
            <v>10106132-2004001LF Connector,PB+RH</v>
          </cell>
          <cell r="C3057">
            <v>3.3E-3</v>
          </cell>
          <cell r="D3057">
            <v>1803.030303030303</v>
          </cell>
          <cell r="E3057">
            <v>5409.090909090909</v>
          </cell>
          <cell r="F3057">
            <v>3.2000000000000001E-2</v>
          </cell>
        </row>
        <row r="3058">
          <cell r="A3058" t="str">
            <v>10106132-2005K01LF</v>
          </cell>
          <cell r="B3058" t="str">
            <v>10106132-2005K01LF Connector,PB+RH</v>
          </cell>
          <cell r="C3058">
            <v>3.3E-3</v>
          </cell>
          <cell r="D3058">
            <v>1803.030303030303</v>
          </cell>
          <cell r="E3058">
            <v>5409.090909090909</v>
          </cell>
          <cell r="F3058">
            <v>3.6999999999999998E-2</v>
          </cell>
        </row>
        <row r="3059">
          <cell r="A3059" t="str">
            <v>10106132-4000001LF</v>
          </cell>
          <cell r="B3059" t="str">
            <v>10106132-4000001LF Connector,PB+RH</v>
          </cell>
          <cell r="C3059">
            <v>6.1000000000000004E-3</v>
          </cell>
          <cell r="D3059">
            <v>975.4098360655737</v>
          </cell>
          <cell r="E3059">
            <v>2926.2295081967213</v>
          </cell>
          <cell r="F3059">
            <v>2.3E-2</v>
          </cell>
        </row>
        <row r="3060">
          <cell r="A3060" t="str">
            <v>10106132-4002001LF</v>
          </cell>
          <cell r="B3060" t="str">
            <v>10106132-4002001LF Connector,PB+RH</v>
          </cell>
          <cell r="C3060">
            <v>3.3E-3</v>
          </cell>
          <cell r="D3060">
            <v>1803.030303030303</v>
          </cell>
          <cell r="E3060">
            <v>5409.090909090909</v>
          </cell>
          <cell r="F3060">
            <v>2.5000000000000001E-2</v>
          </cell>
        </row>
        <row r="3061">
          <cell r="A3061" t="str">
            <v>10106132-4003002LF</v>
          </cell>
          <cell r="B3061" t="str">
            <v>10106132-4003002LF Connector,PB+RH</v>
          </cell>
          <cell r="C3061">
            <v>1.0999999999999999E-2</v>
          </cell>
          <cell r="D3061">
            <v>540.90909090909099</v>
          </cell>
          <cell r="E3061">
            <v>1622.727272727273</v>
          </cell>
          <cell r="F3061">
            <v>3.4000000000000002E-2</v>
          </cell>
        </row>
        <row r="3062">
          <cell r="A3062" t="str">
            <v>10106132-4003003LF</v>
          </cell>
          <cell r="B3062" t="str">
            <v>10106132-4003003LF Connector,PB+RH</v>
          </cell>
          <cell r="C3062">
            <v>3.3E-3</v>
          </cell>
          <cell r="D3062">
            <v>1803.030303030303</v>
          </cell>
          <cell r="E3062">
            <v>5409.090909090909</v>
          </cell>
          <cell r="F3062">
            <v>3.2000000000000001E-2</v>
          </cell>
        </row>
        <row r="3063">
          <cell r="A3063" t="str">
            <v>10106132-4004K02LF</v>
          </cell>
          <cell r="B3063" t="str">
            <v>10106132-4004K02LF Connector,PB+RH</v>
          </cell>
          <cell r="C3063">
            <v>3.0000000000000001E-3</v>
          </cell>
          <cell r="D3063">
            <v>1983.3333333333333</v>
          </cell>
          <cell r="E3063">
            <v>5950</v>
          </cell>
          <cell r="F3063">
            <v>3.1E-2</v>
          </cell>
        </row>
        <row r="3064">
          <cell r="A3064" t="str">
            <v>10106132-4004K03LF</v>
          </cell>
          <cell r="B3064" t="str">
            <v>10106132-4004K03LF Connector,PB+RH</v>
          </cell>
          <cell r="C3064">
            <v>4.0000000000000001E-3</v>
          </cell>
          <cell r="D3064">
            <v>1487.5</v>
          </cell>
          <cell r="E3064">
            <v>4462.5</v>
          </cell>
          <cell r="F3064">
            <v>3.5000000000000003E-2</v>
          </cell>
        </row>
        <row r="3065">
          <cell r="A3065" t="str">
            <v>10106132-4005001LF</v>
          </cell>
          <cell r="B3065" t="str">
            <v>10106132-4005001LF Connector,PB+RH</v>
          </cell>
          <cell r="C3065">
            <v>3.3E-3</v>
          </cell>
          <cell r="D3065">
            <v>1803.030303030303</v>
          </cell>
          <cell r="E3065">
            <v>5409.090909090909</v>
          </cell>
          <cell r="F3065">
            <v>4.1000000000000002E-2</v>
          </cell>
        </row>
        <row r="3066">
          <cell r="A3066" t="str">
            <v>10106132-4006004LF</v>
          </cell>
          <cell r="B3066" t="str">
            <v>10106132-4006004LF Connector,PB+RH</v>
          </cell>
          <cell r="C3066">
            <v>6.7000000000000002E-3</v>
          </cell>
          <cell r="D3066">
            <v>888.05970149253733</v>
          </cell>
          <cell r="E3066">
            <v>2664.1791044776119</v>
          </cell>
          <cell r="F3066">
            <v>5.2999999999999999E-2</v>
          </cell>
        </row>
        <row r="3067">
          <cell r="A3067" t="str">
            <v>10106132-4006005LF</v>
          </cell>
          <cell r="B3067" t="str">
            <v>10106132-4006005LF Connector,PB+RH</v>
          </cell>
          <cell r="C3067">
            <v>3.3E-3</v>
          </cell>
          <cell r="D3067">
            <v>1803.030303030303</v>
          </cell>
          <cell r="E3067">
            <v>5409.090909090909</v>
          </cell>
          <cell r="F3067">
            <v>2.8000000000000001E-2</v>
          </cell>
        </row>
        <row r="3068">
          <cell r="A3068" t="str">
            <v>10106132-4006006LF</v>
          </cell>
          <cell r="B3068" t="str">
            <v>10106132-4006006LF Connector,PB+RH</v>
          </cell>
          <cell r="C3068">
            <v>3.3E-3</v>
          </cell>
          <cell r="D3068">
            <v>1803.030303030303</v>
          </cell>
          <cell r="E3068">
            <v>5409.090909090909</v>
          </cell>
          <cell r="F3068">
            <v>3.2000000000000001E-2</v>
          </cell>
        </row>
        <row r="3069">
          <cell r="A3069" t="str">
            <v>10106132-5005001LF</v>
          </cell>
          <cell r="B3069" t="str">
            <v>10106132-5005001LF Connector,PB+RH</v>
          </cell>
          <cell r="C3069">
            <v>3.3E-3</v>
          </cell>
          <cell r="D3069">
            <v>1803.030303030303</v>
          </cell>
          <cell r="E3069">
            <v>5409.090909090909</v>
          </cell>
          <cell r="F3069">
            <v>4.1000000000000002E-2</v>
          </cell>
        </row>
        <row r="3070">
          <cell r="A3070" t="str">
            <v>10106132-6006001LF</v>
          </cell>
          <cell r="B3070" t="str">
            <v>10106132-6006001LF Connector,PB+RH</v>
          </cell>
          <cell r="C3070">
            <v>3.0000000000000001E-3</v>
          </cell>
          <cell r="D3070">
            <v>1983.3333333333333</v>
          </cell>
          <cell r="E3070">
            <v>5950</v>
          </cell>
          <cell r="F3070">
            <v>4.2000000000000003E-2</v>
          </cell>
        </row>
        <row r="3071">
          <cell r="A3071" t="str">
            <v>10106132-6006003LF</v>
          </cell>
          <cell r="B3071" t="str">
            <v>10106132-6006003LF Connector,PB+RH</v>
          </cell>
          <cell r="C3071">
            <v>3.3E-3</v>
          </cell>
          <cell r="D3071">
            <v>1803.030303030303</v>
          </cell>
          <cell r="E3071">
            <v>5409.090909090909</v>
          </cell>
          <cell r="F3071">
            <v>4.4999999999999998E-2</v>
          </cell>
        </row>
        <row r="3072">
          <cell r="A3072" t="str">
            <v>10106132-7008001LF</v>
          </cell>
          <cell r="B3072" t="str">
            <v>10106132-7008001LF PwrBlade+ RAH STB</v>
          </cell>
          <cell r="C3072">
            <v>3.3E-3</v>
          </cell>
          <cell r="D3072">
            <v>1803.030303030303</v>
          </cell>
          <cell r="E3072">
            <v>5409.090909090909</v>
          </cell>
          <cell r="F3072">
            <v>3.9E-2</v>
          </cell>
        </row>
        <row r="3073">
          <cell r="A3073" t="str">
            <v>10106132-7008002LF</v>
          </cell>
          <cell r="B3073" t="str">
            <v>10106132-7008002LF PwrBlade+ RAH STB</v>
          </cell>
          <cell r="C3073">
            <v>3.3E-3</v>
          </cell>
          <cell r="D3073">
            <v>1803.030303030303</v>
          </cell>
          <cell r="E3073">
            <v>5409.090909090909</v>
          </cell>
          <cell r="F3073">
            <v>3.9E-2</v>
          </cell>
        </row>
        <row r="3074">
          <cell r="A3074" t="str">
            <v>10106132-8000001LF</v>
          </cell>
          <cell r="B3074" t="str">
            <v>10106132-8000001LF PwrBlade+ RAH STB</v>
          </cell>
          <cell r="C3074">
            <v>6.1000000000000004E-3</v>
          </cell>
          <cell r="D3074">
            <v>975.4098360655737</v>
          </cell>
          <cell r="E3074">
            <v>2926.2295081967213</v>
          </cell>
          <cell r="F3074">
            <v>3.5000000000000003E-2</v>
          </cell>
        </row>
        <row r="3075">
          <cell r="A3075" t="str">
            <v>10106132-8003002LF</v>
          </cell>
          <cell r="B3075" t="str">
            <v>10106132-8003002LF Connector,PB+RH</v>
          </cell>
          <cell r="C3075">
            <v>6.1000000000000004E-3</v>
          </cell>
          <cell r="D3075">
            <v>975.4098360655737</v>
          </cell>
          <cell r="E3075">
            <v>2926.2295081967213</v>
          </cell>
          <cell r="F3075">
            <v>5.6000000000000001E-2</v>
          </cell>
        </row>
        <row r="3076">
          <cell r="A3076" t="str">
            <v>10106132-8003003LF</v>
          </cell>
          <cell r="B3076" t="str">
            <v>10106132-8003003LF Connector,PB+RH</v>
          </cell>
          <cell r="C3076">
            <v>3.3E-3</v>
          </cell>
          <cell r="D3076">
            <v>1803.030303030303</v>
          </cell>
          <cell r="E3076">
            <v>5409.090909090909</v>
          </cell>
          <cell r="F3076">
            <v>4.8000000000000001E-2</v>
          </cell>
        </row>
        <row r="3077">
          <cell r="A3077" t="str">
            <v>10106132-8004001LF</v>
          </cell>
          <cell r="B3077" t="str">
            <v>10106132-8004001LF Connector,PB+RH</v>
          </cell>
          <cell r="C3077">
            <v>3.3E-3</v>
          </cell>
          <cell r="D3077">
            <v>1803.030303030303</v>
          </cell>
          <cell r="E3077">
            <v>5409.090909090909</v>
          </cell>
          <cell r="F3077">
            <v>4.1000000000000002E-2</v>
          </cell>
        </row>
        <row r="3078">
          <cell r="A3078" t="str">
            <v>10106132-8004003LF</v>
          </cell>
          <cell r="B3078" t="str">
            <v>10106132-8004003LF Connector,PB+RH</v>
          </cell>
          <cell r="C3078">
            <v>3.3E-3</v>
          </cell>
          <cell r="D3078">
            <v>1803.030303030303</v>
          </cell>
          <cell r="E3078">
            <v>5409.090909090909</v>
          </cell>
          <cell r="F3078">
            <v>4.1000000000000002E-2</v>
          </cell>
        </row>
        <row r="3079">
          <cell r="A3079" t="str">
            <v>10106132-8005001LF</v>
          </cell>
          <cell r="B3079" t="str">
            <v>10106132-8005001LF Connector,PB+RH</v>
          </cell>
          <cell r="C3079">
            <v>2E-3</v>
          </cell>
          <cell r="D3079">
            <v>2975</v>
          </cell>
          <cell r="E3079">
            <v>8925</v>
          </cell>
          <cell r="F3079">
            <v>3.0300000000000001E-2</v>
          </cell>
        </row>
        <row r="3080">
          <cell r="A3080" t="str">
            <v>10106132-8005002LF</v>
          </cell>
          <cell r="B3080" t="str">
            <v>10106132-8005002LF Connector,PB+RH</v>
          </cell>
          <cell r="C3080">
            <v>3.0000000000000001E-3</v>
          </cell>
          <cell r="D3080">
            <v>1983.3333333333333</v>
          </cell>
          <cell r="E3080">
            <v>5950</v>
          </cell>
          <cell r="F3080">
            <v>0.02</v>
          </cell>
        </row>
        <row r="3081">
          <cell r="A3081" t="str">
            <v>10106132-8005K01LF</v>
          </cell>
          <cell r="B3081" t="str">
            <v>10106132-8005K01LF Connector,PB+RH</v>
          </cell>
          <cell r="C3081">
            <v>3.0000000000000001E-3</v>
          </cell>
          <cell r="D3081">
            <v>1983.3333333333333</v>
          </cell>
          <cell r="E3081">
            <v>5950</v>
          </cell>
          <cell r="F3081">
            <v>2.5000000000000001E-2</v>
          </cell>
        </row>
        <row r="3082">
          <cell r="A3082" t="str">
            <v>10106132-8008002LF</v>
          </cell>
          <cell r="B3082" t="str">
            <v>10106132-8008002LF Connector,PB+RH</v>
          </cell>
          <cell r="C3082">
            <v>3.0000000000000001E-3</v>
          </cell>
          <cell r="D3082">
            <v>1983.3333333333333</v>
          </cell>
          <cell r="E3082">
            <v>5950</v>
          </cell>
          <cell r="F3082">
            <v>0.05</v>
          </cell>
        </row>
        <row r="3083">
          <cell r="A3083" t="str">
            <v>10106132-8008102LF</v>
          </cell>
          <cell r="B3083" t="str">
            <v>10106132-8008102LF Connector,PB+RH</v>
          </cell>
          <cell r="C3083">
            <v>3.3E-3</v>
          </cell>
          <cell r="D3083">
            <v>1803.030303030303</v>
          </cell>
          <cell r="E3083">
            <v>5409.090909090909</v>
          </cell>
          <cell r="F3083">
            <v>4.5999999999999999E-2</v>
          </cell>
        </row>
        <row r="3084">
          <cell r="A3084" t="str">
            <v>10106132-8017001LF</v>
          </cell>
          <cell r="B3084" t="str">
            <v>10106132-8017001LF Connector,PB+RH</v>
          </cell>
          <cell r="C3084">
            <v>3.3E-3</v>
          </cell>
          <cell r="D3084">
            <v>1803.030303030303</v>
          </cell>
          <cell r="E3084">
            <v>5409.090909090909</v>
          </cell>
          <cell r="F3084">
            <v>5.8599999999999999E-2</v>
          </cell>
        </row>
        <row r="3085">
          <cell r="A3085" t="str">
            <v>10106132-8023001LF</v>
          </cell>
          <cell r="B3085" t="str">
            <v>10106132-8023001LF Connector,PB+RH</v>
          </cell>
          <cell r="C3085">
            <v>7.0000000000000001E-3</v>
          </cell>
          <cell r="D3085">
            <v>850</v>
          </cell>
          <cell r="E3085">
            <v>2550</v>
          </cell>
          <cell r="F3085">
            <v>5.8999999999999997E-2</v>
          </cell>
        </row>
        <row r="3086">
          <cell r="A3086" t="str">
            <v>10106132-A000001LF</v>
          </cell>
          <cell r="B3086" t="str">
            <v>10106132-A000001LF Connector,PB+RH</v>
          </cell>
          <cell r="C3086">
            <v>6.1000000000000004E-3</v>
          </cell>
          <cell r="D3086">
            <v>975.4098360655737</v>
          </cell>
          <cell r="E3086">
            <v>2926.2295081967213</v>
          </cell>
          <cell r="F3086">
            <v>3.7999999999999999E-2</v>
          </cell>
        </row>
        <row r="3087">
          <cell r="A3087" t="str">
            <v>10106132-A003001LF</v>
          </cell>
          <cell r="B3087" t="str">
            <v>10106132-A003001LF Connector,PB+RH</v>
          </cell>
          <cell r="C3087">
            <v>3.3E-3</v>
          </cell>
          <cell r="D3087">
            <v>1803.030303030303</v>
          </cell>
          <cell r="E3087">
            <v>5409.090909090909</v>
          </cell>
          <cell r="F3087">
            <v>5.5E-2</v>
          </cell>
        </row>
        <row r="3088">
          <cell r="A3088" t="str">
            <v>10106132-A006001LF</v>
          </cell>
          <cell r="B3088" t="str">
            <v>10106132-A006001LF Connector,PB+RH</v>
          </cell>
          <cell r="C3088">
            <v>2E-3</v>
          </cell>
          <cell r="D3088">
            <v>2975</v>
          </cell>
          <cell r="E3088">
            <v>8925</v>
          </cell>
          <cell r="F3088">
            <v>3.2000000000000001E-2</v>
          </cell>
        </row>
        <row r="3089">
          <cell r="A3089" t="str">
            <v>10106132-A006003LF</v>
          </cell>
          <cell r="B3089" t="str">
            <v>10106132-A006003LF Connector,PB+RH</v>
          </cell>
          <cell r="C3089">
            <v>3.3E-3</v>
          </cell>
          <cell r="D3089">
            <v>1803.030303030303</v>
          </cell>
          <cell r="E3089">
            <v>5409.090909090909</v>
          </cell>
          <cell r="F3089">
            <v>3.7900000000000003E-2</v>
          </cell>
        </row>
        <row r="3090">
          <cell r="A3090" t="str">
            <v>10106132-A006101LF</v>
          </cell>
          <cell r="B3090" t="str">
            <v>10106132-A006101LF Connector,PB+RH</v>
          </cell>
          <cell r="C3090">
            <v>3.3E-3</v>
          </cell>
          <cell r="D3090">
            <v>1803.030303030303</v>
          </cell>
          <cell r="E3090">
            <v>5409.090909090909</v>
          </cell>
          <cell r="F3090">
            <v>4.3999999999999997E-2</v>
          </cell>
        </row>
        <row r="3091">
          <cell r="A3091" t="str">
            <v>10106132-A007001LF</v>
          </cell>
          <cell r="B3091" t="str">
            <v>10106132-A007001LF PwrBlade+ RAH STB</v>
          </cell>
          <cell r="C3091">
            <v>3.3E-3</v>
          </cell>
          <cell r="D3091">
            <v>1803.030303030303</v>
          </cell>
          <cell r="E3091">
            <v>5409.090909090909</v>
          </cell>
          <cell r="F3091">
            <v>3.6999999999999998E-2</v>
          </cell>
        </row>
        <row r="3092">
          <cell r="A3092" t="str">
            <v>10106132-A008001LF</v>
          </cell>
          <cell r="B3092" t="str">
            <v>10106132-A008001LF PwrBlade+ RAH STB</v>
          </cell>
          <cell r="C3092">
            <v>2E-3</v>
          </cell>
          <cell r="D3092">
            <v>2975</v>
          </cell>
          <cell r="E3092">
            <v>8925</v>
          </cell>
          <cell r="F3092">
            <v>3.4000000000000002E-2</v>
          </cell>
        </row>
        <row r="3093">
          <cell r="A3093" t="str">
            <v>10106132-A016001LF</v>
          </cell>
          <cell r="B3093" t="str">
            <v>10106132-A016001LF PwrBlade+ RAH STB</v>
          </cell>
          <cell r="C3093">
            <v>7.0000000000000001E-3</v>
          </cell>
          <cell r="D3093">
            <v>850</v>
          </cell>
          <cell r="E3093">
            <v>2550</v>
          </cell>
          <cell r="F3093">
            <v>4.9000000000000002E-2</v>
          </cell>
        </row>
        <row r="3094">
          <cell r="A3094" t="str">
            <v>10106132-B000001LF</v>
          </cell>
          <cell r="B3094" t="str">
            <v>10106132-B000001LF Connector,PB+RH</v>
          </cell>
          <cell r="C3094">
            <v>6.1000000000000004E-3</v>
          </cell>
          <cell r="D3094">
            <v>975.4098360655737</v>
          </cell>
          <cell r="E3094">
            <v>2926.2295081967213</v>
          </cell>
          <cell r="F3094">
            <v>2.8000000000000001E-2</v>
          </cell>
        </row>
        <row r="3095">
          <cell r="A3095" t="str">
            <v>10106132-B006003LF</v>
          </cell>
          <cell r="B3095" t="str">
            <v>10106132-B006003LF Connector,PB+RH</v>
          </cell>
          <cell r="C3095">
            <v>3.3E-3</v>
          </cell>
          <cell r="D3095">
            <v>1803.030303030303</v>
          </cell>
          <cell r="E3095">
            <v>5409.090909090909</v>
          </cell>
          <cell r="F3095">
            <v>4.7E-2</v>
          </cell>
        </row>
        <row r="3096">
          <cell r="A3096" t="str">
            <v>10106132-B006004LF</v>
          </cell>
          <cell r="B3096" t="str">
            <v>10106132-B006004LF Connector,PB+RH</v>
          </cell>
          <cell r="C3096">
            <v>3.3E-3</v>
          </cell>
          <cell r="D3096">
            <v>1803.030303030303</v>
          </cell>
          <cell r="E3096">
            <v>5409.090909090909</v>
          </cell>
          <cell r="F3096">
            <v>4.8000000000000001E-2</v>
          </cell>
        </row>
        <row r="3097">
          <cell r="A3097" t="str">
            <v>10106132-C000001LF</v>
          </cell>
          <cell r="B3097" t="str">
            <v>10106132-C000001LF Connector,PB+RH</v>
          </cell>
          <cell r="C3097">
            <v>6.1000000000000004E-3</v>
          </cell>
          <cell r="D3097">
            <v>975.4098360655737</v>
          </cell>
          <cell r="E3097">
            <v>2926.2295081967213</v>
          </cell>
          <cell r="F3097">
            <v>3.2000000000000001E-2</v>
          </cell>
        </row>
        <row r="3098">
          <cell r="A3098" t="str">
            <v>10106132-C003001LF</v>
          </cell>
          <cell r="B3098" t="str">
            <v>10106132-C003001LF Connector,PB+RH</v>
          </cell>
          <cell r="C3098">
            <v>3.3E-3</v>
          </cell>
          <cell r="D3098">
            <v>1803.030303030303</v>
          </cell>
          <cell r="E3098">
            <v>5409.090909090909</v>
          </cell>
          <cell r="F3098">
            <v>4.4999999999999998E-2</v>
          </cell>
        </row>
        <row r="3099">
          <cell r="A3099" t="str">
            <v>10106132-C004K01LF</v>
          </cell>
          <cell r="B3099" t="str">
            <v>10106132-C004K01LF Connector,PB+RH</v>
          </cell>
          <cell r="C3099">
            <v>3.3E-3</v>
          </cell>
          <cell r="D3099">
            <v>1803.030303030303</v>
          </cell>
          <cell r="E3099">
            <v>5409.090909090909</v>
          </cell>
          <cell r="F3099">
            <v>3.4000000000000002E-2</v>
          </cell>
        </row>
        <row r="3100">
          <cell r="A3100" t="str">
            <v>10106132-C006001LF</v>
          </cell>
          <cell r="B3100" t="str">
            <v>10106132-C006001LF Connector,PB+RH</v>
          </cell>
          <cell r="C3100">
            <v>3.3E-3</v>
          </cell>
          <cell r="D3100">
            <v>1803.030303030303</v>
          </cell>
          <cell r="E3100">
            <v>5409.090909090909</v>
          </cell>
          <cell r="F3100">
            <v>5.6000000000000001E-2</v>
          </cell>
        </row>
        <row r="3101">
          <cell r="A3101" t="str">
            <v>10106132-C006002LF</v>
          </cell>
          <cell r="B3101" t="str">
            <v>10106132-C006002LF Connector,PB+RH</v>
          </cell>
          <cell r="C3101">
            <v>3.3E-3</v>
          </cell>
          <cell r="D3101">
            <v>1803.030303030303</v>
          </cell>
          <cell r="E3101">
            <v>5409.090909090909</v>
          </cell>
          <cell r="F3101">
            <v>5.5E-2</v>
          </cell>
        </row>
        <row r="3102">
          <cell r="A3102" t="str">
            <v>10106132-D006003LF</v>
          </cell>
          <cell r="B3102" t="str">
            <v>10106132-D006003LF Connector,PB+RH</v>
          </cell>
          <cell r="C3102">
            <v>3.3E-3</v>
          </cell>
          <cell r="D3102">
            <v>1803.030303030303</v>
          </cell>
          <cell r="E3102">
            <v>5409.090909090909</v>
          </cell>
          <cell r="F3102">
            <v>5.2999999999999999E-2</v>
          </cell>
        </row>
        <row r="3103">
          <cell r="A3103" t="str">
            <v>10106132-F005K01LF</v>
          </cell>
          <cell r="B3103" t="str">
            <v>10106132-F005K01LF Connector,PB+RH</v>
          </cell>
          <cell r="C3103">
            <v>5.0000000000000001E-3</v>
          </cell>
          <cell r="D3103">
            <v>1190</v>
          </cell>
          <cell r="E3103">
            <v>3570</v>
          </cell>
          <cell r="F3103">
            <v>3.3000000000000002E-2</v>
          </cell>
        </row>
        <row r="3104">
          <cell r="A3104" t="str">
            <v>10106132-H006001LF</v>
          </cell>
          <cell r="B3104" t="str">
            <v>10106132-H006001LF Connector,PB+RH</v>
          </cell>
          <cell r="C3104">
            <v>3.3E-3</v>
          </cell>
          <cell r="D3104">
            <v>1803.030303030303</v>
          </cell>
          <cell r="E3104">
            <v>5409.090909090909</v>
          </cell>
          <cell r="F3104">
            <v>5.6000000000000001E-2</v>
          </cell>
        </row>
        <row r="3105">
          <cell r="A3105" t="str">
            <v>10106132-J008001LF</v>
          </cell>
          <cell r="B3105" t="str">
            <v>10106132-J008001LF Connector,PB+RH</v>
          </cell>
          <cell r="C3105">
            <v>3.0000000000000001E-3</v>
          </cell>
          <cell r="D3105">
            <v>1983.3333333333333</v>
          </cell>
          <cell r="E3105">
            <v>5950</v>
          </cell>
          <cell r="F3105">
            <v>6.0999999999999999E-2</v>
          </cell>
        </row>
        <row r="3106">
          <cell r="A3106" t="str">
            <v>10106132-J008002LF</v>
          </cell>
          <cell r="B3106" t="str">
            <v>10106132-J008002LF Connector,PB+RH</v>
          </cell>
          <cell r="C3106">
            <v>3.3E-3</v>
          </cell>
          <cell r="D3106">
            <v>1803.030303030303</v>
          </cell>
          <cell r="E3106">
            <v>5409.090909090909</v>
          </cell>
          <cell r="F3106">
            <v>5.0999999999999997E-2</v>
          </cell>
        </row>
        <row r="3107">
          <cell r="A3107" t="str">
            <v>10106132-L002001LF</v>
          </cell>
          <cell r="B3107" t="str">
            <v>10106132-L002001LF Connector,PB+RH</v>
          </cell>
          <cell r="C3107">
            <v>3.3E-3</v>
          </cell>
          <cell r="D3107">
            <v>1803.030303030303</v>
          </cell>
          <cell r="E3107">
            <v>5409.090909090909</v>
          </cell>
          <cell r="F3107">
            <v>4.8000000000000001E-2</v>
          </cell>
        </row>
        <row r="3108">
          <cell r="A3108" t="str">
            <v>10106132-N003001LF</v>
          </cell>
          <cell r="B3108" t="str">
            <v>10106132-N003001LF PwrBlade+ RAH STB</v>
          </cell>
          <cell r="C3108">
            <v>3.3E-3</v>
          </cell>
          <cell r="D3108">
            <v>1803.030303030303</v>
          </cell>
          <cell r="E3108">
            <v>5409.090909090909</v>
          </cell>
          <cell r="F3108">
            <v>5.6000000000000001E-2</v>
          </cell>
        </row>
        <row r="3109">
          <cell r="A3109" t="str">
            <v>10106133-2000004LF</v>
          </cell>
          <cell r="B3109" t="str">
            <v>10106133-2000004LF PwrBlade+ RAH PF</v>
          </cell>
          <cell r="C3109" t="e">
            <v>#N/A</v>
          </cell>
          <cell r="D3109" t="e">
            <v>#N/A</v>
          </cell>
          <cell r="E3109" t="e">
            <v>#N/A</v>
          </cell>
          <cell r="F3109">
            <v>2.1000000000000001E-2</v>
          </cell>
        </row>
        <row r="3110">
          <cell r="A3110" t="str">
            <v>10106133-2000005LF</v>
          </cell>
          <cell r="B3110" t="str">
            <v>10106133-2000005LF PwrBlade+ RAH PF</v>
          </cell>
          <cell r="C3110" t="e">
            <v>#N/A</v>
          </cell>
          <cell r="D3110" t="e">
            <v>#N/A</v>
          </cell>
          <cell r="E3110" t="e">
            <v>#N/A</v>
          </cell>
          <cell r="F3110">
            <v>1.6E-2</v>
          </cell>
        </row>
        <row r="3111">
          <cell r="A3111" t="str">
            <v>10106133-2012001LF</v>
          </cell>
          <cell r="B3111" t="str">
            <v>10106133-2012001LF PwrBlade+ RAH PF</v>
          </cell>
          <cell r="C3111">
            <v>4.0000000000000001E-3</v>
          </cell>
          <cell r="D3111">
            <v>1487.5</v>
          </cell>
          <cell r="E3111">
            <v>4462.5</v>
          </cell>
          <cell r="F3111">
            <v>2.8000000000000001E-2</v>
          </cell>
        </row>
        <row r="3112">
          <cell r="A3112" t="str">
            <v>10106133-4009001LF</v>
          </cell>
          <cell r="B3112" t="str">
            <v>10106133-4009001LF PwrBlade+ RAH STB</v>
          </cell>
          <cell r="C3112">
            <v>8.9999999999999993E-3</v>
          </cell>
          <cell r="D3112">
            <v>661.1111111111112</v>
          </cell>
          <cell r="E3112">
            <v>1983.3333333333335</v>
          </cell>
          <cell r="F3112">
            <v>3.7999999999999999E-2</v>
          </cell>
        </row>
        <row r="3113">
          <cell r="A3113" t="str">
            <v>10106135-2000K02LF</v>
          </cell>
          <cell r="B3113" t="str">
            <v>10106135-2000K02LF Connector,PB+RR</v>
          </cell>
          <cell r="C3113">
            <v>3.0000000000000001E-3</v>
          </cell>
          <cell r="D3113">
            <v>1983.3333333333333</v>
          </cell>
          <cell r="E3113">
            <v>5950</v>
          </cell>
          <cell r="F3113">
            <v>2.7E-2</v>
          </cell>
        </row>
        <row r="3114">
          <cell r="A3114" t="str">
            <v>10106138-2000005LF</v>
          </cell>
          <cell r="B3114" t="str">
            <v>10106138-2000005LF Connector,PB+VR</v>
          </cell>
          <cell r="C3114">
            <v>6.1000000000000004E-3</v>
          </cell>
          <cell r="D3114">
            <v>975.4098360655737</v>
          </cell>
          <cell r="E3114">
            <v>2926.2295081967213</v>
          </cell>
          <cell r="F3114">
            <v>2.1999999999999999E-2</v>
          </cell>
        </row>
        <row r="3115">
          <cell r="A3115" t="str">
            <v>10106138-2000006LF</v>
          </cell>
          <cell r="B3115" t="str">
            <v>10106138-2000006LF Connector,PB+VR</v>
          </cell>
          <cell r="C3115">
            <v>6.1000000000000004E-3</v>
          </cell>
          <cell r="D3115">
            <v>975.4098360655737</v>
          </cell>
          <cell r="E3115">
            <v>2926.2295081967213</v>
          </cell>
          <cell r="F3115">
            <v>2.5000000000000001E-2</v>
          </cell>
        </row>
        <row r="3116">
          <cell r="A3116" t="str">
            <v>10106138-2000007LF</v>
          </cell>
          <cell r="B3116" t="str">
            <v>10106138-2000007LF PB+ VTR STB</v>
          </cell>
          <cell r="C3116">
            <v>3.0000000000000001E-3</v>
          </cell>
          <cell r="D3116">
            <v>1983.3333333333333</v>
          </cell>
          <cell r="E3116">
            <v>5950</v>
          </cell>
          <cell r="F3116">
            <v>2.1999999999999999E-2</v>
          </cell>
        </row>
        <row r="3117">
          <cell r="A3117" t="str">
            <v>10106138-2000008LF</v>
          </cell>
          <cell r="B3117" t="str">
            <v>10106138-2000008LF Connector,PB+VR</v>
          </cell>
          <cell r="C3117">
            <v>3.0000000000000001E-3</v>
          </cell>
          <cell r="D3117">
            <v>1983.3333333333333</v>
          </cell>
          <cell r="E3117">
            <v>5950</v>
          </cell>
          <cell r="F3117">
            <v>2.5000000000000001E-2</v>
          </cell>
        </row>
        <row r="3118">
          <cell r="A3118" t="str">
            <v>10106138-2002001LF</v>
          </cell>
          <cell r="B3118" t="str">
            <v>10106138-2002001LF Connector,PB+VR</v>
          </cell>
          <cell r="C3118">
            <v>3.0000000000000001E-3</v>
          </cell>
          <cell r="D3118">
            <v>1983.3333333333333</v>
          </cell>
          <cell r="E3118">
            <v>5950</v>
          </cell>
          <cell r="F3118">
            <v>1.9E-2</v>
          </cell>
        </row>
        <row r="3119">
          <cell r="A3119" t="str">
            <v>10106138-2003001LF</v>
          </cell>
          <cell r="B3119" t="str">
            <v>10106138-2003001LF PwrBlade+ VR STB</v>
          </cell>
          <cell r="C3119">
            <v>3.3E-3</v>
          </cell>
          <cell r="D3119">
            <v>1803.030303030303</v>
          </cell>
          <cell r="E3119">
            <v>5409.090909090909</v>
          </cell>
          <cell r="F3119">
            <v>1.41E-2</v>
          </cell>
        </row>
        <row r="3120">
          <cell r="A3120" t="str">
            <v>10106138-2004001LF</v>
          </cell>
          <cell r="B3120" t="str">
            <v>10106138-2004001LF Connector,PB+VR</v>
          </cell>
          <cell r="C3120">
            <v>3.3E-3</v>
          </cell>
          <cell r="D3120">
            <v>1803.030303030303</v>
          </cell>
          <cell r="E3120">
            <v>5409.090909090909</v>
          </cell>
          <cell r="F3120">
            <v>2.1999999999999999E-2</v>
          </cell>
        </row>
        <row r="3121">
          <cell r="A3121" t="str">
            <v>10106138-2004002LF</v>
          </cell>
          <cell r="B3121" t="str">
            <v>10106138-2004002LF Connector,PB+VR</v>
          </cell>
          <cell r="C3121">
            <v>3.3E-3</v>
          </cell>
          <cell r="D3121">
            <v>1803.030303030303</v>
          </cell>
          <cell r="E3121">
            <v>5409.090909090909</v>
          </cell>
          <cell r="F3121">
            <v>1.7999999999999999E-2</v>
          </cell>
        </row>
        <row r="3122">
          <cell r="A3122" t="str">
            <v>10106138-3000001LF</v>
          </cell>
          <cell r="B3122" t="str">
            <v>10106138-3000001LF Connector,PB+VR</v>
          </cell>
          <cell r="C3122">
            <v>6.1000000000000004E-3</v>
          </cell>
          <cell r="D3122">
            <v>975.4098360655737</v>
          </cell>
          <cell r="E3122">
            <v>2926.2295081967213</v>
          </cell>
          <cell r="F3122">
            <v>2.5999999999999999E-2</v>
          </cell>
        </row>
        <row r="3123">
          <cell r="A3123" t="str">
            <v>10106138-3003001LF</v>
          </cell>
          <cell r="B3123" t="str">
            <v>10106138-3003001LF Connector,PB+VR</v>
          </cell>
          <cell r="C3123">
            <v>3.3E-3</v>
          </cell>
          <cell r="D3123">
            <v>1803.030303030303</v>
          </cell>
          <cell r="E3123">
            <v>5409.090909090909</v>
          </cell>
          <cell r="F3123">
            <v>1.7999999999999999E-2</v>
          </cell>
        </row>
        <row r="3124">
          <cell r="A3124" t="str">
            <v>10106138-4000003LF</v>
          </cell>
          <cell r="B3124" t="str">
            <v>10106138-4000003LF Connector,PB+VR</v>
          </cell>
          <cell r="C3124">
            <v>3.0000000000000001E-3</v>
          </cell>
          <cell r="D3124">
            <v>1983.3333333333333</v>
          </cell>
          <cell r="E3124">
            <v>5950</v>
          </cell>
          <cell r="F3124">
            <v>2.3E-2</v>
          </cell>
        </row>
        <row r="3125">
          <cell r="A3125" t="str">
            <v>10106138-4001002LF</v>
          </cell>
          <cell r="B3125" t="str">
            <v>10106138-4001002LF Connector,PB+VR</v>
          </cell>
          <cell r="C3125">
            <v>3.3E-3</v>
          </cell>
          <cell r="D3125">
            <v>1803.030303030303</v>
          </cell>
          <cell r="E3125">
            <v>5409.090909090909</v>
          </cell>
          <cell r="F3125">
            <v>3.2000000000000001E-2</v>
          </cell>
        </row>
        <row r="3126">
          <cell r="A3126" t="str">
            <v>10106138-4002001LF</v>
          </cell>
          <cell r="B3126" t="str">
            <v>10106138-4002001LF Connector,PB+VR</v>
          </cell>
          <cell r="C3126">
            <v>3.3E-3</v>
          </cell>
          <cell r="D3126">
            <v>1803.030303030303</v>
          </cell>
          <cell r="E3126">
            <v>5409.090909090909</v>
          </cell>
          <cell r="F3126">
            <v>2.8000000000000001E-2</v>
          </cell>
        </row>
        <row r="3127">
          <cell r="A3127" t="str">
            <v>10106138-4003001LF</v>
          </cell>
          <cell r="B3127" t="str">
            <v>10106138-4003001LF Connector,PB+VR</v>
          </cell>
          <cell r="C3127">
            <v>3.3E-3</v>
          </cell>
          <cell r="D3127">
            <v>1803.030303030303</v>
          </cell>
          <cell r="E3127">
            <v>5409.090909090909</v>
          </cell>
          <cell r="F3127">
            <v>2.5000000000000001E-2</v>
          </cell>
        </row>
        <row r="3128">
          <cell r="A3128" t="str">
            <v>10106138-4003002LF</v>
          </cell>
          <cell r="B3128" t="str">
            <v>10106138-4003002LF Connector,PB+VR</v>
          </cell>
          <cell r="C3128">
            <v>4.4000000000000003E-3</v>
          </cell>
          <cell r="D3128">
            <v>1352.2727272727273</v>
          </cell>
          <cell r="E3128">
            <v>4056.818181818182</v>
          </cell>
          <cell r="F3128">
            <v>2.3E-2</v>
          </cell>
        </row>
        <row r="3129">
          <cell r="A3129" t="str">
            <v>10106138-4003004LF</v>
          </cell>
          <cell r="B3129" t="str">
            <v>10106138-4003004LF Connector,PB+VR</v>
          </cell>
          <cell r="C3129">
            <v>5.0000000000000001E-3</v>
          </cell>
          <cell r="D3129">
            <v>1190</v>
          </cell>
          <cell r="E3129">
            <v>3570</v>
          </cell>
          <cell r="F3129">
            <v>3.4000000000000002E-2</v>
          </cell>
        </row>
        <row r="3130">
          <cell r="A3130" t="str">
            <v>10106138-4006002LF</v>
          </cell>
          <cell r="B3130" t="str">
            <v>10106138-4006002LF Connector,PB+VR</v>
          </cell>
          <cell r="C3130">
            <v>6.7000000000000002E-3</v>
          </cell>
          <cell r="D3130">
            <v>888.05970149253733</v>
          </cell>
          <cell r="E3130">
            <v>2664.1791044776119</v>
          </cell>
          <cell r="F3130">
            <v>1.9E-2</v>
          </cell>
        </row>
        <row r="3131">
          <cell r="A3131" t="str">
            <v>10106138-4009101LF</v>
          </cell>
          <cell r="B3131" t="str">
            <v>10106138-4009101LF Connector,PB+VR</v>
          </cell>
          <cell r="C3131">
            <v>0.01</v>
          </cell>
          <cell r="D3131">
            <v>595</v>
          </cell>
          <cell r="E3131">
            <v>1785</v>
          </cell>
          <cell r="F3131">
            <v>3.5000000000000003E-2</v>
          </cell>
        </row>
        <row r="3132">
          <cell r="A3132" t="str">
            <v>10106138-4027101LF</v>
          </cell>
          <cell r="B3132" t="str">
            <v>10106138-4027101LF Connector,PB+VR</v>
          </cell>
          <cell r="C3132">
            <v>1.9E-2</v>
          </cell>
          <cell r="D3132">
            <v>313.15789473684214</v>
          </cell>
          <cell r="E3132">
            <v>939.47368421052647</v>
          </cell>
          <cell r="F3132">
            <v>2.7E-2</v>
          </cell>
        </row>
        <row r="3133">
          <cell r="A3133" t="str">
            <v>10106138-5005001LF</v>
          </cell>
          <cell r="B3133" t="str">
            <v>10106138-5005001LF Connector,PB+VR</v>
          </cell>
          <cell r="C3133">
            <v>6.7000000000000002E-3</v>
          </cell>
          <cell r="D3133">
            <v>888.05970149253733</v>
          </cell>
          <cell r="E3133">
            <v>2664.1791044776119</v>
          </cell>
          <cell r="F3133">
            <v>3.3000000000000002E-2</v>
          </cell>
        </row>
        <row r="3134">
          <cell r="A3134" t="str">
            <v>10106138-7008001LF</v>
          </cell>
          <cell r="B3134" t="str">
            <v>10106138-7008001LF Connector,PB+VR</v>
          </cell>
          <cell r="C3134">
            <v>7.0000000000000001E-3</v>
          </cell>
          <cell r="D3134">
            <v>850</v>
          </cell>
          <cell r="E3134">
            <v>2550</v>
          </cell>
          <cell r="F3134">
            <v>3.5000000000000003E-2</v>
          </cell>
        </row>
        <row r="3135">
          <cell r="A3135" t="str">
            <v>10106138-7008002LF</v>
          </cell>
          <cell r="B3135" t="str">
            <v>10106138-7008002LF Connector,PB+VR</v>
          </cell>
          <cell r="C3135">
            <v>7.0000000000000001E-3</v>
          </cell>
          <cell r="D3135">
            <v>850</v>
          </cell>
          <cell r="E3135">
            <v>2550</v>
          </cell>
          <cell r="F3135">
            <v>3.5000000000000003E-2</v>
          </cell>
        </row>
        <row r="3136">
          <cell r="A3136" t="str">
            <v>10106138-8003001LF</v>
          </cell>
          <cell r="B3136" t="str">
            <v>10106138-8003001LF Connector,PB+VR</v>
          </cell>
          <cell r="C3136">
            <v>3.3E-3</v>
          </cell>
          <cell r="D3136">
            <v>1803.030303030303</v>
          </cell>
          <cell r="E3136">
            <v>5409.090909090909</v>
          </cell>
          <cell r="F3136">
            <v>2.5000000000000001E-2</v>
          </cell>
        </row>
        <row r="3137">
          <cell r="A3137" t="str">
            <v>10106138-8005001LF</v>
          </cell>
          <cell r="B3137" t="str">
            <v>10106138-8005001LF Connector,PB+VR</v>
          </cell>
          <cell r="C3137">
            <v>6.6E-3</v>
          </cell>
          <cell r="D3137">
            <v>901.5151515151515</v>
          </cell>
          <cell r="E3137">
            <v>2704.5454545454545</v>
          </cell>
          <cell r="F3137">
            <v>2.5999999999999999E-2</v>
          </cell>
        </row>
        <row r="3138">
          <cell r="A3138" t="str">
            <v>10106138-A000001LF</v>
          </cell>
          <cell r="B3138" t="str">
            <v>10106138-A000001LF Connector,PB+VR</v>
          </cell>
          <cell r="C3138">
            <v>6.1000000000000004E-3</v>
          </cell>
          <cell r="D3138">
            <v>975.4098360655737</v>
          </cell>
          <cell r="E3138">
            <v>2926.2295081967213</v>
          </cell>
          <cell r="F3138">
            <v>4.9099999999999998E-2</v>
          </cell>
        </row>
        <row r="3139">
          <cell r="A3139" t="str">
            <v>10106138-A008002LF</v>
          </cell>
          <cell r="B3139" t="str">
            <v>10106138-A008002LF Connector,PB+VR</v>
          </cell>
          <cell r="C3139">
            <v>8.0000000000000002E-3</v>
          </cell>
          <cell r="D3139">
            <v>743.75</v>
          </cell>
          <cell r="E3139">
            <v>2231.25</v>
          </cell>
          <cell r="F3139">
            <v>2.8000000000000001E-2</v>
          </cell>
        </row>
        <row r="3140">
          <cell r="A3140" t="str">
            <v>10106138-A016001LF</v>
          </cell>
          <cell r="B3140" t="str">
            <v>10106138-A016001LF Connector,PB+VR</v>
          </cell>
          <cell r="C3140">
            <v>1.2E-2</v>
          </cell>
          <cell r="D3140">
            <v>495.83333333333331</v>
          </cell>
          <cell r="E3140">
            <v>1487.5</v>
          </cell>
          <cell r="F3140">
            <v>4.4999999999999998E-2</v>
          </cell>
        </row>
        <row r="3141">
          <cell r="A3141" t="str">
            <v>10106138-C000001LF</v>
          </cell>
          <cell r="B3141" t="str">
            <v>10106138-C000001LF Connector,PB+VR</v>
          </cell>
          <cell r="C3141">
            <v>6.1000000000000004E-3</v>
          </cell>
          <cell r="D3141">
            <v>975.4098360655737</v>
          </cell>
          <cell r="E3141">
            <v>2926.2295081967213</v>
          </cell>
          <cell r="F3141">
            <v>2.7E-2</v>
          </cell>
        </row>
        <row r="3142">
          <cell r="A3142" t="str">
            <v>10106138-C006001LF</v>
          </cell>
          <cell r="B3142" t="str">
            <v>10106138-C006001LF Connector,PB+VR</v>
          </cell>
          <cell r="C3142">
            <v>6.7000000000000002E-3</v>
          </cell>
          <cell r="D3142">
            <v>888.05970149253733</v>
          </cell>
          <cell r="E3142">
            <v>2664.1791044776119</v>
          </cell>
          <cell r="F3142">
            <v>3.4000000000000002E-2</v>
          </cell>
        </row>
        <row r="3143">
          <cell r="A3143" t="str">
            <v>10106138-E012001LF</v>
          </cell>
          <cell r="B3143" t="str">
            <v>10106138-E012001LF Connector,PB+VR</v>
          </cell>
          <cell r="C3143">
            <v>1.2E-2</v>
          </cell>
          <cell r="D3143">
            <v>495.83333333333331</v>
          </cell>
          <cell r="E3143">
            <v>1487.5</v>
          </cell>
          <cell r="F3143">
            <v>3.2000000000000001E-2</v>
          </cell>
        </row>
        <row r="3144">
          <cell r="A3144" t="str">
            <v>10106138-N007001LF</v>
          </cell>
          <cell r="B3144" t="str">
            <v>10106138-N007001LF Connector,PB+VR</v>
          </cell>
          <cell r="C3144">
            <v>8.0000000000000002E-3</v>
          </cell>
          <cell r="D3144">
            <v>743.75</v>
          </cell>
          <cell r="E3144">
            <v>2231.25</v>
          </cell>
          <cell r="F3144">
            <v>3.9E-2</v>
          </cell>
        </row>
        <row r="3145">
          <cell r="A3145" t="str">
            <v>10106139-2000002LF</v>
          </cell>
          <cell r="B3145" t="str">
            <v>10106139-2000002LF Connector,PB+VR</v>
          </cell>
          <cell r="C3145">
            <v>6.1000000000000004E-3</v>
          </cell>
          <cell r="D3145">
            <v>975.4098360655737</v>
          </cell>
          <cell r="E3145">
            <v>2926.2295081967213</v>
          </cell>
          <cell r="F3145">
            <v>2.7E-2</v>
          </cell>
        </row>
        <row r="3146">
          <cell r="A3146" t="str">
            <v>10106139-2000007LF</v>
          </cell>
          <cell r="B3146" t="str">
            <v>10106139-2000007LF Connector,PB+VR</v>
          </cell>
          <cell r="C3146">
            <v>6.1000000000000004E-3</v>
          </cell>
          <cell r="D3146">
            <v>975.4098360655737</v>
          </cell>
          <cell r="E3146">
            <v>2926.2295081967213</v>
          </cell>
          <cell r="F3146">
            <v>1.9E-2</v>
          </cell>
        </row>
        <row r="3147">
          <cell r="A3147" t="str">
            <v>10106139-2000201LF</v>
          </cell>
          <cell r="B3147" t="str">
            <v>10106139-2000201LF Connector,PB+VR</v>
          </cell>
          <cell r="C3147">
            <v>6.1000000000000004E-3</v>
          </cell>
          <cell r="D3147">
            <v>975.4098360655737</v>
          </cell>
          <cell r="E3147">
            <v>2926.2295081967213</v>
          </cell>
          <cell r="F3147">
            <v>2.4799999999999999E-2</v>
          </cell>
        </row>
        <row r="3148">
          <cell r="A3148" t="str">
            <v>10106139-2000A02LF</v>
          </cell>
          <cell r="B3148" t="str">
            <v>10106139-2000A02LF Connector,PB+VR</v>
          </cell>
          <cell r="C3148">
            <v>6.1000000000000004E-3</v>
          </cell>
          <cell r="D3148">
            <v>975.4098360655737</v>
          </cell>
          <cell r="E3148">
            <v>2926.2295081967213</v>
          </cell>
          <cell r="F3148">
            <v>1.9E-2</v>
          </cell>
        </row>
        <row r="3149">
          <cell r="A3149" t="str">
            <v>10106139-2010001LF</v>
          </cell>
          <cell r="B3149" t="str">
            <v>10106139-2010001LF Connector,PB+VR</v>
          </cell>
          <cell r="C3149">
            <v>1.0999999999999999E-2</v>
          </cell>
          <cell r="D3149">
            <v>540.90909090909099</v>
          </cell>
          <cell r="E3149">
            <v>1622.727272727273</v>
          </cell>
          <cell r="F3149">
            <v>3.1E-2</v>
          </cell>
        </row>
        <row r="3150">
          <cell r="A3150" t="str">
            <v>10106139-4000001LF</v>
          </cell>
          <cell r="B3150" t="str">
            <v>10106139-4000001LF Connector,PB+VR</v>
          </cell>
          <cell r="C3150">
            <v>6.1000000000000004E-3</v>
          </cell>
          <cell r="D3150">
            <v>975.4098360655737</v>
          </cell>
          <cell r="E3150">
            <v>2926.2295081967213</v>
          </cell>
          <cell r="F3150">
            <v>2.1999999999999999E-2</v>
          </cell>
        </row>
        <row r="3151">
          <cell r="A3151" t="str">
            <v>10106139-4000K01LF</v>
          </cell>
          <cell r="B3151" t="str">
            <v>10106139-4000K01LF Connector,PB+VR</v>
          </cell>
          <cell r="C3151">
            <v>3.0000000000000001E-3</v>
          </cell>
          <cell r="D3151">
            <v>1983.3333333333333</v>
          </cell>
          <cell r="E3151">
            <v>5950</v>
          </cell>
          <cell r="F3151">
            <v>2.1000000000000001E-2</v>
          </cell>
        </row>
        <row r="3152">
          <cell r="A3152" t="str">
            <v>10106139-4000K02LF</v>
          </cell>
          <cell r="B3152" t="str">
            <v>10106139-4000K02LF Connector,PB+VR</v>
          </cell>
          <cell r="C3152">
            <v>3.0000000000000001E-3</v>
          </cell>
          <cell r="D3152">
            <v>1983.3333333333333</v>
          </cell>
          <cell r="E3152">
            <v>5950</v>
          </cell>
          <cell r="F3152">
            <v>2.1000000000000001E-2</v>
          </cell>
        </row>
        <row r="3153">
          <cell r="A3153" t="str">
            <v>10106139-4003002LF</v>
          </cell>
          <cell r="B3153" t="str">
            <v>10106139-4003002LF Connector,PB+VR</v>
          </cell>
          <cell r="C3153">
            <v>1.2E-2</v>
          </cell>
          <cell r="D3153">
            <v>495.83333333333331</v>
          </cell>
          <cell r="E3153">
            <v>1487.5</v>
          </cell>
          <cell r="F3153">
            <v>3.4000000000000002E-2</v>
          </cell>
        </row>
        <row r="3154">
          <cell r="A3154" t="str">
            <v>10106139-4004K02LF</v>
          </cell>
          <cell r="B3154" t="str">
            <v>10106139-4004K02LF Connector,PB+VR</v>
          </cell>
          <cell r="C3154">
            <v>5.0000000000000001E-3</v>
          </cell>
          <cell r="D3154">
            <v>1190</v>
          </cell>
          <cell r="E3154">
            <v>3570</v>
          </cell>
          <cell r="F3154">
            <v>2.8000000000000001E-2</v>
          </cell>
        </row>
        <row r="3155">
          <cell r="A3155" t="str">
            <v>10106139-4006K01LF</v>
          </cell>
          <cell r="B3155" t="str">
            <v>10106139-4006K01LF Connector,PB+VR</v>
          </cell>
          <cell r="C3155">
            <v>5.0000000000000001E-3</v>
          </cell>
          <cell r="D3155">
            <v>1190</v>
          </cell>
          <cell r="E3155">
            <v>3570</v>
          </cell>
          <cell r="F3155">
            <v>0.03</v>
          </cell>
        </row>
        <row r="3156">
          <cell r="A3156" t="str">
            <v>10106139-4009001LF</v>
          </cell>
          <cell r="B3156" t="str">
            <v>10106139-4009001LF PwrBlade+ VR PF</v>
          </cell>
          <cell r="C3156">
            <v>0.01</v>
          </cell>
          <cell r="D3156">
            <v>595</v>
          </cell>
          <cell r="E3156">
            <v>1785</v>
          </cell>
          <cell r="F3156">
            <v>2.5999999999999999E-2</v>
          </cell>
        </row>
        <row r="3157">
          <cell r="A3157" t="str">
            <v>10106139-4016001LF</v>
          </cell>
          <cell r="B3157" t="str">
            <v>10106139-4016001LF PwrBlade+ VR PF</v>
          </cell>
          <cell r="C3157">
            <v>0.01</v>
          </cell>
          <cell r="D3157">
            <v>595</v>
          </cell>
          <cell r="E3157">
            <v>1785</v>
          </cell>
          <cell r="F3157">
            <v>3.5000000000000003E-2</v>
          </cell>
        </row>
        <row r="3158">
          <cell r="A3158" t="str">
            <v>10106139-4027101LF</v>
          </cell>
          <cell r="B3158" t="str">
            <v>10106139-4027101LF PwrBlade+ VR PF</v>
          </cell>
          <cell r="C3158">
            <v>0.03</v>
          </cell>
          <cell r="D3158">
            <v>198.33333333333334</v>
          </cell>
          <cell r="E3158">
            <v>595</v>
          </cell>
          <cell r="F3158">
            <v>2.9000000000000001E-2</v>
          </cell>
        </row>
        <row r="3159">
          <cell r="A3159" t="str">
            <v>10106139-5005001LF</v>
          </cell>
          <cell r="B3159" t="str">
            <v>10106139-5005001LF Connector,PB+VR</v>
          </cell>
          <cell r="C3159">
            <v>6.7000000000000002E-3</v>
          </cell>
          <cell r="D3159">
            <v>888.05970149253733</v>
          </cell>
          <cell r="E3159">
            <v>2664.1791044776119</v>
          </cell>
          <cell r="F3159">
            <v>2.8000000000000001E-2</v>
          </cell>
        </row>
        <row r="3160">
          <cell r="A3160" t="str">
            <v>10106139-6000K01LF</v>
          </cell>
          <cell r="B3160" t="str">
            <v>10106139-6000K01LF Connector,PB+VR</v>
          </cell>
          <cell r="C3160">
            <v>3.0000000000000001E-3</v>
          </cell>
          <cell r="D3160">
            <v>1983.3333333333333</v>
          </cell>
          <cell r="E3160">
            <v>5950</v>
          </cell>
          <cell r="F3160">
            <v>2.7E-2</v>
          </cell>
        </row>
        <row r="3161">
          <cell r="A3161" t="str">
            <v>10106139-6000K02LF</v>
          </cell>
          <cell r="B3161" t="str">
            <v>10106139-6000K02LF Connector,PB+VR</v>
          </cell>
          <cell r="C3161">
            <v>4.0000000000000001E-3</v>
          </cell>
          <cell r="D3161">
            <v>1487.5</v>
          </cell>
          <cell r="E3161">
            <v>4462.5</v>
          </cell>
          <cell r="F3161">
            <v>2.1999999999999999E-2</v>
          </cell>
        </row>
        <row r="3162">
          <cell r="A3162" t="str">
            <v>10106139-6005001LF</v>
          </cell>
          <cell r="B3162" t="str">
            <v>10106139-6005001LF Connector,PB+VR</v>
          </cell>
          <cell r="C3162">
            <v>5.0000000000000001E-3</v>
          </cell>
          <cell r="D3162">
            <v>1190</v>
          </cell>
          <cell r="E3162">
            <v>3570</v>
          </cell>
          <cell r="F3162">
            <v>3.4000000000000002E-2</v>
          </cell>
        </row>
        <row r="3163">
          <cell r="A3163" t="str">
            <v>10106139-6006001LF</v>
          </cell>
          <cell r="B3163" t="str">
            <v>10106139-6006001LF Connector,PB+VR</v>
          </cell>
          <cell r="C3163">
            <v>8.8999999999999999E-3</v>
          </cell>
          <cell r="D3163">
            <v>668.5393258426966</v>
          </cell>
          <cell r="E3163">
            <v>2005.6179775280898</v>
          </cell>
          <cell r="F3163">
            <v>3.3300000000000003E-2</v>
          </cell>
        </row>
        <row r="3164">
          <cell r="A3164" t="str">
            <v>10106139-8000001LF</v>
          </cell>
          <cell r="B3164" t="str">
            <v>10106139-8000001LF Connector,PB+VR</v>
          </cell>
          <cell r="C3164">
            <v>2E-3</v>
          </cell>
          <cell r="D3164">
            <v>2975</v>
          </cell>
          <cell r="E3164">
            <v>8925</v>
          </cell>
          <cell r="F3164">
            <v>3.61E-2</v>
          </cell>
        </row>
        <row r="3165">
          <cell r="A3165" t="str">
            <v>10106139-8003003LF</v>
          </cell>
          <cell r="B3165" t="str">
            <v>10106139-8003003LF Connector,PB+VR</v>
          </cell>
          <cell r="C3165">
            <v>1.2E-2</v>
          </cell>
          <cell r="D3165">
            <v>495.83333333333331</v>
          </cell>
          <cell r="E3165">
            <v>1487.5</v>
          </cell>
          <cell r="F3165">
            <v>4.4999999999999998E-2</v>
          </cell>
        </row>
        <row r="3166">
          <cell r="A3166" t="str">
            <v>10106139-8005002LF</v>
          </cell>
          <cell r="B3166" t="str">
            <v>10106139-8005002LF Connector,PB+VR</v>
          </cell>
          <cell r="C3166">
            <v>5.5999999999999999E-3</v>
          </cell>
          <cell r="D3166">
            <v>1062.5</v>
          </cell>
          <cell r="E3166">
            <v>3187.5</v>
          </cell>
          <cell r="F3166">
            <v>3.7999999999999999E-2</v>
          </cell>
        </row>
        <row r="3167">
          <cell r="A3167" t="str">
            <v>10106139-8005003LF</v>
          </cell>
          <cell r="B3167" t="str">
            <v>10106139-8005003LF Connector,PB+VR</v>
          </cell>
          <cell r="C3167">
            <v>1.2999999999999999E-2</v>
          </cell>
          <cell r="D3167">
            <v>457.69230769230774</v>
          </cell>
          <cell r="E3167">
            <v>1373.0769230769233</v>
          </cell>
          <cell r="F3167">
            <v>1.4999999999999999E-2</v>
          </cell>
        </row>
        <row r="3168">
          <cell r="A3168" t="str">
            <v>10106139-8006001LF</v>
          </cell>
          <cell r="B3168" t="str">
            <v>10106139-8006001LF Connector,PB+VR</v>
          </cell>
          <cell r="C3168">
            <v>6.7000000000000002E-3</v>
          </cell>
          <cell r="D3168">
            <v>888.05970149253733</v>
          </cell>
          <cell r="E3168">
            <v>2664.1791044776119</v>
          </cell>
          <cell r="F3168">
            <v>3.4000000000000002E-2</v>
          </cell>
        </row>
        <row r="3169">
          <cell r="A3169" t="str">
            <v>10106139-8007001LF</v>
          </cell>
          <cell r="B3169" t="str">
            <v>10106139-8007001LF PwrBlade+ VR PF</v>
          </cell>
          <cell r="C3169">
            <v>0.01</v>
          </cell>
          <cell r="D3169">
            <v>595</v>
          </cell>
          <cell r="E3169">
            <v>1785</v>
          </cell>
          <cell r="F3169">
            <v>2.9000000000000001E-2</v>
          </cell>
        </row>
        <row r="3170">
          <cell r="A3170" t="str">
            <v>10106139-8008001LF</v>
          </cell>
          <cell r="B3170" t="str">
            <v>10106139-8008001LF Connector,PB+VR</v>
          </cell>
          <cell r="C3170">
            <v>2.5999999999999999E-2</v>
          </cell>
          <cell r="D3170">
            <v>228.84615384615387</v>
          </cell>
          <cell r="E3170">
            <v>686.53846153846166</v>
          </cell>
          <cell r="F3170">
            <v>0.04</v>
          </cell>
        </row>
        <row r="3171">
          <cell r="A3171" t="str">
            <v>10106139-8008101LF</v>
          </cell>
          <cell r="B3171" t="str">
            <v>10106139-8008101LF Connector,PB+VR</v>
          </cell>
          <cell r="C3171">
            <v>2.5999999999999999E-2</v>
          </cell>
          <cell r="D3171">
            <v>228.84615384615387</v>
          </cell>
          <cell r="E3171">
            <v>686.53846153846166</v>
          </cell>
          <cell r="F3171">
            <v>4.2999999999999997E-2</v>
          </cell>
        </row>
        <row r="3172">
          <cell r="A3172" t="str">
            <v>10106139-8017001LF</v>
          </cell>
          <cell r="B3172" t="str">
            <v>10106139-8017001LF Connector,PB+VR</v>
          </cell>
          <cell r="C3172">
            <v>5.3999999999999999E-2</v>
          </cell>
          <cell r="D3172">
            <v>110.18518518518519</v>
          </cell>
          <cell r="E3172">
            <v>330.55555555555554</v>
          </cell>
          <cell r="F3172">
            <v>4.8000000000000001E-2</v>
          </cell>
        </row>
        <row r="3173">
          <cell r="A3173" t="str">
            <v>10106139-8023001LF</v>
          </cell>
          <cell r="B3173" t="str">
            <v>10106139-8023001LF Connector,PB+VR</v>
          </cell>
          <cell r="C3173">
            <v>2.5999999999999999E-2</v>
          </cell>
          <cell r="D3173">
            <v>228.84615384615387</v>
          </cell>
          <cell r="E3173">
            <v>686.53846153846166</v>
          </cell>
          <cell r="F3173">
            <v>2.8000000000000001E-2</v>
          </cell>
        </row>
        <row r="3174">
          <cell r="A3174" t="str">
            <v>10106139-A000001LF</v>
          </cell>
          <cell r="B3174" t="str">
            <v>10106139-A000001LF Connector,PB+VR</v>
          </cell>
          <cell r="C3174">
            <v>6.1000000000000004E-3</v>
          </cell>
          <cell r="D3174">
            <v>975.4098360655737</v>
          </cell>
          <cell r="E3174">
            <v>2926.2295081967213</v>
          </cell>
          <cell r="F3174">
            <v>3.3000000000000002E-2</v>
          </cell>
        </row>
        <row r="3175">
          <cell r="A3175" t="str">
            <v>10106139-A003001LF</v>
          </cell>
          <cell r="B3175" t="str">
            <v>10106139-A003001LF Connector,PB+VR</v>
          </cell>
          <cell r="C3175">
            <v>1.2E-2</v>
          </cell>
          <cell r="D3175">
            <v>495.83333333333331</v>
          </cell>
          <cell r="E3175">
            <v>1487.5</v>
          </cell>
          <cell r="F3175">
            <v>5.5E-2</v>
          </cell>
        </row>
        <row r="3176">
          <cell r="A3176" t="str">
            <v>10106139-A005001LF</v>
          </cell>
          <cell r="B3176" t="str">
            <v>10106139-A005001LF Connector,PB+VR</v>
          </cell>
          <cell r="C3176">
            <v>6.7000000000000002E-3</v>
          </cell>
          <cell r="D3176">
            <v>888.05970149253733</v>
          </cell>
          <cell r="E3176">
            <v>2664.1791044776119</v>
          </cell>
          <cell r="F3176">
            <v>3.1E-2</v>
          </cell>
        </row>
        <row r="3177">
          <cell r="A3177" t="str">
            <v>10106139-A006001LF</v>
          </cell>
          <cell r="B3177" t="str">
            <v>10106139-A006001LF PwrBlade+ VR PF</v>
          </cell>
          <cell r="C3177">
            <v>3.0000000000000001E-3</v>
          </cell>
          <cell r="D3177">
            <v>1983.3333333333333</v>
          </cell>
          <cell r="E3177">
            <v>5950</v>
          </cell>
          <cell r="F3177">
            <v>2.9000000000000001E-2</v>
          </cell>
        </row>
        <row r="3178">
          <cell r="A3178" t="str">
            <v>10106139-A006101LF</v>
          </cell>
          <cell r="B3178" t="str">
            <v>10106139-A006101LF Connector,PB+VR</v>
          </cell>
          <cell r="C3178">
            <v>2.0199999999999999E-2</v>
          </cell>
          <cell r="D3178">
            <v>294.55445544554459</v>
          </cell>
          <cell r="E3178">
            <v>883.66336633663377</v>
          </cell>
          <cell r="F3178">
            <v>4.8000000000000001E-2</v>
          </cell>
        </row>
        <row r="3179">
          <cell r="A3179" t="str">
            <v>10106139-A007001LF</v>
          </cell>
          <cell r="B3179" t="str">
            <v>10106139-A007001LF PwrBlade+ VR PF</v>
          </cell>
          <cell r="C3179">
            <v>7.0000000000000001E-3</v>
          </cell>
          <cell r="D3179">
            <v>850</v>
          </cell>
          <cell r="E3179">
            <v>2550</v>
          </cell>
          <cell r="F3179">
            <v>3.4000000000000002E-2</v>
          </cell>
        </row>
        <row r="3180">
          <cell r="A3180" t="str">
            <v>10106139-A008001LF</v>
          </cell>
          <cell r="B3180" t="str">
            <v>10106139-A008001LF PwrBlade+ VR PF</v>
          </cell>
          <cell r="C3180">
            <v>4.0000000000000001E-3</v>
          </cell>
          <cell r="D3180">
            <v>1487.5</v>
          </cell>
          <cell r="E3180">
            <v>4462.5</v>
          </cell>
          <cell r="F3180">
            <v>2.7E-2</v>
          </cell>
        </row>
        <row r="3181">
          <cell r="A3181" t="str">
            <v>10106139-C000001LF</v>
          </cell>
          <cell r="B3181" t="str">
            <v>10106139-C000001LF Connector,PB+VR</v>
          </cell>
          <cell r="C3181">
            <v>6.1000000000000004E-3</v>
          </cell>
          <cell r="D3181">
            <v>975.4098360655737</v>
          </cell>
          <cell r="E3181">
            <v>2926.2295081967213</v>
          </cell>
          <cell r="F3181">
            <v>5.7000000000000002E-2</v>
          </cell>
        </row>
        <row r="3182">
          <cell r="A3182" t="str">
            <v>10106139-C000002LF</v>
          </cell>
          <cell r="B3182" t="str">
            <v>10106139-C000002LF Connector,PB+VR</v>
          </cell>
          <cell r="C3182">
            <v>6.1000000000000004E-3</v>
          </cell>
          <cell r="D3182">
            <v>975.4098360655737</v>
          </cell>
          <cell r="E3182">
            <v>2926.2295081967213</v>
          </cell>
          <cell r="F3182">
            <v>2.9000000000000001E-2</v>
          </cell>
        </row>
        <row r="3183">
          <cell r="A3183" t="str">
            <v>10106139-C003001LF</v>
          </cell>
          <cell r="B3183" t="str">
            <v>10106139-C003001LF Connector,PB+VR</v>
          </cell>
          <cell r="C3183">
            <v>3.3E-3</v>
          </cell>
          <cell r="D3183">
            <v>1803.030303030303</v>
          </cell>
          <cell r="E3183">
            <v>5409.090909090909</v>
          </cell>
          <cell r="F3183">
            <v>3.1E-2</v>
          </cell>
        </row>
        <row r="3184">
          <cell r="A3184" t="str">
            <v>10106139-C006002LF</v>
          </cell>
          <cell r="B3184" t="str">
            <v>10106139-C006002LF Connector,PB+VR</v>
          </cell>
          <cell r="C3184">
            <v>6.7000000000000002E-3</v>
          </cell>
          <cell r="D3184">
            <v>888.05970149253733</v>
          </cell>
          <cell r="E3184">
            <v>2664.1791044776119</v>
          </cell>
          <cell r="F3184">
            <v>2.8000000000000001E-2</v>
          </cell>
        </row>
        <row r="3185">
          <cell r="A3185" t="str">
            <v>10106139-F003K01LF</v>
          </cell>
          <cell r="B3185" t="str">
            <v>10106139-F003K01LF Connector,PB+VR</v>
          </cell>
          <cell r="C3185">
            <v>5.0000000000000001E-3</v>
          </cell>
          <cell r="D3185">
            <v>1190</v>
          </cell>
          <cell r="E3185">
            <v>3570</v>
          </cell>
          <cell r="F3185">
            <v>0.03</v>
          </cell>
        </row>
        <row r="3186">
          <cell r="A3186" t="str">
            <v>10106139-J008001LF</v>
          </cell>
          <cell r="B3186" t="str">
            <v>10106139-J008001LF Connector,PB+VR</v>
          </cell>
          <cell r="C3186">
            <v>1.12E-2</v>
          </cell>
          <cell r="D3186">
            <v>531.25</v>
          </cell>
          <cell r="E3186">
            <v>1593.75</v>
          </cell>
          <cell r="F3186">
            <v>6.7400000000000002E-2</v>
          </cell>
        </row>
        <row r="3187">
          <cell r="A3187" t="str">
            <v>10106139-N007001LF</v>
          </cell>
          <cell r="B3187" t="str">
            <v>10106139-N007001LF Connector,PB+VR</v>
          </cell>
          <cell r="C3187">
            <v>8.0000000000000002E-3</v>
          </cell>
          <cell r="D3187">
            <v>743.75</v>
          </cell>
          <cell r="E3187">
            <v>2231.25</v>
          </cell>
          <cell r="F3187">
            <v>3.5999999999999997E-2</v>
          </cell>
        </row>
        <row r="3188">
          <cell r="A3188" t="str">
            <v>10106262-0002003LF</v>
          </cell>
          <cell r="B3188" t="str">
            <v>10106262-0002003LF Connector,PB+RH</v>
          </cell>
          <cell r="C3188">
            <v>3.3E-3</v>
          </cell>
          <cell r="D3188">
            <v>1803.030303030303</v>
          </cell>
          <cell r="E3188">
            <v>5409.090909090909</v>
          </cell>
          <cell r="F3188">
            <v>2.8000000000000001E-2</v>
          </cell>
        </row>
        <row r="3189">
          <cell r="A3189" t="str">
            <v>10106262-0002501LF</v>
          </cell>
          <cell r="B3189" t="str">
            <v>10106262-0002501LF Connector,PB+RH</v>
          </cell>
          <cell r="C3189">
            <v>3.0000000000000001E-3</v>
          </cell>
          <cell r="D3189">
            <v>1983.3333333333333</v>
          </cell>
          <cell r="E3189">
            <v>5950</v>
          </cell>
          <cell r="F3189">
            <v>2.3E-2</v>
          </cell>
        </row>
        <row r="3190">
          <cell r="A3190" t="str">
            <v>10106262-0005K01LF</v>
          </cell>
          <cell r="B3190" t="str">
            <v>10106262-0005K01LF Connector,PB+RH</v>
          </cell>
          <cell r="C3190">
            <v>4.0000000000000001E-3</v>
          </cell>
          <cell r="D3190">
            <v>1487.5</v>
          </cell>
          <cell r="E3190">
            <v>4462.5</v>
          </cell>
          <cell r="F3190">
            <v>0.03</v>
          </cell>
        </row>
        <row r="3191">
          <cell r="A3191" t="str">
            <v>10106262-0006002LF</v>
          </cell>
          <cell r="B3191" t="str">
            <v>10106262-0006002LF Connector,PB+RH</v>
          </cell>
          <cell r="C3191">
            <v>3.3E-3</v>
          </cell>
          <cell r="D3191">
            <v>1803.030303030303</v>
          </cell>
          <cell r="E3191">
            <v>5409.090909090909</v>
          </cell>
          <cell r="F3191">
            <v>3.9E-2</v>
          </cell>
        </row>
        <row r="3192">
          <cell r="A3192" t="str">
            <v>10106262-0006003LF</v>
          </cell>
          <cell r="B3192" t="str">
            <v>10106262-0006003LF Connector,PB+RH</v>
          </cell>
          <cell r="C3192">
            <v>3.3E-3</v>
          </cell>
          <cell r="D3192">
            <v>1803.030303030303</v>
          </cell>
          <cell r="E3192">
            <v>5409.090909090909</v>
          </cell>
          <cell r="F3192">
            <v>3.5999999999999997E-2</v>
          </cell>
        </row>
        <row r="3193">
          <cell r="A3193" t="str">
            <v>10106262-0006A07LF</v>
          </cell>
          <cell r="B3193" t="str">
            <v>10106262-0006A07LF Connector,PB+RH</v>
          </cell>
          <cell r="C3193">
            <v>3.3E-3</v>
          </cell>
          <cell r="D3193">
            <v>1803.030303030303</v>
          </cell>
          <cell r="E3193">
            <v>5409.090909090909</v>
          </cell>
          <cell r="F3193">
            <v>2.8000000000000001E-2</v>
          </cell>
        </row>
        <row r="3194">
          <cell r="A3194" t="str">
            <v>10106262-0008402LF</v>
          </cell>
          <cell r="B3194" t="str">
            <v>10106262-0008402LF Connector,PB+RH</v>
          </cell>
          <cell r="C3194">
            <v>3.3E-3</v>
          </cell>
          <cell r="D3194">
            <v>1803.030303030303</v>
          </cell>
          <cell r="E3194">
            <v>5409.090909090909</v>
          </cell>
          <cell r="F3194">
            <v>1.7999999999999999E-2</v>
          </cell>
        </row>
        <row r="3195">
          <cell r="A3195" t="str">
            <v>10106262-0009K01LF</v>
          </cell>
          <cell r="B3195" t="str">
            <v>10106262-0009K01LF PwrBlade+ RAH STB</v>
          </cell>
          <cell r="C3195">
            <v>3.0000000000000001E-3</v>
          </cell>
          <cell r="D3195">
            <v>1983.3333333333333</v>
          </cell>
          <cell r="E3195">
            <v>5950</v>
          </cell>
          <cell r="F3195">
            <v>2.8000000000000001E-2</v>
          </cell>
        </row>
        <row r="3196">
          <cell r="A3196" t="str">
            <v>10106262-0010001LF</v>
          </cell>
          <cell r="B3196" t="str">
            <v>10106262-0010001LF PwrBlade+ RAH STB</v>
          </cell>
          <cell r="C3196">
            <v>3.3E-3</v>
          </cell>
          <cell r="D3196">
            <v>1803.030303030303</v>
          </cell>
          <cell r="E3196">
            <v>5409.090909090909</v>
          </cell>
          <cell r="F3196">
            <v>2.8000000000000001E-2</v>
          </cell>
        </row>
        <row r="3197">
          <cell r="A3197" t="str">
            <v>10106262-0010002LF</v>
          </cell>
          <cell r="B3197" t="str">
            <v>10106262-0010002LF Connector,PB+RH</v>
          </cell>
          <cell r="C3197">
            <v>4.0000000000000001E-3</v>
          </cell>
          <cell r="D3197">
            <v>1487.5</v>
          </cell>
          <cell r="E3197">
            <v>4462.5</v>
          </cell>
          <cell r="F3197">
            <v>2.8000000000000001E-2</v>
          </cell>
        </row>
        <row r="3198">
          <cell r="A3198" t="str">
            <v>10106262-0012K01LF</v>
          </cell>
          <cell r="B3198" t="str">
            <v>10106262-0012K01LF PwrBlade+ RAH STB</v>
          </cell>
          <cell r="C3198">
            <v>5.0000000000000001E-3</v>
          </cell>
          <cell r="D3198">
            <v>1190</v>
          </cell>
          <cell r="E3198">
            <v>3570</v>
          </cell>
          <cell r="F3198">
            <v>3.1E-2</v>
          </cell>
        </row>
        <row r="3199">
          <cell r="A3199" t="str">
            <v>10106262-0013001LF</v>
          </cell>
          <cell r="B3199" t="str">
            <v>10106262-0013001LF Connector,PB+RH</v>
          </cell>
          <cell r="C3199">
            <v>6.6E-3</v>
          </cell>
          <cell r="D3199">
            <v>901.5151515151515</v>
          </cell>
          <cell r="E3199">
            <v>2704.5454545454545</v>
          </cell>
          <cell r="F3199">
            <v>4.2000000000000003E-2</v>
          </cell>
        </row>
        <row r="3200">
          <cell r="A3200" t="str">
            <v>10106262-0013101LF</v>
          </cell>
          <cell r="B3200" t="str">
            <v>10106262-0013101LF Connector,PB+RH</v>
          </cell>
          <cell r="C3200">
            <v>4.1999999999999997E-3</v>
          </cell>
          <cell r="D3200">
            <v>1416.6666666666667</v>
          </cell>
          <cell r="E3200">
            <v>4250</v>
          </cell>
          <cell r="F3200">
            <v>4.1000000000000002E-2</v>
          </cell>
        </row>
        <row r="3201">
          <cell r="A3201" t="str">
            <v>10106262-0013102LF</v>
          </cell>
          <cell r="B3201" t="str">
            <v>10106262-0013102LF Connector,PB+RH</v>
          </cell>
          <cell r="C3201">
            <v>3.3E-3</v>
          </cell>
          <cell r="D3201">
            <v>1803.030303030303</v>
          </cell>
          <cell r="E3201">
            <v>5409.090909090909</v>
          </cell>
          <cell r="F3201">
            <v>5.7000000000000002E-2</v>
          </cell>
        </row>
        <row r="3202">
          <cell r="A3202" t="str">
            <v>10106262-0017101LF</v>
          </cell>
          <cell r="B3202" t="str">
            <v>10106262-0017101LF PwrBlade+ RAH STB</v>
          </cell>
          <cell r="C3202">
            <v>3.3E-3</v>
          </cell>
          <cell r="D3202">
            <v>1803.030303030303</v>
          </cell>
          <cell r="E3202">
            <v>5409.090909090909</v>
          </cell>
          <cell r="F3202">
            <v>4.3999999999999997E-2</v>
          </cell>
        </row>
        <row r="3203">
          <cell r="A3203" t="str">
            <v>10106262-0020001LF</v>
          </cell>
          <cell r="B3203" t="str">
            <v>10106262-0020001LF Connector,PB+RH</v>
          </cell>
          <cell r="C3203">
            <v>7.0000000000000001E-3</v>
          </cell>
          <cell r="D3203">
            <v>850</v>
          </cell>
          <cell r="E3203">
            <v>2550</v>
          </cell>
          <cell r="F3203">
            <v>2.9000000000000001E-2</v>
          </cell>
        </row>
        <row r="3204">
          <cell r="A3204" t="str">
            <v>10106262-0024K01LF</v>
          </cell>
          <cell r="B3204" t="str">
            <v>10106262-0024K01LF Connector,PB+RH</v>
          </cell>
          <cell r="C3204">
            <v>8.9999999999999993E-3</v>
          </cell>
          <cell r="D3204">
            <v>661.1111111111112</v>
          </cell>
          <cell r="E3204">
            <v>1983.3333333333335</v>
          </cell>
          <cell r="F3204">
            <v>3.7999999999999999E-2</v>
          </cell>
        </row>
        <row r="3205">
          <cell r="A3205" t="str">
            <v>10106262-0025002LF</v>
          </cell>
          <cell r="B3205" t="str">
            <v>10106262-0025002LF Connector,PB+RH</v>
          </cell>
          <cell r="C3205">
            <v>1E-3</v>
          </cell>
          <cell r="D3205">
            <v>5950</v>
          </cell>
          <cell r="E3205">
            <v>17850</v>
          </cell>
          <cell r="F3205">
            <v>3.2000000000000001E-2</v>
          </cell>
        </row>
        <row r="3206">
          <cell r="A3206" t="str">
            <v>10106262-0025402LF</v>
          </cell>
          <cell r="B3206" t="str">
            <v>10106262-0025402LF Connector,PB+RH</v>
          </cell>
          <cell r="C3206">
            <v>8.3000000000000001E-3</v>
          </cell>
          <cell r="D3206">
            <v>716.86746987951813</v>
          </cell>
          <cell r="E3206">
            <v>2150.6024096385545</v>
          </cell>
          <cell r="F3206">
            <v>2.8000000000000001E-2</v>
          </cell>
        </row>
        <row r="3207">
          <cell r="A3207" t="str">
            <v>10106262-0200004LF</v>
          </cell>
          <cell r="B3207" t="str">
            <v>10106262-0200004LF Connector,PB+RH</v>
          </cell>
          <cell r="C3207">
            <v>6.1000000000000004E-3</v>
          </cell>
          <cell r="D3207">
            <v>975.4098360655737</v>
          </cell>
          <cell r="E3207">
            <v>2926.2295081967213</v>
          </cell>
          <cell r="F3207">
            <v>2.1000000000000001E-2</v>
          </cell>
        </row>
        <row r="3208">
          <cell r="A3208" t="str">
            <v>10106262-0200501LF</v>
          </cell>
          <cell r="B3208" t="str">
            <v>10106262-0200501LF Connector,PB+RH</v>
          </cell>
          <cell r="C3208">
            <v>3.0000000000000001E-3</v>
          </cell>
          <cell r="D3208">
            <v>1983.3333333333333</v>
          </cell>
          <cell r="E3208">
            <v>5950</v>
          </cell>
          <cell r="F3208">
            <v>2.5999999999999999E-2</v>
          </cell>
        </row>
        <row r="3209">
          <cell r="A3209" t="str">
            <v>10106262-0201001LF</v>
          </cell>
          <cell r="B3209" t="str">
            <v>10106262-0201001LF Connector,PB+RH</v>
          </cell>
          <cell r="C3209">
            <v>3.3000000000000002E-2</v>
          </cell>
          <cell r="D3209">
            <v>180.30303030303031</v>
          </cell>
          <cell r="E3209">
            <v>540.90909090909099</v>
          </cell>
          <cell r="F3209">
            <v>2.4E-2</v>
          </cell>
        </row>
        <row r="3210">
          <cell r="A3210" t="str">
            <v>10106262-0202001LF</v>
          </cell>
          <cell r="B3210" t="str">
            <v>10106262-0202001LF Connector,PB+RH</v>
          </cell>
          <cell r="C3210">
            <v>3.3E-3</v>
          </cell>
          <cell r="D3210">
            <v>1803.030303030303</v>
          </cell>
          <cell r="E3210">
            <v>5409.090909090909</v>
          </cell>
          <cell r="F3210">
            <v>2.8000000000000001E-2</v>
          </cell>
        </row>
        <row r="3211">
          <cell r="A3211" t="str">
            <v>10106262-0202K01LF</v>
          </cell>
          <cell r="B3211" t="str">
            <v>10106262-0202K01LF Connector,PB+RH</v>
          </cell>
          <cell r="C3211">
            <v>3.0000000000000001E-3</v>
          </cell>
          <cell r="D3211">
            <v>1983.3333333333333</v>
          </cell>
          <cell r="E3211">
            <v>5950</v>
          </cell>
          <cell r="F3211">
            <v>3.2000000000000001E-2</v>
          </cell>
        </row>
        <row r="3212">
          <cell r="A3212" t="str">
            <v>10106262-0203K02LF</v>
          </cell>
          <cell r="B3212" t="str">
            <v>10106262-0203K02LF Connector,PB+RH</v>
          </cell>
          <cell r="C3212">
            <v>3.3E-3</v>
          </cell>
          <cell r="D3212">
            <v>1803.030303030303</v>
          </cell>
          <cell r="E3212">
            <v>5409.090909090909</v>
          </cell>
          <cell r="F3212">
            <v>2.8000000000000001E-2</v>
          </cell>
        </row>
        <row r="3213">
          <cell r="A3213" t="str">
            <v>10106262-0203K03LF</v>
          </cell>
          <cell r="B3213" t="str">
            <v>10106262-0203K03LF Connector,PB+RH</v>
          </cell>
          <cell r="C3213">
            <v>3.0000000000000001E-3</v>
          </cell>
          <cell r="D3213">
            <v>1983.3333333333333</v>
          </cell>
          <cell r="E3213">
            <v>5950</v>
          </cell>
          <cell r="F3213">
            <v>2.8000000000000001E-2</v>
          </cell>
        </row>
        <row r="3214">
          <cell r="A3214" t="str">
            <v>10106262-0204001LF</v>
          </cell>
          <cell r="B3214" t="str">
            <v>10106262-0204001LF Connector,PB+RH</v>
          </cell>
          <cell r="C3214">
            <v>3.3E-3</v>
          </cell>
          <cell r="D3214">
            <v>1803.030303030303</v>
          </cell>
          <cell r="E3214">
            <v>5409.090909090909</v>
          </cell>
          <cell r="F3214">
            <v>2.8000000000000001E-2</v>
          </cell>
        </row>
        <row r="3215">
          <cell r="A3215" t="str">
            <v>10106262-0204004LF</v>
          </cell>
          <cell r="B3215" t="str">
            <v>10106262-0204004LF Connector,PB+RH</v>
          </cell>
          <cell r="C3215">
            <v>4.4000000000000003E-3</v>
          </cell>
          <cell r="D3215">
            <v>1352.2727272727273</v>
          </cell>
          <cell r="E3215">
            <v>4056.818181818182</v>
          </cell>
          <cell r="F3215">
            <v>3.5999999999999997E-2</v>
          </cell>
        </row>
        <row r="3216">
          <cell r="A3216" t="str">
            <v>10106262-0204006LF</v>
          </cell>
          <cell r="B3216" t="str">
            <v>10106262-0204006LF Connector,PB+RH</v>
          </cell>
          <cell r="C3216">
            <v>3.0000000000000001E-3</v>
          </cell>
          <cell r="D3216">
            <v>1983.3333333333333</v>
          </cell>
          <cell r="E3216">
            <v>5950</v>
          </cell>
          <cell r="F3216">
            <v>2.3E-2</v>
          </cell>
        </row>
        <row r="3217">
          <cell r="A3217" t="str">
            <v>10106262-0205001LF</v>
          </cell>
          <cell r="B3217" t="str">
            <v>10106262-0205001LF Connector,PB+RH</v>
          </cell>
          <cell r="C3217">
            <v>3.0000000000000001E-3</v>
          </cell>
          <cell r="D3217">
            <v>1983.3333333333333</v>
          </cell>
          <cell r="E3217">
            <v>5950</v>
          </cell>
          <cell r="F3217">
            <v>2.5999999999999999E-2</v>
          </cell>
        </row>
        <row r="3218">
          <cell r="A3218" t="str">
            <v>10106262-0206K01LF</v>
          </cell>
          <cell r="B3218" t="str">
            <v>10106262-0206K01LF Connector,PB+RH</v>
          </cell>
          <cell r="C3218">
            <v>3.0000000000000001E-3</v>
          </cell>
          <cell r="D3218">
            <v>1983.3333333333333</v>
          </cell>
          <cell r="E3218">
            <v>5950</v>
          </cell>
          <cell r="F3218">
            <v>2.7E-2</v>
          </cell>
        </row>
        <row r="3219">
          <cell r="A3219" t="str">
            <v>10106262-0208001LF</v>
          </cell>
          <cell r="B3219" t="str">
            <v>10106262-0208001LF Connector,PB+RH</v>
          </cell>
          <cell r="C3219">
            <v>3.3E-3</v>
          </cell>
          <cell r="D3219">
            <v>1803.030303030303</v>
          </cell>
          <cell r="E3219">
            <v>5409.090909090909</v>
          </cell>
          <cell r="F3219">
            <v>3.5999999999999997E-2</v>
          </cell>
        </row>
        <row r="3220">
          <cell r="A3220" t="str">
            <v>10106262-0210001LF</v>
          </cell>
          <cell r="B3220" t="str">
            <v>10106262-0210001LF Connector,PB+RH</v>
          </cell>
          <cell r="C3220">
            <v>3.3E-3</v>
          </cell>
          <cell r="D3220">
            <v>1803.030303030303</v>
          </cell>
          <cell r="E3220">
            <v>5409.090909090909</v>
          </cell>
          <cell r="F3220">
            <v>3.5000000000000003E-2</v>
          </cell>
        </row>
        <row r="3221">
          <cell r="A3221" t="str">
            <v>10106262-0210401LF</v>
          </cell>
          <cell r="B3221" t="str">
            <v>10106262-0210401LF Connector,PB+RH</v>
          </cell>
          <cell r="C3221">
            <v>3.3E-3</v>
          </cell>
          <cell r="D3221">
            <v>1803.030303030303</v>
          </cell>
          <cell r="E3221">
            <v>5409.090909090909</v>
          </cell>
          <cell r="F3221">
            <v>3.1E-2</v>
          </cell>
        </row>
        <row r="3222">
          <cell r="A3222" t="str">
            <v>10106262-0300004LF</v>
          </cell>
          <cell r="B3222" t="str">
            <v>10106262-0300004LF Connector,PB+RH</v>
          </cell>
          <cell r="C3222">
            <v>3.0000000000000001E-3</v>
          </cell>
          <cell r="D3222">
            <v>1983.3333333333333</v>
          </cell>
          <cell r="E3222">
            <v>5950</v>
          </cell>
          <cell r="F3222">
            <v>2.4E-2</v>
          </cell>
        </row>
        <row r="3223">
          <cell r="A3223" t="str">
            <v>10106262-0300501LF</v>
          </cell>
          <cell r="B3223" t="str">
            <v>10106262-0300501LF Connector,PB+RH</v>
          </cell>
          <cell r="C3223">
            <v>3.0000000000000001E-3</v>
          </cell>
          <cell r="D3223">
            <v>1983.3333333333333</v>
          </cell>
          <cell r="E3223">
            <v>5950</v>
          </cell>
          <cell r="F3223">
            <v>2.5999999999999999E-2</v>
          </cell>
        </row>
        <row r="3224">
          <cell r="A3224" t="str">
            <v>10106262-0303K01LF</v>
          </cell>
          <cell r="B3224" t="str">
            <v>10106262-0303K01LF Connector,PB+RH</v>
          </cell>
          <cell r="C3224">
            <v>3.0000000000000001E-3</v>
          </cell>
          <cell r="D3224">
            <v>1983.3333333333333</v>
          </cell>
          <cell r="E3224">
            <v>5950</v>
          </cell>
          <cell r="F3224">
            <v>2.8000000000000001E-2</v>
          </cell>
        </row>
        <row r="3225">
          <cell r="A3225" t="str">
            <v>10106262-0314001LF</v>
          </cell>
          <cell r="B3225" t="str">
            <v>10106262-0314001LF PwrBlade+ RAH STB</v>
          </cell>
          <cell r="C3225">
            <v>1.2E-2</v>
          </cell>
          <cell r="D3225">
            <v>495.83333333333331</v>
          </cell>
          <cell r="E3225">
            <v>1487.5</v>
          </cell>
          <cell r="F3225">
            <v>6.2E-2</v>
          </cell>
        </row>
        <row r="3226">
          <cell r="A3226" t="str">
            <v>10106262-0323K02LF</v>
          </cell>
          <cell r="B3226" t="str">
            <v>10106262-0323K02LF Connector,PB+RH</v>
          </cell>
          <cell r="C3226">
            <v>8.0000000000000002E-3</v>
          </cell>
          <cell r="D3226">
            <v>743.75</v>
          </cell>
          <cell r="E3226">
            <v>2231.25</v>
          </cell>
          <cell r="F3226">
            <v>4.4999999999999998E-2</v>
          </cell>
        </row>
        <row r="3227">
          <cell r="A3227" t="str">
            <v>10106262-0400002LF</v>
          </cell>
          <cell r="B3227" t="str">
            <v>10106262-0400002LF Connector,PB+RH</v>
          </cell>
          <cell r="C3227">
            <v>6.1000000000000004E-3</v>
          </cell>
          <cell r="D3227">
            <v>975.4098360655737</v>
          </cell>
          <cell r="E3227">
            <v>2926.2295081967213</v>
          </cell>
          <cell r="F3227">
            <v>1.7000000000000001E-2</v>
          </cell>
        </row>
        <row r="3228">
          <cell r="A3228" t="str">
            <v>10106262-0400003LF</v>
          </cell>
          <cell r="B3228" t="str">
            <v>10106262-0400003LF Connector,PB+RH</v>
          </cell>
          <cell r="C3228">
            <v>6.1000000000000004E-3</v>
          </cell>
          <cell r="D3228">
            <v>975.4098360655737</v>
          </cell>
          <cell r="E3228">
            <v>2926.2295081967213</v>
          </cell>
          <cell r="F3228">
            <v>1.9E-2</v>
          </cell>
        </row>
        <row r="3229">
          <cell r="A3229" t="str">
            <v>10106262-0402002LF</v>
          </cell>
          <cell r="B3229" t="str">
            <v>10106262-0402002LF Connector,PB+RH</v>
          </cell>
          <cell r="C3229">
            <v>3.3E-3</v>
          </cell>
          <cell r="D3229">
            <v>1803.030303030303</v>
          </cell>
          <cell r="E3229">
            <v>5409.090909090909</v>
          </cell>
          <cell r="F3229">
            <v>2.5000000000000001E-2</v>
          </cell>
        </row>
        <row r="3230">
          <cell r="A3230" t="str">
            <v>10106262-0405K01LF</v>
          </cell>
          <cell r="B3230" t="str">
            <v>10106262-0405K01LF Connector,PB+RH</v>
          </cell>
          <cell r="C3230">
            <v>3.0000000000000001E-3</v>
          </cell>
          <cell r="D3230">
            <v>1983.3333333333333</v>
          </cell>
          <cell r="E3230">
            <v>5950</v>
          </cell>
          <cell r="F3230">
            <v>2.3E-2</v>
          </cell>
        </row>
        <row r="3231">
          <cell r="A3231" t="str">
            <v>10106262-0502001LF</v>
          </cell>
          <cell r="B3231" t="str">
            <v>10106262-0502001LF Connector,PB+RH</v>
          </cell>
          <cell r="C3231">
            <v>3.0000000000000001E-3</v>
          </cell>
          <cell r="D3231">
            <v>1983.3333333333333</v>
          </cell>
          <cell r="E3231">
            <v>5950</v>
          </cell>
          <cell r="F3231">
            <v>3.9E-2</v>
          </cell>
        </row>
        <row r="3232">
          <cell r="A3232" t="str">
            <v>10106262-0527001LF</v>
          </cell>
          <cell r="B3232" t="str">
            <v>10106262-0527001LF Connector,PB+RH</v>
          </cell>
          <cell r="C3232">
            <v>5.5999999999999999E-3</v>
          </cell>
          <cell r="D3232">
            <v>1062.5</v>
          </cell>
          <cell r="E3232">
            <v>3187.5</v>
          </cell>
          <cell r="F3232">
            <v>0.08</v>
          </cell>
        </row>
        <row r="3233">
          <cell r="A3233" t="str">
            <v>10106262-0527101LF</v>
          </cell>
          <cell r="B3233" t="str">
            <v>10106262-0527101LF Connector,PB+RH</v>
          </cell>
          <cell r="C3233">
            <v>5.5999999999999999E-3</v>
          </cell>
          <cell r="D3233">
            <v>1062.5</v>
          </cell>
          <cell r="E3233">
            <v>3187.5</v>
          </cell>
          <cell r="F3233">
            <v>0.08</v>
          </cell>
        </row>
        <row r="3234">
          <cell r="A3234" t="str">
            <v>10106262-0534001LF</v>
          </cell>
          <cell r="B3234" t="str">
            <v>10106262-0534001LF Connector,PB+RH</v>
          </cell>
          <cell r="C3234">
            <v>1.2E-2</v>
          </cell>
          <cell r="D3234">
            <v>495.83333333333331</v>
          </cell>
          <cell r="E3234">
            <v>1487.5</v>
          </cell>
          <cell r="F3234">
            <v>7.0999999999999994E-2</v>
          </cell>
        </row>
        <row r="3235">
          <cell r="A3235" t="str">
            <v>10106262-0600001LF</v>
          </cell>
          <cell r="B3235" t="str">
            <v>10106262-0600001LF Connector,PB+RH</v>
          </cell>
          <cell r="C3235">
            <v>6.1000000000000004E-3</v>
          </cell>
          <cell r="D3235">
            <v>975.4098360655737</v>
          </cell>
          <cell r="E3235">
            <v>2926.2295081967213</v>
          </cell>
          <cell r="F3235">
            <v>3.3000000000000002E-2</v>
          </cell>
        </row>
        <row r="3236">
          <cell r="A3236" t="str">
            <v>10106262-0602K02LF</v>
          </cell>
          <cell r="B3236" t="str">
            <v>10106262-0602K02LF PwrBlade+ RAH STB</v>
          </cell>
          <cell r="C3236">
            <v>3.3333E-3</v>
          </cell>
          <cell r="D3236">
            <v>1785.0178501785019</v>
          </cell>
          <cell r="E3236">
            <v>5355.0535505355056</v>
          </cell>
          <cell r="F3236">
            <v>2.75E-2</v>
          </cell>
        </row>
        <row r="3237">
          <cell r="A3237" t="str">
            <v>10106262-0608101LF</v>
          </cell>
          <cell r="B3237" t="str">
            <v>10106262-0608101LF Connector,PB+RH</v>
          </cell>
          <cell r="C3237">
            <v>3.3E-3</v>
          </cell>
          <cell r="D3237">
            <v>1803.030303030303</v>
          </cell>
          <cell r="E3237">
            <v>5409.090909090909</v>
          </cell>
          <cell r="F3237">
            <v>4.8000000000000001E-2</v>
          </cell>
        </row>
        <row r="3238">
          <cell r="A3238" t="str">
            <v>10106262-0613K01LF</v>
          </cell>
          <cell r="B3238" t="str">
            <v>10106262-0613K01LF PwrBlade+ RAH STB</v>
          </cell>
          <cell r="C3238">
            <v>5.0000000000000001E-3</v>
          </cell>
          <cell r="D3238">
            <v>1190</v>
          </cell>
          <cell r="E3238">
            <v>3570</v>
          </cell>
          <cell r="F3238">
            <v>3.5000000000000003E-2</v>
          </cell>
        </row>
        <row r="3239">
          <cell r="A3239" t="str">
            <v>10106262-0804001LF</v>
          </cell>
          <cell r="B3239" t="str">
            <v>10106262-0804001LF Connector,PB+RH</v>
          </cell>
          <cell r="C3239">
            <v>3.3E-3</v>
          </cell>
          <cell r="D3239">
            <v>1803.030303030303</v>
          </cell>
          <cell r="E3239">
            <v>5409.090909090909</v>
          </cell>
          <cell r="F3239">
            <v>5.2999999999999999E-2</v>
          </cell>
        </row>
        <row r="3240">
          <cell r="A3240" t="str">
            <v>10106262-0804002LF</v>
          </cell>
          <cell r="B3240" t="str">
            <v>10106262-0804002LF Connector,PB+RH</v>
          </cell>
          <cell r="C3240">
            <v>3.3E-3</v>
          </cell>
          <cell r="D3240">
            <v>1803.030303030303</v>
          </cell>
          <cell r="E3240">
            <v>5409.090909090909</v>
          </cell>
          <cell r="F3240">
            <v>3.4000000000000002E-2</v>
          </cell>
        </row>
        <row r="3241">
          <cell r="A3241" t="str">
            <v>10106262-0804K02LF</v>
          </cell>
          <cell r="B3241" t="str">
            <v>10106262-0804K02LF Connector,PB+RH</v>
          </cell>
          <cell r="C3241">
            <v>3.3E-3</v>
          </cell>
          <cell r="D3241">
            <v>1803.030303030303</v>
          </cell>
          <cell r="E3241">
            <v>5409.090909090909</v>
          </cell>
          <cell r="F3241">
            <v>5.2999999999999999E-2</v>
          </cell>
        </row>
        <row r="3242">
          <cell r="A3242" t="str">
            <v>10106262-0900A01LF</v>
          </cell>
          <cell r="B3242" t="str">
            <v>10106262-0900A01LF Connector,PB+RH</v>
          </cell>
          <cell r="C3242">
            <v>6.1000000000000004E-3</v>
          </cell>
          <cell r="D3242">
            <v>975.4098360655737</v>
          </cell>
          <cell r="E3242">
            <v>2926.2295081967213</v>
          </cell>
          <cell r="F3242">
            <v>3.1E-2</v>
          </cell>
        </row>
        <row r="3243">
          <cell r="A3243" t="str">
            <v>10106262-0904001LF</v>
          </cell>
          <cell r="B3243" t="str">
            <v>10106262-0904001LF Connector,PB+RH</v>
          </cell>
          <cell r="C3243">
            <v>3.3E-3</v>
          </cell>
          <cell r="D3243">
            <v>1803.030303030303</v>
          </cell>
          <cell r="E3243">
            <v>5409.090909090909</v>
          </cell>
          <cell r="F3243">
            <v>3.2000000000000001E-2</v>
          </cell>
        </row>
        <row r="3244">
          <cell r="A3244" t="str">
            <v>10106262-0904002LF</v>
          </cell>
          <cell r="B3244" t="str">
            <v>10106262-0904002LF Connector,PB+RH</v>
          </cell>
          <cell r="C3244">
            <v>3.3E-3</v>
          </cell>
          <cell r="D3244">
            <v>1803.030303030303</v>
          </cell>
          <cell r="E3244">
            <v>5409.090909090909</v>
          </cell>
          <cell r="F3244">
            <v>3.2000000000000001E-2</v>
          </cell>
        </row>
        <row r="3245">
          <cell r="A3245" t="str">
            <v>10106262-0A00001LF</v>
          </cell>
          <cell r="B3245" t="str">
            <v>10106262-0A00001LF Connector,PB+RH</v>
          </cell>
          <cell r="C3245">
            <v>6.1000000000000004E-3</v>
          </cell>
          <cell r="D3245">
            <v>975.4098360655737</v>
          </cell>
          <cell r="E3245">
            <v>2926.2295081967213</v>
          </cell>
          <cell r="F3245">
            <v>3.5999999999999997E-2</v>
          </cell>
        </row>
        <row r="3246">
          <cell r="A3246" t="str">
            <v>10106262-0A00401LF</v>
          </cell>
          <cell r="B3246" t="str">
            <v>10106262-0A00401LF Connector,PB+RH</v>
          </cell>
          <cell r="C3246">
            <v>6.1000000000000004E-3</v>
          </cell>
          <cell r="D3246">
            <v>975.4098360655737</v>
          </cell>
          <cell r="E3246">
            <v>2926.2295081967213</v>
          </cell>
          <cell r="F3246">
            <v>2.4E-2</v>
          </cell>
        </row>
        <row r="3247">
          <cell r="A3247" t="str">
            <v>10106262-0A03001LF</v>
          </cell>
          <cell r="B3247" t="str">
            <v>10106262-0A03001LF Connector,PB+RH</v>
          </cell>
          <cell r="C3247">
            <v>3.3E-3</v>
          </cell>
          <cell r="D3247">
            <v>1803.030303030303</v>
          </cell>
          <cell r="E3247">
            <v>5409.090909090909</v>
          </cell>
          <cell r="F3247">
            <v>3.5000000000000003E-2</v>
          </cell>
        </row>
        <row r="3248">
          <cell r="A3248" t="str">
            <v>10106262-0A04001LF</v>
          </cell>
          <cell r="B3248" t="str">
            <v>10106262-0A04001LF Connector,PB+RH</v>
          </cell>
          <cell r="C3248">
            <v>3.3E-3</v>
          </cell>
          <cell r="D3248">
            <v>1803.030303030303</v>
          </cell>
          <cell r="E3248">
            <v>5409.090909090909</v>
          </cell>
          <cell r="F3248">
            <v>0.04</v>
          </cell>
        </row>
        <row r="3249">
          <cell r="A3249" t="str">
            <v>10106262-0B09002LF</v>
          </cell>
          <cell r="B3249" t="str">
            <v>10106262-0B09002LF Connector,PB+RH</v>
          </cell>
          <cell r="C3249">
            <v>3.3E-3</v>
          </cell>
          <cell r="D3249">
            <v>1803.030303030303</v>
          </cell>
          <cell r="E3249">
            <v>5409.090909090909</v>
          </cell>
          <cell r="F3249">
            <v>4.4999999999999998E-2</v>
          </cell>
        </row>
        <row r="3250">
          <cell r="A3250" t="str">
            <v>10106262-0C00K01LF</v>
          </cell>
          <cell r="B3250" t="str">
            <v>10106262-0C00K01LF Connector,PB+RH</v>
          </cell>
          <cell r="C3250">
            <v>3.0000000000000001E-3</v>
          </cell>
          <cell r="D3250">
            <v>1983.3333333333333</v>
          </cell>
          <cell r="E3250">
            <v>5950</v>
          </cell>
          <cell r="F3250">
            <v>2.7E-2</v>
          </cell>
        </row>
        <row r="3251">
          <cell r="A3251" t="str">
            <v>10106262-0C03001LF</v>
          </cell>
          <cell r="B3251" t="str">
            <v>10106262-0C03001LF Connector,PB+RH</v>
          </cell>
          <cell r="C3251">
            <v>3.3E-3</v>
          </cell>
          <cell r="D3251">
            <v>1803.030303030303</v>
          </cell>
          <cell r="E3251">
            <v>5409.090909090909</v>
          </cell>
          <cell r="F3251">
            <v>3.3000000000000002E-2</v>
          </cell>
        </row>
        <row r="3252">
          <cell r="A3252" t="str">
            <v>10106262-0C05501LF</v>
          </cell>
          <cell r="B3252" t="str">
            <v>10106262-0C05501LF PwrBlade+ RAH STB</v>
          </cell>
          <cell r="C3252">
            <v>3.3E-3</v>
          </cell>
          <cell r="D3252">
            <v>1803.030303030303</v>
          </cell>
          <cell r="E3252">
            <v>5409.090909090909</v>
          </cell>
          <cell r="F3252">
            <v>3.7999999999999999E-2</v>
          </cell>
        </row>
        <row r="3253">
          <cell r="A3253" t="str">
            <v>10106262-0C05502LF</v>
          </cell>
          <cell r="B3253" t="str">
            <v>10106262-0C05502LF PwrBlade+ RAH STB</v>
          </cell>
          <cell r="C3253">
            <v>3.3E-3</v>
          </cell>
          <cell r="D3253">
            <v>1803.030303030303</v>
          </cell>
          <cell r="E3253">
            <v>5409.090909090909</v>
          </cell>
          <cell r="F3253">
            <v>3.7999999999999999E-2</v>
          </cell>
        </row>
        <row r="3254">
          <cell r="A3254" t="str">
            <v>10106262-0E02A01LF</v>
          </cell>
          <cell r="B3254" t="str">
            <v>10106262-0E02A01LF PwrBlade+ RAH STB</v>
          </cell>
          <cell r="C3254">
            <v>3.3E-3</v>
          </cell>
          <cell r="D3254">
            <v>1803.030303030303</v>
          </cell>
          <cell r="E3254">
            <v>5409.090909090909</v>
          </cell>
          <cell r="F3254">
            <v>3.7999999999999999E-2</v>
          </cell>
        </row>
        <row r="3255">
          <cell r="A3255" t="str">
            <v>10106262-0E06A01LF</v>
          </cell>
          <cell r="B3255" t="str">
            <v>10106262-0E06A01LF Connector,PB+RH</v>
          </cell>
          <cell r="C3255">
            <v>3.3E-3</v>
          </cell>
          <cell r="D3255">
            <v>1803.030303030303</v>
          </cell>
          <cell r="E3255">
            <v>5409.090909090909</v>
          </cell>
          <cell r="F3255">
            <v>3.4000000000000002E-2</v>
          </cell>
        </row>
        <row r="3256">
          <cell r="A3256" t="str">
            <v>10106262-0E12001LF</v>
          </cell>
          <cell r="B3256" t="str">
            <v>10106262-0E12001LF Connector,PB+RH</v>
          </cell>
          <cell r="C3256">
            <v>3.3E-3</v>
          </cell>
          <cell r="D3256">
            <v>1803.030303030303</v>
          </cell>
          <cell r="E3256">
            <v>5409.090909090909</v>
          </cell>
          <cell r="F3256">
            <v>3.4000000000000002E-2</v>
          </cell>
        </row>
        <row r="3257">
          <cell r="A3257" t="str">
            <v>10106262-0F08002LF</v>
          </cell>
          <cell r="B3257" t="str">
            <v>10106262-0F08002LF Connector,PB+RH</v>
          </cell>
          <cell r="C3257">
            <v>4.4000000000000003E-3</v>
          </cell>
          <cell r="D3257">
            <v>1352.2727272727273</v>
          </cell>
          <cell r="E3257">
            <v>4056.818181818182</v>
          </cell>
          <cell r="F3257">
            <v>5.8000000000000003E-2</v>
          </cell>
        </row>
        <row r="3258">
          <cell r="A3258" t="str">
            <v>10106262-0F08003LF</v>
          </cell>
          <cell r="B3258" t="str">
            <v>10106262-0F08003LF Connector,PB+RH</v>
          </cell>
          <cell r="C3258">
            <v>3.3E-3</v>
          </cell>
          <cell r="D3258">
            <v>1803.030303030303</v>
          </cell>
          <cell r="E3258">
            <v>5409.090909090909</v>
          </cell>
          <cell r="F3258">
            <v>5.2999999999999999E-2</v>
          </cell>
        </row>
        <row r="3259">
          <cell r="A3259" t="str">
            <v>10106262-0G00001LF</v>
          </cell>
          <cell r="B3259" t="str">
            <v>10106262-0G00001LF Connector,PB+RH</v>
          </cell>
          <cell r="C3259">
            <v>6.1000000000000004E-3</v>
          </cell>
          <cell r="D3259">
            <v>975.4098360655737</v>
          </cell>
          <cell r="E3259">
            <v>2926.2295081967213</v>
          </cell>
          <cell r="F3259">
            <v>3.5999999999999997E-2</v>
          </cell>
        </row>
        <row r="3260">
          <cell r="A3260" t="str">
            <v>10106262-0G02A01LF</v>
          </cell>
          <cell r="B3260" t="str">
            <v>10106262-0G02A01LF PwrBlade+ RAH STB</v>
          </cell>
          <cell r="C3260">
            <v>3.3E-3</v>
          </cell>
          <cell r="D3260">
            <v>1803.030303030303</v>
          </cell>
          <cell r="E3260">
            <v>5409.090909090909</v>
          </cell>
          <cell r="F3260">
            <v>3.7999999999999999E-2</v>
          </cell>
        </row>
        <row r="3261">
          <cell r="A3261" t="str">
            <v>10106262-0G02A02LF</v>
          </cell>
          <cell r="B3261" t="str">
            <v>10106262-0G02A02LF Connector,PB+RH</v>
          </cell>
          <cell r="C3261">
            <v>3.3E-3</v>
          </cell>
          <cell r="D3261">
            <v>1803.030303030303</v>
          </cell>
          <cell r="E3261">
            <v>5409.090909090909</v>
          </cell>
          <cell r="F3261">
            <v>3.2000000000000001E-2</v>
          </cell>
        </row>
        <row r="3262">
          <cell r="A3262" t="str">
            <v>10106262-0G02A04LF</v>
          </cell>
          <cell r="B3262" t="str">
            <v>10106262-0G02A04LF Connector,PB+RH</v>
          </cell>
          <cell r="C3262">
            <v>4.0000000000000001E-3</v>
          </cell>
          <cell r="D3262">
            <v>1487.5</v>
          </cell>
          <cell r="E3262">
            <v>4462.5</v>
          </cell>
          <cell r="F3262">
            <v>3.5000000000000003E-2</v>
          </cell>
        </row>
        <row r="3263">
          <cell r="A3263" t="str">
            <v>10106262-0H15001LF</v>
          </cell>
          <cell r="B3263" t="str">
            <v>10106262-0H15001LF Connector,PB+RH</v>
          </cell>
          <cell r="C3263">
            <v>6.6E-3</v>
          </cell>
          <cell r="D3263">
            <v>901.5151515151515</v>
          </cell>
          <cell r="E3263">
            <v>2704.5454545454545</v>
          </cell>
          <cell r="F3263">
            <v>5.8000000000000003E-2</v>
          </cell>
        </row>
        <row r="3264">
          <cell r="A3264" t="str">
            <v>10106262-0J02A01LF</v>
          </cell>
          <cell r="B3264" t="str">
            <v>10106262-0J02A01LF Connector,PB+RH</v>
          </cell>
          <cell r="C3264">
            <v>3.3E-3</v>
          </cell>
          <cell r="D3264">
            <v>1803.030303030303</v>
          </cell>
          <cell r="E3264">
            <v>5409.090909090909</v>
          </cell>
          <cell r="F3264">
            <v>4.4999999999999998E-2</v>
          </cell>
        </row>
        <row r="3265">
          <cell r="A3265" t="str">
            <v>10106262-0R02K01LF</v>
          </cell>
          <cell r="B3265" t="str">
            <v>10106262-0R02K01LF Connector,PB+RH</v>
          </cell>
          <cell r="C3265">
            <v>5.0000000000000001E-3</v>
          </cell>
          <cell r="D3265">
            <v>1190</v>
          </cell>
          <cell r="E3265">
            <v>3570</v>
          </cell>
          <cell r="F3265">
            <v>3.5000000000000003E-2</v>
          </cell>
        </row>
        <row r="3266">
          <cell r="A3266" t="str">
            <v>10106262-100J001LF</v>
          </cell>
          <cell r="B3266" t="str">
            <v>10106262-100J001LF Connector,PB+RH</v>
          </cell>
          <cell r="C3266">
            <v>4.8000000000000001E-2</v>
          </cell>
          <cell r="D3266">
            <v>123.95833333333333</v>
          </cell>
          <cell r="E3266">
            <v>371.875</v>
          </cell>
          <cell r="F3266">
            <v>0.01</v>
          </cell>
        </row>
        <row r="3267">
          <cell r="A3267" t="str">
            <v>10106262-1617001LF</v>
          </cell>
          <cell r="B3267" t="str">
            <v>10106262-1617001LF PwrBlade+ RAH STB</v>
          </cell>
          <cell r="C3267">
            <v>6.6E-3</v>
          </cell>
          <cell r="D3267">
            <v>901.5151515151515</v>
          </cell>
          <cell r="E3267">
            <v>2704.5454545454545</v>
          </cell>
          <cell r="F3267">
            <v>3.5000000000000003E-2</v>
          </cell>
        </row>
        <row r="3268">
          <cell r="A3268" t="str">
            <v>10106262-1C00401LF</v>
          </cell>
          <cell r="B3268" t="str">
            <v>10106262-1C00401LF Connector,PB+RH</v>
          </cell>
          <cell r="C3268">
            <v>3.3E-3</v>
          </cell>
          <cell r="D3268">
            <v>1803.030303030303</v>
          </cell>
          <cell r="E3268">
            <v>5409.090909090909</v>
          </cell>
          <cell r="F3268">
            <v>4.5999999999999999E-2</v>
          </cell>
        </row>
        <row r="3269">
          <cell r="A3269" t="str">
            <v>10106262-1C03001LF</v>
          </cell>
          <cell r="B3269" t="str">
            <v>10106262-1C03001LF Connector,PB+RH</v>
          </cell>
          <cell r="C3269">
            <v>3.3E-3</v>
          </cell>
          <cell r="D3269">
            <v>1803.030303030303</v>
          </cell>
          <cell r="E3269">
            <v>5409.090909090909</v>
          </cell>
          <cell r="F3269">
            <v>2.76E-2</v>
          </cell>
        </row>
        <row r="3270">
          <cell r="A3270" t="str">
            <v>10106262-1C03002LF</v>
          </cell>
          <cell r="B3270" t="str">
            <v>10106262-1C03002LF Connector,PB+RH</v>
          </cell>
          <cell r="C3270">
            <v>3.3E-3</v>
          </cell>
          <cell r="D3270">
            <v>1803.030303030303</v>
          </cell>
          <cell r="E3270">
            <v>5409.090909090909</v>
          </cell>
          <cell r="F3270">
            <v>3.5000000000000003E-2</v>
          </cell>
        </row>
        <row r="3271">
          <cell r="A3271" t="str">
            <v>10106262-1C03004LF</v>
          </cell>
          <cell r="B3271" t="str">
            <v>10106262-1C03004LF PwrBlade+ RAH STB</v>
          </cell>
          <cell r="C3271">
            <v>2E-3</v>
          </cell>
          <cell r="D3271">
            <v>2975</v>
          </cell>
          <cell r="E3271">
            <v>8925</v>
          </cell>
          <cell r="F3271">
            <v>2.9700000000000001E-2</v>
          </cell>
        </row>
        <row r="3272">
          <cell r="A3272" t="str">
            <v>10106262-1C03005LF</v>
          </cell>
          <cell r="B3272" t="str">
            <v>10106262-1C03005LF Connector,PB+RH</v>
          </cell>
          <cell r="C3272">
            <v>3.3E-3</v>
          </cell>
          <cell r="D3272">
            <v>1803.030303030303</v>
          </cell>
          <cell r="E3272">
            <v>5409.090909090909</v>
          </cell>
          <cell r="F3272">
            <v>4.1000000000000002E-2</v>
          </cell>
        </row>
        <row r="3273">
          <cell r="A3273" t="str">
            <v>10106262-1C03009LF</v>
          </cell>
          <cell r="B3273" t="str">
            <v>10106262-1C03009LF Connector,PB+RH</v>
          </cell>
          <cell r="C3273">
            <v>3.3E-3</v>
          </cell>
          <cell r="D3273">
            <v>1803.030303030303</v>
          </cell>
          <cell r="E3273">
            <v>5409.090909090909</v>
          </cell>
          <cell r="F3273">
            <v>4.1000000000000002E-2</v>
          </cell>
        </row>
        <row r="3274">
          <cell r="A3274" t="str">
            <v>10106262-1C03010LF</v>
          </cell>
          <cell r="B3274" t="str">
            <v>10106262-1C03010LF Connector,PB+RH</v>
          </cell>
          <cell r="C3274">
            <v>2E-3</v>
          </cell>
          <cell r="D3274">
            <v>2975</v>
          </cell>
          <cell r="E3274">
            <v>8925</v>
          </cell>
          <cell r="F3274">
            <v>2.9700000000000001E-2</v>
          </cell>
        </row>
        <row r="3275">
          <cell r="A3275" t="str">
            <v>10106262-1C03011LF</v>
          </cell>
          <cell r="B3275" t="str">
            <v>10106262-1C03011LF Connector,PB+RH</v>
          </cell>
          <cell r="C3275">
            <v>3.3E-3</v>
          </cell>
          <cell r="D3275">
            <v>1803.030303030303</v>
          </cell>
          <cell r="E3275">
            <v>5409.090909090909</v>
          </cell>
          <cell r="F3275">
            <v>3.5999999999999997E-2</v>
          </cell>
        </row>
        <row r="3276">
          <cell r="A3276" t="str">
            <v>10106262-1J02A01LF</v>
          </cell>
          <cell r="B3276" t="str">
            <v>10106262-1J02A01LF PwrBlade+ RAH STB</v>
          </cell>
          <cell r="C3276">
            <v>5.0000000000000001E-3</v>
          </cell>
          <cell r="D3276">
            <v>1190</v>
          </cell>
          <cell r="E3276">
            <v>3570</v>
          </cell>
          <cell r="F3276">
            <v>3.5000000000000003E-2</v>
          </cell>
        </row>
        <row r="3277">
          <cell r="A3277" t="str">
            <v>10106262-2000002LF</v>
          </cell>
          <cell r="B3277" t="str">
            <v>10106262-2000002LF Connector,PB+RH</v>
          </cell>
          <cell r="C3277">
            <v>3.3E-3</v>
          </cell>
          <cell r="D3277">
            <v>1803.030303030303</v>
          </cell>
          <cell r="E3277">
            <v>5409.090909090909</v>
          </cell>
          <cell r="F3277">
            <v>2.7E-2</v>
          </cell>
        </row>
        <row r="3278">
          <cell r="A3278" t="str">
            <v>10106262-2000003LF</v>
          </cell>
          <cell r="B3278" t="str">
            <v>10106262-2000003LF Connector,PB+RH</v>
          </cell>
          <cell r="C3278">
            <v>3.0000000000000001E-3</v>
          </cell>
          <cell r="D3278">
            <v>1983.3333333333333</v>
          </cell>
          <cell r="E3278">
            <v>5950</v>
          </cell>
          <cell r="F3278">
            <v>2.7E-2</v>
          </cell>
        </row>
        <row r="3279">
          <cell r="A3279" t="str">
            <v>10106262-2000402LF</v>
          </cell>
          <cell r="B3279" t="str">
            <v>10106262-2000402LF Connector,PB+RH</v>
          </cell>
          <cell r="C3279">
            <v>6.1000000000000004E-3</v>
          </cell>
          <cell r="D3279">
            <v>975.4098360655737</v>
          </cell>
          <cell r="E3279">
            <v>2926.2295081967213</v>
          </cell>
          <cell r="F3279">
            <v>2.1000000000000001E-2</v>
          </cell>
        </row>
        <row r="3280">
          <cell r="A3280" t="str">
            <v>10106262-2000403LF</v>
          </cell>
          <cell r="B3280" t="str">
            <v>10106262-2000403LF Connector,PB+RH</v>
          </cell>
          <cell r="C3280">
            <v>6.1000000000000004E-3</v>
          </cell>
          <cell r="D3280">
            <v>975.4098360655737</v>
          </cell>
          <cell r="E3280">
            <v>2926.2295081967213</v>
          </cell>
          <cell r="F3280">
            <v>2.5000000000000001E-2</v>
          </cell>
        </row>
        <row r="3281">
          <cell r="A3281" t="str">
            <v>10106262-2000405LF</v>
          </cell>
          <cell r="B3281" t="str">
            <v>10106262-2000405LF Connector,PB+RH</v>
          </cell>
          <cell r="C3281">
            <v>6.1000000000000004E-3</v>
          </cell>
          <cell r="D3281">
            <v>975.4098360655737</v>
          </cell>
          <cell r="E3281">
            <v>2926.2295081967213</v>
          </cell>
          <cell r="F3281">
            <v>2.6599999999999999E-2</v>
          </cell>
        </row>
        <row r="3282">
          <cell r="A3282" t="str">
            <v>10106262-2001002LF</v>
          </cell>
          <cell r="B3282" t="str">
            <v>10106262-2001002LF Connector,PB+RH</v>
          </cell>
          <cell r="C3282">
            <v>6.1000000000000004E-3</v>
          </cell>
          <cell r="D3282">
            <v>975.4098360655737</v>
          </cell>
          <cell r="E3282">
            <v>2926.2295081967213</v>
          </cell>
          <cell r="F3282">
            <v>4.2000000000000003E-2</v>
          </cell>
        </row>
        <row r="3283">
          <cell r="A3283" t="str">
            <v>10106262-2001003LF</v>
          </cell>
          <cell r="B3283" t="str">
            <v>10106262-2001003LF PwrBlade+ RAH STB</v>
          </cell>
          <cell r="C3283">
            <v>3.3E-3</v>
          </cell>
          <cell r="D3283">
            <v>1803.030303030303</v>
          </cell>
          <cell r="E3283">
            <v>5409.090909090909</v>
          </cell>
          <cell r="F3283">
            <v>2.5000000000000001E-2</v>
          </cell>
        </row>
        <row r="3284">
          <cell r="A3284" t="str">
            <v>10106262-2001501LF</v>
          </cell>
          <cell r="B3284" t="str">
            <v>10106262-2001501LF Connector,PB+RH</v>
          </cell>
          <cell r="C3284">
            <v>3.3E-3</v>
          </cell>
          <cell r="D3284">
            <v>1803.030303030303</v>
          </cell>
          <cell r="E3284">
            <v>5409.090909090909</v>
          </cell>
          <cell r="F3284">
            <v>2.5000000000000001E-2</v>
          </cell>
        </row>
        <row r="3285">
          <cell r="A3285" t="str">
            <v>10106262-2001502LF</v>
          </cell>
          <cell r="B3285" t="str">
            <v>10106262-2001502LF Connector,PB+RH</v>
          </cell>
          <cell r="C3285">
            <v>3.3E-3</v>
          </cell>
          <cell r="D3285">
            <v>1803.030303030303</v>
          </cell>
          <cell r="E3285">
            <v>5409.090909090909</v>
          </cell>
          <cell r="F3285">
            <v>2.1999999999999999E-2</v>
          </cell>
        </row>
        <row r="3286">
          <cell r="A3286" t="str">
            <v>10106262-2001504LF</v>
          </cell>
          <cell r="B3286" t="str">
            <v>10106262-2001504LF Connector,PB+RH</v>
          </cell>
          <cell r="C3286">
            <v>3.0000000000000001E-3</v>
          </cell>
          <cell r="D3286">
            <v>1983.3333333333333</v>
          </cell>
          <cell r="E3286">
            <v>5950</v>
          </cell>
          <cell r="F3286">
            <v>2.5000000000000001E-2</v>
          </cell>
        </row>
        <row r="3287">
          <cell r="A3287" t="str">
            <v>10106262-2001505LF</v>
          </cell>
          <cell r="B3287" t="str">
            <v>10106262-2001505LF PwrBlade+ RAH STB</v>
          </cell>
          <cell r="C3287">
            <v>3.3E-3</v>
          </cell>
          <cell r="D3287">
            <v>1803.030303030303</v>
          </cell>
          <cell r="E3287">
            <v>5409.090909090909</v>
          </cell>
          <cell r="F3287">
            <v>2.7E-2</v>
          </cell>
        </row>
        <row r="3288">
          <cell r="A3288" t="str">
            <v>10106262-2001K03LF</v>
          </cell>
          <cell r="B3288" t="str">
            <v>10106262-2001K03LF PwrBlade+ RAH STB</v>
          </cell>
          <cell r="C3288">
            <v>3.3E-3</v>
          </cell>
          <cell r="D3288">
            <v>1803.030303030303</v>
          </cell>
          <cell r="E3288">
            <v>5409.090909090909</v>
          </cell>
          <cell r="F3288">
            <v>1.7999999999999999E-2</v>
          </cell>
        </row>
        <row r="3289">
          <cell r="A3289" t="str">
            <v>10106262-2002003LF</v>
          </cell>
          <cell r="B3289" t="str">
            <v>10106262-2002003LF Connector,PB+RH</v>
          </cell>
          <cell r="C3289">
            <v>3.3E-3</v>
          </cell>
          <cell r="D3289">
            <v>1803.030303030303</v>
          </cell>
          <cell r="E3289">
            <v>5409.090909090909</v>
          </cell>
          <cell r="F3289">
            <v>3.5000000000000003E-2</v>
          </cell>
        </row>
        <row r="3290">
          <cell r="A3290" t="str">
            <v>10106262-2002009LF</v>
          </cell>
          <cell r="B3290" t="str">
            <v>10106262-2002009LF Connector,PB+RH</v>
          </cell>
          <cell r="C3290">
            <v>3.3E-3</v>
          </cell>
          <cell r="D3290">
            <v>1803.030303030303</v>
          </cell>
          <cell r="E3290">
            <v>5409.090909090909</v>
          </cell>
          <cell r="F3290">
            <v>3.5000000000000003E-2</v>
          </cell>
        </row>
        <row r="3291">
          <cell r="A3291" t="str">
            <v>10106262-2002402LF</v>
          </cell>
          <cell r="B3291" t="str">
            <v>10106262-2002402LF Connector,PB+RH</v>
          </cell>
          <cell r="C3291">
            <v>3.0000000000000001E-3</v>
          </cell>
          <cell r="D3291">
            <v>1983.3333333333333</v>
          </cell>
          <cell r="E3291">
            <v>5950</v>
          </cell>
          <cell r="F3291">
            <v>2.3E-2</v>
          </cell>
        </row>
        <row r="3292">
          <cell r="A3292" t="str">
            <v>10106262-2002404LF</v>
          </cell>
          <cell r="B3292" t="str">
            <v>10106262-2002404LF Connector,PB+RH</v>
          </cell>
          <cell r="C3292">
            <v>3.0000000000000001E-3</v>
          </cell>
          <cell r="D3292">
            <v>1983.3333333333333</v>
          </cell>
          <cell r="E3292">
            <v>5950</v>
          </cell>
          <cell r="F3292">
            <v>2.3E-2</v>
          </cell>
        </row>
        <row r="3293">
          <cell r="A3293" t="str">
            <v>10106262-2002K02LF</v>
          </cell>
          <cell r="B3293" t="str">
            <v>10106262-2002K02LF Connector,PB+RH</v>
          </cell>
          <cell r="C3293">
            <v>3.3E-3</v>
          </cell>
          <cell r="D3293">
            <v>1803.030303030303</v>
          </cell>
          <cell r="E3293">
            <v>5409.090909090909</v>
          </cell>
          <cell r="F3293">
            <v>2.7E-2</v>
          </cell>
        </row>
        <row r="3294">
          <cell r="A3294" t="str">
            <v>10106262-2002K03LF</v>
          </cell>
          <cell r="B3294" t="str">
            <v>10106262-2002K03LF Connector,PB+RH</v>
          </cell>
          <cell r="C3294">
            <v>3.3E-3</v>
          </cell>
          <cell r="D3294">
            <v>1803.030303030303</v>
          </cell>
          <cell r="E3294">
            <v>5409.090909090909</v>
          </cell>
          <cell r="F3294">
            <v>2.1000000000000001E-2</v>
          </cell>
        </row>
        <row r="3295">
          <cell r="A3295" t="str">
            <v>10106262-2003002LF</v>
          </cell>
          <cell r="B3295" t="str">
            <v>10106262-2003002LF Connector,PB+RH</v>
          </cell>
          <cell r="C3295">
            <v>3.3E-3</v>
          </cell>
          <cell r="D3295">
            <v>1803.030303030303</v>
          </cell>
          <cell r="E3295">
            <v>5409.090909090909</v>
          </cell>
          <cell r="F3295">
            <v>3.9E-2</v>
          </cell>
        </row>
        <row r="3296">
          <cell r="A3296" t="str">
            <v>10106262-2003003LF</v>
          </cell>
          <cell r="B3296" t="str">
            <v>10106262-2003003LF Connector,PB+RH</v>
          </cell>
          <cell r="C3296">
            <v>3.3E-3</v>
          </cell>
          <cell r="D3296">
            <v>1803.030303030303</v>
          </cell>
          <cell r="E3296">
            <v>5409.090909090909</v>
          </cell>
          <cell r="F3296">
            <v>3.3000000000000002E-2</v>
          </cell>
        </row>
        <row r="3297">
          <cell r="A3297" t="str">
            <v>10106262-2003K01LF</v>
          </cell>
          <cell r="B3297" t="str">
            <v>10106262-2003K01LF Connector,PB+RH</v>
          </cell>
          <cell r="C3297">
            <v>3.3E-3</v>
          </cell>
          <cell r="D3297">
            <v>1803.030303030303</v>
          </cell>
          <cell r="E3297">
            <v>5409.090909090909</v>
          </cell>
          <cell r="F3297">
            <v>2.8000000000000001E-2</v>
          </cell>
        </row>
        <row r="3298">
          <cell r="A3298" t="str">
            <v>10106262-2004403LF</v>
          </cell>
          <cell r="B3298" t="str">
            <v>10106262-2004403LF Connector,PB+RH</v>
          </cell>
          <cell r="C3298">
            <v>3.3E-3</v>
          </cell>
          <cell r="D3298">
            <v>1803.030303030303</v>
          </cell>
          <cell r="E3298">
            <v>5409.090909090909</v>
          </cell>
          <cell r="F3298">
            <v>2.5999999999999999E-2</v>
          </cell>
        </row>
        <row r="3299">
          <cell r="A3299" t="str">
            <v>10106262-2007001LF</v>
          </cell>
          <cell r="B3299" t="str">
            <v>10106262-2007001LF PwrBlade+ RAH STB</v>
          </cell>
          <cell r="C3299">
            <v>3.3E-3</v>
          </cell>
          <cell r="D3299">
            <v>1803.030303030303</v>
          </cell>
          <cell r="E3299">
            <v>5409.090909090909</v>
          </cell>
          <cell r="F3299">
            <v>3.2000000000000001E-2</v>
          </cell>
        </row>
        <row r="3300">
          <cell r="A3300" t="str">
            <v>10106262-2201002LF</v>
          </cell>
          <cell r="B3300" t="str">
            <v>10106262-2201002LF Connector,PB+RH</v>
          </cell>
          <cell r="C3300">
            <v>3.3E-3</v>
          </cell>
          <cell r="D3300">
            <v>1803.030303030303</v>
          </cell>
          <cell r="E3300">
            <v>5409.090909090909</v>
          </cell>
          <cell r="F3300">
            <v>3.1E-2</v>
          </cell>
        </row>
        <row r="3301">
          <cell r="A3301" t="str">
            <v>10106262-2301K02LF</v>
          </cell>
          <cell r="B3301" t="str">
            <v>10106262-2301K02LF Connector,PB+RH</v>
          </cell>
          <cell r="C3301">
            <v>3.0000000000000001E-3</v>
          </cell>
          <cell r="D3301">
            <v>1983.3333333333333</v>
          </cell>
          <cell r="E3301">
            <v>5950</v>
          </cell>
          <cell r="F3301">
            <v>2.3E-2</v>
          </cell>
        </row>
        <row r="3302">
          <cell r="A3302" t="str">
            <v>10106262-2403001LF</v>
          </cell>
          <cell r="B3302" t="str">
            <v>10106262-2403001LF Connector,PB+RH</v>
          </cell>
          <cell r="C3302">
            <v>3.3E-3</v>
          </cell>
          <cell r="D3302">
            <v>1803.030303030303</v>
          </cell>
          <cell r="E3302">
            <v>5409.090909090909</v>
          </cell>
          <cell r="F3302">
            <v>3.2000000000000001E-2</v>
          </cell>
        </row>
        <row r="3303">
          <cell r="A3303" t="str">
            <v>10106262-2506001LF</v>
          </cell>
          <cell r="B3303" t="str">
            <v>10106262-2506001LF Connector,PB+RH</v>
          </cell>
          <cell r="C3303">
            <v>3.3E-3</v>
          </cell>
          <cell r="D3303">
            <v>1803.030303030303</v>
          </cell>
          <cell r="E3303">
            <v>5409.090909090909</v>
          </cell>
          <cell r="F3303">
            <v>2.8000000000000001E-2</v>
          </cell>
        </row>
        <row r="3304">
          <cell r="A3304" t="str">
            <v>10106262-2600003LF</v>
          </cell>
          <cell r="B3304" t="str">
            <v>10106262-2600003LF Connector,PB+RH</v>
          </cell>
          <cell r="C3304">
            <v>6.1000000000000004E-3</v>
          </cell>
          <cell r="D3304">
            <v>975.4098360655737</v>
          </cell>
          <cell r="E3304">
            <v>2926.2295081967213</v>
          </cell>
          <cell r="F3304">
            <v>2.8000000000000001E-2</v>
          </cell>
        </row>
        <row r="3305">
          <cell r="A3305" t="str">
            <v>10106262-2600004LF</v>
          </cell>
          <cell r="B3305" t="str">
            <v>10106262-2600004LF PwrBlade+ RAH STB</v>
          </cell>
          <cell r="C3305">
            <v>8.2000000000000007E-3</v>
          </cell>
          <cell r="D3305">
            <v>725.60975609756099</v>
          </cell>
          <cell r="E3305">
            <v>2176.8292682926831</v>
          </cell>
          <cell r="F3305">
            <v>1.95E-2</v>
          </cell>
        </row>
        <row r="3306">
          <cell r="A3306" t="str">
            <v>10106262-2602401LF</v>
          </cell>
          <cell r="B3306" t="str">
            <v>10106262-2602401LF Connector,PB+RH</v>
          </cell>
          <cell r="C3306">
            <v>3.0000000000000001E-3</v>
          </cell>
          <cell r="D3306">
            <v>1983.3333333333333</v>
          </cell>
          <cell r="E3306">
            <v>5950</v>
          </cell>
          <cell r="F3306">
            <v>2.8000000000000001E-2</v>
          </cell>
        </row>
        <row r="3307">
          <cell r="A3307" t="str">
            <v>10106262-2LUB201LF</v>
          </cell>
          <cell r="B3307" t="str">
            <v>10106262-2LUB201LF Connector,PB+RH</v>
          </cell>
          <cell r="C3307">
            <v>3.3E-3</v>
          </cell>
          <cell r="D3307">
            <v>1803.030303030303</v>
          </cell>
          <cell r="E3307">
            <v>5409.090909090909</v>
          </cell>
          <cell r="F3307">
            <v>4.2000000000000003E-2</v>
          </cell>
        </row>
        <row r="3308">
          <cell r="A3308" t="str">
            <v>10106262-2LUB202LF</v>
          </cell>
          <cell r="B3308" t="str">
            <v>10106262-2LUB202LF Connector,PB+RH</v>
          </cell>
          <cell r="C3308">
            <v>3.3E-3</v>
          </cell>
          <cell r="D3308">
            <v>1803.030303030303</v>
          </cell>
          <cell r="E3308">
            <v>5409.090909090909</v>
          </cell>
          <cell r="F3308">
            <v>4.4699999999999997E-2</v>
          </cell>
        </row>
        <row r="3309">
          <cell r="A3309" t="str">
            <v>10106262-3000002LF</v>
          </cell>
          <cell r="B3309" t="str">
            <v>10106262-3000002LF Connector,PB+RH</v>
          </cell>
          <cell r="C3309">
            <v>6.1000000000000004E-3</v>
          </cell>
          <cell r="D3309">
            <v>975.4098360655737</v>
          </cell>
          <cell r="E3309">
            <v>2926.2295081967213</v>
          </cell>
          <cell r="F3309">
            <v>1.7999999999999999E-2</v>
          </cell>
        </row>
        <row r="3310">
          <cell r="A3310" t="str">
            <v>10106262-3000407LF</v>
          </cell>
          <cell r="B3310" t="str">
            <v>10106262-3000407LF Connector,PB+RH</v>
          </cell>
          <cell r="C3310">
            <v>3.0000000000000001E-3</v>
          </cell>
          <cell r="D3310">
            <v>1983.3333333333333</v>
          </cell>
          <cell r="E3310">
            <v>5950</v>
          </cell>
          <cell r="F3310">
            <v>2.8000000000000001E-2</v>
          </cell>
        </row>
        <row r="3311">
          <cell r="A3311" t="str">
            <v>10106262-3000503LF</v>
          </cell>
          <cell r="B3311" t="str">
            <v>10106262-3000503LF Connector,PB+RH</v>
          </cell>
          <cell r="C3311">
            <v>2.5000000000000001E-3</v>
          </cell>
          <cell r="D3311">
            <v>2380</v>
          </cell>
          <cell r="E3311">
            <v>7140</v>
          </cell>
          <cell r="F3311">
            <v>2.3E-2</v>
          </cell>
        </row>
        <row r="3312">
          <cell r="A3312" t="str">
            <v>10106262-3002001LF</v>
          </cell>
          <cell r="B3312" t="str">
            <v>10106262-3002001LF Connector,PB+RH</v>
          </cell>
          <cell r="C3312">
            <v>3.3E-3</v>
          </cell>
          <cell r="D3312">
            <v>1803.030303030303</v>
          </cell>
          <cell r="E3312">
            <v>5409.090909090909</v>
          </cell>
          <cell r="F3312">
            <v>2.8000000000000001E-2</v>
          </cell>
        </row>
        <row r="3313">
          <cell r="A3313" t="str">
            <v>10106262-3002002LF</v>
          </cell>
          <cell r="B3313" t="str">
            <v>10106262-3002002LF Connector,PB+RH</v>
          </cell>
          <cell r="C3313">
            <v>3.0000000000000001E-3</v>
          </cell>
          <cell r="D3313">
            <v>1983.3333333333333</v>
          </cell>
          <cell r="E3313">
            <v>5950</v>
          </cell>
          <cell r="F3313">
            <v>4.2000000000000003E-2</v>
          </cell>
        </row>
        <row r="3314">
          <cell r="A3314" t="str">
            <v>10106262-3019001LF</v>
          </cell>
          <cell r="B3314" t="str">
            <v>10106262-3019001LF PwrBlade+ RAH STB</v>
          </cell>
          <cell r="C3314">
            <v>6.7000000000000002E-3</v>
          </cell>
          <cell r="D3314">
            <v>888.05970149253733</v>
          </cell>
          <cell r="E3314">
            <v>2664.1791044776119</v>
          </cell>
          <cell r="F3314">
            <v>3.2000000000000001E-2</v>
          </cell>
        </row>
        <row r="3315">
          <cell r="A3315" t="str">
            <v>10106262-3037K01LF</v>
          </cell>
          <cell r="B3315" t="str">
            <v>10106262-3037K01LF PwrBlade+ RAH STB</v>
          </cell>
          <cell r="C3315">
            <v>8.9999999999999993E-3</v>
          </cell>
          <cell r="D3315">
            <v>661.1111111111112</v>
          </cell>
          <cell r="E3315">
            <v>1983.3333333333335</v>
          </cell>
          <cell r="F3315">
            <v>5.0999999999999997E-2</v>
          </cell>
        </row>
        <row r="3316">
          <cell r="A3316" t="str">
            <v>10106262-3606001LF</v>
          </cell>
          <cell r="B3316" t="str">
            <v>10106262-3606001LF Connector,PB+RH</v>
          </cell>
          <cell r="C3316">
            <v>3.3E-3</v>
          </cell>
          <cell r="D3316">
            <v>1803.030303030303</v>
          </cell>
          <cell r="E3316">
            <v>5409.090909090909</v>
          </cell>
          <cell r="F3316">
            <v>4.9000000000000002E-2</v>
          </cell>
        </row>
        <row r="3317">
          <cell r="A3317" t="str">
            <v>10106262-3606002LF</v>
          </cell>
          <cell r="B3317" t="str">
            <v>10106262-3606002LF Connector,PB+RH</v>
          </cell>
          <cell r="C3317">
            <v>3.3E-3</v>
          </cell>
          <cell r="D3317">
            <v>1803.030303030303</v>
          </cell>
          <cell r="E3317">
            <v>5409.090909090909</v>
          </cell>
          <cell r="F3317">
            <v>4.8000000000000001E-2</v>
          </cell>
        </row>
        <row r="3318">
          <cell r="A3318" t="str">
            <v>10106262-4000001LF</v>
          </cell>
          <cell r="B3318" t="str">
            <v>10106262-4000001LF Connector,PB+RH</v>
          </cell>
          <cell r="C3318">
            <v>6.1000000000000004E-3</v>
          </cell>
          <cell r="D3318">
            <v>975.4098360655737</v>
          </cell>
          <cell r="E3318">
            <v>2926.2295081967213</v>
          </cell>
          <cell r="F3318">
            <v>2.5000000000000001E-2</v>
          </cell>
        </row>
        <row r="3319">
          <cell r="A3319" t="str">
            <v>10106262-4000406LF</v>
          </cell>
          <cell r="B3319" t="str">
            <v>10106262-4000406LF Connector,PB+RH</v>
          </cell>
          <cell r="C3319">
            <v>6.1000000000000004E-3</v>
          </cell>
          <cell r="D3319">
            <v>975.4098360655737</v>
          </cell>
          <cell r="E3319">
            <v>2926.2295081967213</v>
          </cell>
          <cell r="F3319">
            <v>2.8000000000000001E-2</v>
          </cell>
        </row>
        <row r="3320">
          <cell r="A3320" t="str">
            <v>10106262-4000408LF</v>
          </cell>
          <cell r="B3320" t="str">
            <v>10106262-4000408LF Connector,PB+RH</v>
          </cell>
          <cell r="C3320">
            <v>6.1000000000000004E-3</v>
          </cell>
          <cell r="D3320">
            <v>975.4098360655737</v>
          </cell>
          <cell r="E3320">
            <v>2926.2295081967213</v>
          </cell>
          <cell r="F3320">
            <v>1.9E-2</v>
          </cell>
        </row>
        <row r="3321">
          <cell r="A3321" t="str">
            <v>10106262-4000411LF</v>
          </cell>
          <cell r="B3321" t="str">
            <v>10106262-4000411LF Connector,PB+RH</v>
          </cell>
          <cell r="C3321">
            <v>3.0000000000000001E-3</v>
          </cell>
          <cell r="D3321">
            <v>1983.3333333333333</v>
          </cell>
          <cell r="E3321">
            <v>5950</v>
          </cell>
          <cell r="F3321">
            <v>2.5999999999999999E-2</v>
          </cell>
        </row>
        <row r="3322">
          <cell r="A3322" t="str">
            <v>10106262-4000501LF</v>
          </cell>
          <cell r="B3322" t="str">
            <v>10106262-4000501LF Connector,PB+RH</v>
          </cell>
          <cell r="C3322">
            <v>3.0000000000000001E-3</v>
          </cell>
          <cell r="D3322">
            <v>1983.3333333333333</v>
          </cell>
          <cell r="E3322">
            <v>5950</v>
          </cell>
          <cell r="F3322">
            <v>2.3E-2</v>
          </cell>
        </row>
        <row r="3323">
          <cell r="A3323" t="str">
            <v>10106262-4000A01LF</v>
          </cell>
          <cell r="B3323" t="str">
            <v>10106262-4000A01LF Connector,PB+RH</v>
          </cell>
          <cell r="C3323">
            <v>6.1000000000000004E-3</v>
          </cell>
          <cell r="D3323">
            <v>975.4098360655737</v>
          </cell>
          <cell r="E3323">
            <v>2926.2295081967213</v>
          </cell>
          <cell r="F3323">
            <v>3.5000000000000003E-2</v>
          </cell>
        </row>
        <row r="3324">
          <cell r="A3324" t="str">
            <v>10106262-4001402LF</v>
          </cell>
          <cell r="B3324" t="str">
            <v>10106262-4001402LF Connector,PB+RH</v>
          </cell>
          <cell r="C3324">
            <v>3.3E-3</v>
          </cell>
          <cell r="D3324">
            <v>1803.030303030303</v>
          </cell>
          <cell r="E3324">
            <v>5409.090909090909</v>
          </cell>
          <cell r="F3324">
            <v>0.03</v>
          </cell>
        </row>
        <row r="3325">
          <cell r="A3325" t="str">
            <v>10106262-4002001LF</v>
          </cell>
          <cell r="B3325" t="str">
            <v>10106262-4002001LF Connector,PB+RH</v>
          </cell>
          <cell r="C3325">
            <v>3.3E-3</v>
          </cell>
          <cell r="D3325">
            <v>1803.030303030303</v>
          </cell>
          <cell r="E3325">
            <v>5409.090909090909</v>
          </cell>
          <cell r="F3325">
            <v>3.5000000000000003E-2</v>
          </cell>
        </row>
        <row r="3326">
          <cell r="A3326" t="str">
            <v>10106262-4002002LF</v>
          </cell>
          <cell r="B3326" t="str">
            <v>10106262-4002002LF Connector,PB+RH</v>
          </cell>
          <cell r="C3326">
            <v>3.3E-3</v>
          </cell>
          <cell r="D3326">
            <v>1803.030303030303</v>
          </cell>
          <cell r="E3326">
            <v>5409.090909090909</v>
          </cell>
          <cell r="F3326">
            <v>3.6999999999999998E-2</v>
          </cell>
        </row>
        <row r="3327">
          <cell r="A3327" t="str">
            <v>10106262-4002401LF</v>
          </cell>
          <cell r="B3327" t="str">
            <v>10106262-4002401LF Connector,PB+RH</v>
          </cell>
          <cell r="C3327">
            <v>3.3E-3</v>
          </cell>
          <cell r="D3327">
            <v>1803.030303030303</v>
          </cell>
          <cell r="E3327">
            <v>5409.090909090909</v>
          </cell>
          <cell r="F3327">
            <v>2.8000000000000001E-2</v>
          </cell>
        </row>
        <row r="3328">
          <cell r="A3328" t="str">
            <v>10106262-4003004LF</v>
          </cell>
          <cell r="B3328" t="str">
            <v>10106262-4003004LF Connector,PB+RH</v>
          </cell>
          <cell r="C3328">
            <v>3.3E-3</v>
          </cell>
          <cell r="D3328">
            <v>1803.030303030303</v>
          </cell>
          <cell r="E3328">
            <v>5409.090909090909</v>
          </cell>
          <cell r="F3328">
            <v>3.2000000000000001E-2</v>
          </cell>
        </row>
        <row r="3329">
          <cell r="A3329" t="str">
            <v>10106262-4003K01LF</v>
          </cell>
          <cell r="B3329" t="str">
            <v>10106262-4003K01LF Connector,PB+RH</v>
          </cell>
          <cell r="C3329">
            <v>3.3E-3</v>
          </cell>
          <cell r="D3329">
            <v>1803.030303030303</v>
          </cell>
          <cell r="E3329">
            <v>5409.090909090909</v>
          </cell>
          <cell r="F3329">
            <v>3.4000000000000002E-2</v>
          </cell>
        </row>
        <row r="3330">
          <cell r="A3330" t="str">
            <v>10106262-4004002LF</v>
          </cell>
          <cell r="B3330" t="str">
            <v>10106262-4004002LF Connector,PB+RH</v>
          </cell>
          <cell r="C3330">
            <v>3.3E-3</v>
          </cell>
          <cell r="D3330">
            <v>1803.030303030303</v>
          </cell>
          <cell r="E3330">
            <v>5409.090909090909</v>
          </cell>
          <cell r="F3330">
            <v>3.5000000000000003E-2</v>
          </cell>
        </row>
        <row r="3331">
          <cell r="A3331" t="str">
            <v>10106262-4004K01LF</v>
          </cell>
          <cell r="B3331" t="str">
            <v>10106262-4004K01LF Connector,PB+RH</v>
          </cell>
          <cell r="C3331">
            <v>3.3E-3</v>
          </cell>
          <cell r="D3331">
            <v>1803.030303030303</v>
          </cell>
          <cell r="E3331">
            <v>5409.090909090909</v>
          </cell>
          <cell r="F3331">
            <v>2.1000000000000001E-2</v>
          </cell>
        </row>
        <row r="3332">
          <cell r="A3332" t="str">
            <v>10106262-4004K02LF</v>
          </cell>
          <cell r="B3332" t="str">
            <v>10106262-4004K02LF Connector,PB+RH</v>
          </cell>
          <cell r="C3332">
            <v>5.0000000000000001E-3</v>
          </cell>
          <cell r="D3332">
            <v>1190</v>
          </cell>
          <cell r="E3332">
            <v>3570</v>
          </cell>
          <cell r="F3332">
            <v>3.5000000000000003E-2</v>
          </cell>
        </row>
        <row r="3333">
          <cell r="A3333" t="str">
            <v>10106262-4005001LF</v>
          </cell>
          <cell r="B3333" t="str">
            <v>10106262-4005001LF Connector,PB+RH</v>
          </cell>
          <cell r="C3333">
            <v>3.3E-3</v>
          </cell>
          <cell r="D3333">
            <v>1803.030303030303</v>
          </cell>
          <cell r="E3333">
            <v>5409.090909090909</v>
          </cell>
          <cell r="F3333">
            <v>3.6999999999999998E-2</v>
          </cell>
        </row>
        <row r="3334">
          <cell r="A3334" t="str">
            <v>10106262-4005401LF</v>
          </cell>
          <cell r="B3334" t="str">
            <v>10106262-4005401LF Connector,PB+RH</v>
          </cell>
          <cell r="C3334">
            <v>3.3E-3</v>
          </cell>
          <cell r="D3334">
            <v>1803.030303030303</v>
          </cell>
          <cell r="E3334">
            <v>5409.090909090909</v>
          </cell>
          <cell r="F3334">
            <v>2.5999999999999999E-2</v>
          </cell>
        </row>
        <row r="3335">
          <cell r="A3335" t="str">
            <v>10106262-4006K01LF</v>
          </cell>
          <cell r="B3335" t="str">
            <v>10106262-4006K01LF Connector,PB+RH</v>
          </cell>
          <cell r="C3335">
            <v>3.3E-3</v>
          </cell>
          <cell r="D3335">
            <v>1803.030303030303</v>
          </cell>
          <cell r="E3335">
            <v>5409.090909090909</v>
          </cell>
          <cell r="F3335">
            <v>2.9000000000000001E-2</v>
          </cell>
        </row>
        <row r="3336">
          <cell r="A3336" t="str">
            <v>10106262-4009001LF</v>
          </cell>
          <cell r="B3336" t="str">
            <v>10106262-4009001LF Connector,PB+RH</v>
          </cell>
          <cell r="C3336">
            <v>3.3E-3</v>
          </cell>
          <cell r="D3336">
            <v>1803.030303030303</v>
          </cell>
          <cell r="E3336">
            <v>5409.090909090909</v>
          </cell>
          <cell r="F3336">
            <v>3.4000000000000002E-2</v>
          </cell>
        </row>
        <row r="3337">
          <cell r="A3337" t="str">
            <v>10106262-4009401LF</v>
          </cell>
          <cell r="B3337" t="str">
            <v>10106262-4009401LF Connector,PB+RH</v>
          </cell>
          <cell r="C3337">
            <v>3.3E-3</v>
          </cell>
          <cell r="D3337">
            <v>1803.030303030303</v>
          </cell>
          <cell r="E3337">
            <v>5409.090909090909</v>
          </cell>
          <cell r="F3337">
            <v>3.2000000000000001E-2</v>
          </cell>
        </row>
        <row r="3338">
          <cell r="A3338" t="str">
            <v>10106262-4506001LF</v>
          </cell>
          <cell r="B3338" t="str">
            <v>10106262-4506001LF PwrBlade+ RAH STB</v>
          </cell>
          <cell r="C3338">
            <v>8.3000000000000001E-3</v>
          </cell>
          <cell r="D3338">
            <v>716.86746987951813</v>
          </cell>
          <cell r="E3338">
            <v>2150.6024096385545</v>
          </cell>
          <cell r="F3338">
            <v>3.3000000000000002E-2</v>
          </cell>
        </row>
        <row r="3339">
          <cell r="A3339" t="str">
            <v>10106262-4506002LF</v>
          </cell>
          <cell r="B3339" t="str">
            <v>10106262-4506002LF Connector,PB+RH</v>
          </cell>
          <cell r="C3339">
            <v>6.1000000000000004E-3</v>
          </cell>
          <cell r="D3339">
            <v>975.4098360655737</v>
          </cell>
          <cell r="E3339">
            <v>2926.2295081967213</v>
          </cell>
          <cell r="F3339">
            <v>4.4999999999999998E-2</v>
          </cell>
        </row>
        <row r="3340">
          <cell r="A3340" t="str">
            <v>10106262-4508003LF</v>
          </cell>
          <cell r="B3340" t="str">
            <v>10106262-4508003LF Connector,PB+RH</v>
          </cell>
          <cell r="C3340">
            <v>3.3E-3</v>
          </cell>
          <cell r="D3340">
            <v>1803.030303030303</v>
          </cell>
          <cell r="E3340">
            <v>5409.090909090909</v>
          </cell>
          <cell r="F3340">
            <v>6.0999999999999999E-2</v>
          </cell>
        </row>
        <row r="3341">
          <cell r="A3341" t="str">
            <v>10106262-4704001LF</v>
          </cell>
          <cell r="B3341" t="str">
            <v>10106262-4704001LF Connector,PB+RH</v>
          </cell>
          <cell r="C3341">
            <v>3.3E-3</v>
          </cell>
          <cell r="D3341">
            <v>1803.030303030303</v>
          </cell>
          <cell r="E3341">
            <v>5409.090909090909</v>
          </cell>
          <cell r="F3341">
            <v>3.5900000000000001E-2</v>
          </cell>
        </row>
        <row r="3342">
          <cell r="A3342" t="str">
            <v>10106262-4704002LF</v>
          </cell>
          <cell r="B3342" t="str">
            <v>10106262-4704002LF Connector,PB+RH</v>
          </cell>
          <cell r="C3342">
            <v>3.3E-3</v>
          </cell>
          <cell r="D3342">
            <v>1803.030303030303</v>
          </cell>
          <cell r="E3342">
            <v>5409.090909090909</v>
          </cell>
          <cell r="F3342">
            <v>3.7999999999999999E-2</v>
          </cell>
        </row>
        <row r="3343">
          <cell r="A3343" t="str">
            <v>10106262-4704003LF</v>
          </cell>
          <cell r="B3343" t="str">
            <v>10106262-4704003LF PwrBlade+ RAH STB</v>
          </cell>
          <cell r="C3343">
            <v>3.0000000000000001E-3</v>
          </cell>
          <cell r="D3343">
            <v>1983.3333333333333</v>
          </cell>
          <cell r="E3343">
            <v>5950</v>
          </cell>
          <cell r="F3343">
            <v>3.1E-2</v>
          </cell>
        </row>
        <row r="3344">
          <cell r="A3344" t="str">
            <v>10106262-4704K01LF</v>
          </cell>
          <cell r="B3344" t="str">
            <v>10106262-4704K01LF Connector,PB+RH</v>
          </cell>
          <cell r="C3344">
            <v>3.3E-3</v>
          </cell>
          <cell r="D3344">
            <v>1803.030303030303</v>
          </cell>
          <cell r="E3344">
            <v>5409.090909090909</v>
          </cell>
          <cell r="F3344">
            <v>2.9000000000000001E-2</v>
          </cell>
        </row>
        <row r="3345">
          <cell r="A3345" t="str">
            <v>10106262-4704K02LF</v>
          </cell>
          <cell r="B3345" t="str">
            <v>10106262-4704K02LF Connector,PB+RH</v>
          </cell>
          <cell r="C3345">
            <v>3.3E-3</v>
          </cell>
          <cell r="D3345">
            <v>1803.030303030303</v>
          </cell>
          <cell r="E3345">
            <v>5409.090909090909</v>
          </cell>
          <cell r="F3345">
            <v>3.2000000000000001E-2</v>
          </cell>
        </row>
        <row r="3346">
          <cell r="A3346" t="str">
            <v>10106262-4704K03LF</v>
          </cell>
          <cell r="B3346" t="str">
            <v>10106262-4704K03LF PwrBlade+ RAH STB</v>
          </cell>
          <cell r="C3346">
            <v>3.0000000000000001E-3</v>
          </cell>
          <cell r="D3346">
            <v>1983.3333333333333</v>
          </cell>
          <cell r="E3346">
            <v>5950</v>
          </cell>
          <cell r="F3346">
            <v>3.5000000000000003E-2</v>
          </cell>
        </row>
        <row r="3347">
          <cell r="A3347" t="str">
            <v>10106262-4A05001LF</v>
          </cell>
          <cell r="B3347" t="str">
            <v>10106262-4A05001LF Connector,PB+RH</v>
          </cell>
          <cell r="C3347">
            <v>3.3E-3</v>
          </cell>
          <cell r="D3347">
            <v>1803.030303030303</v>
          </cell>
          <cell r="E3347">
            <v>5409.090909090909</v>
          </cell>
          <cell r="F3347">
            <v>3.7999999999999999E-2</v>
          </cell>
        </row>
        <row r="3348">
          <cell r="A3348" t="str">
            <v>10106262-4A06001LF</v>
          </cell>
          <cell r="B3348" t="str">
            <v>10106262-4A06001LF PwrBlade+ RAH STB</v>
          </cell>
          <cell r="C3348">
            <v>6.1000000000000004E-3</v>
          </cell>
          <cell r="D3348">
            <v>975.4098360655737</v>
          </cell>
          <cell r="E3348">
            <v>2926.2295081967213</v>
          </cell>
          <cell r="F3348">
            <v>4.8000000000000001E-2</v>
          </cell>
        </row>
        <row r="3349">
          <cell r="A3349" t="str">
            <v>10106262-4B08A01LF</v>
          </cell>
          <cell r="B3349" t="str">
            <v>10106262-4B08A01LF Connector,PB+RH</v>
          </cell>
          <cell r="C3349">
            <v>3.3E-3</v>
          </cell>
          <cell r="D3349">
            <v>1803.030303030303</v>
          </cell>
          <cell r="E3349">
            <v>5409.090909090909</v>
          </cell>
          <cell r="F3349">
            <v>4.2000000000000003E-2</v>
          </cell>
        </row>
        <row r="3350">
          <cell r="A3350" t="str">
            <v>10106262-4C04002LF</v>
          </cell>
          <cell r="B3350" t="str">
            <v>10106262-4C04002LF Connector,PB+RH</v>
          </cell>
          <cell r="C3350">
            <v>3.3E-3</v>
          </cell>
          <cell r="D3350">
            <v>1803.030303030303</v>
          </cell>
          <cell r="E3350">
            <v>5409.090909090909</v>
          </cell>
          <cell r="F3350">
            <v>4.8000000000000001E-2</v>
          </cell>
        </row>
        <row r="3351">
          <cell r="A3351" t="str">
            <v>10106262-4D04001LF</v>
          </cell>
          <cell r="B3351" t="str">
            <v>10106262-4D04001LF Connector,PB+RH</v>
          </cell>
          <cell r="C3351">
            <v>3.3E-3</v>
          </cell>
          <cell r="D3351">
            <v>1803.030303030303</v>
          </cell>
          <cell r="E3351">
            <v>5409.090909090909</v>
          </cell>
          <cell r="F3351">
            <v>4.1000000000000002E-2</v>
          </cell>
        </row>
        <row r="3352">
          <cell r="A3352" t="str">
            <v>10106262-5000003LF</v>
          </cell>
          <cell r="B3352" t="str">
            <v>10106262-5000003LF Connector,PB+RH</v>
          </cell>
          <cell r="C3352">
            <v>6.1000000000000004E-3</v>
          </cell>
          <cell r="D3352">
            <v>975.4098360655737</v>
          </cell>
          <cell r="E3352">
            <v>2926.2295081967213</v>
          </cell>
          <cell r="F3352">
            <v>2.8000000000000001E-2</v>
          </cell>
        </row>
        <row r="3353">
          <cell r="A3353" t="str">
            <v>10106262-5000004LF</v>
          </cell>
          <cell r="B3353" t="str">
            <v>10106262-5000004LF Connector,PB+RH</v>
          </cell>
          <cell r="C3353">
            <v>6.1000000000000004E-3</v>
          </cell>
          <cell r="D3353">
            <v>975.4098360655737</v>
          </cell>
          <cell r="E3353">
            <v>2926.2295081967213</v>
          </cell>
          <cell r="F3353">
            <v>3.5000000000000003E-2</v>
          </cell>
        </row>
        <row r="3354">
          <cell r="A3354" t="str">
            <v>10106262-5000402LF</v>
          </cell>
          <cell r="B3354" t="str">
            <v>10106262-5000402LF Connector,PB+RH</v>
          </cell>
          <cell r="C3354">
            <v>6.1000000000000004E-3</v>
          </cell>
          <cell r="D3354">
            <v>975.4098360655737</v>
          </cell>
          <cell r="E3354">
            <v>2926.2295081967213</v>
          </cell>
          <cell r="F3354">
            <v>2.1999999999999999E-2</v>
          </cell>
        </row>
        <row r="3355">
          <cell r="A3355" t="str">
            <v>10106262-5000K01LF</v>
          </cell>
          <cell r="B3355" t="str">
            <v>10106262-5000K01LF Connector,PB+RH</v>
          </cell>
          <cell r="C3355">
            <v>3.0000000000000001E-3</v>
          </cell>
          <cell r="D3355">
            <v>1983.3333333333333</v>
          </cell>
          <cell r="E3355">
            <v>5950</v>
          </cell>
          <cell r="F3355">
            <v>2.5000000000000001E-2</v>
          </cell>
        </row>
        <row r="3356">
          <cell r="A3356" t="str">
            <v>10106262-5002002LF</v>
          </cell>
          <cell r="B3356" t="str">
            <v>10106262-5002002LF Connector,PB+RH</v>
          </cell>
          <cell r="C3356">
            <v>3.3E-3</v>
          </cell>
          <cell r="D3356">
            <v>1803.030303030303</v>
          </cell>
          <cell r="E3356">
            <v>5409.090909090909</v>
          </cell>
          <cell r="F3356">
            <v>2.8000000000000001E-2</v>
          </cell>
        </row>
        <row r="3357">
          <cell r="A3357" t="str">
            <v>10106262-5002003LF</v>
          </cell>
          <cell r="B3357" t="str">
            <v>10106262-5002003LF Connector,PB+RH</v>
          </cell>
          <cell r="C3357">
            <v>3.3E-3</v>
          </cell>
          <cell r="D3357">
            <v>1803.030303030303</v>
          </cell>
          <cell r="E3357">
            <v>5409.090909090909</v>
          </cell>
          <cell r="F3357">
            <v>3.4000000000000002E-2</v>
          </cell>
        </row>
        <row r="3358">
          <cell r="A3358" t="str">
            <v>10106262-5004002LF</v>
          </cell>
          <cell r="B3358" t="str">
            <v>10106262-5004002LF Connector,PB+RH</v>
          </cell>
          <cell r="C3358">
            <v>3.3E-3</v>
          </cell>
          <cell r="D3358">
            <v>1803.030303030303</v>
          </cell>
          <cell r="E3358">
            <v>5409.090909090909</v>
          </cell>
          <cell r="F3358">
            <v>4.2999999999999997E-2</v>
          </cell>
        </row>
        <row r="3359">
          <cell r="A3359" t="str">
            <v>10106262-5004003LF</v>
          </cell>
          <cell r="B3359" t="str">
            <v>10106262-5004003LF Connector,PB+RH</v>
          </cell>
          <cell r="C3359">
            <v>3.3E-3</v>
          </cell>
          <cell r="D3359">
            <v>1803.030303030303</v>
          </cell>
          <cell r="E3359">
            <v>5409.090909090909</v>
          </cell>
          <cell r="F3359">
            <v>4.2999999999999997E-2</v>
          </cell>
        </row>
        <row r="3360">
          <cell r="A3360" t="str">
            <v>10106262-5004004LF</v>
          </cell>
          <cell r="B3360" t="str">
            <v>10106262-5004004LF Connector,PB+RH</v>
          </cell>
          <cell r="C3360">
            <v>3.3E-3</v>
          </cell>
          <cell r="D3360">
            <v>1803.030303030303</v>
          </cell>
          <cell r="E3360">
            <v>5409.090909090909</v>
          </cell>
          <cell r="F3360">
            <v>4.2999999999999997E-2</v>
          </cell>
        </row>
        <row r="3361">
          <cell r="A3361" t="str">
            <v>10106262-5004401LF</v>
          </cell>
          <cell r="B3361" t="str">
            <v>10106262-5004401LF Connector,PB+RH</v>
          </cell>
          <cell r="C3361">
            <v>3.3E-3</v>
          </cell>
          <cell r="D3361">
            <v>1803.030303030303</v>
          </cell>
          <cell r="E3361">
            <v>5409.090909090909</v>
          </cell>
          <cell r="F3361">
            <v>3.2000000000000001E-2</v>
          </cell>
        </row>
        <row r="3362">
          <cell r="A3362" t="str">
            <v>10106262-5004402LF</v>
          </cell>
          <cell r="B3362" t="str">
            <v>10106262-5004402LF Connector,PB+RH</v>
          </cell>
          <cell r="C3362">
            <v>3.3E-3</v>
          </cell>
          <cell r="D3362">
            <v>1803.030303030303</v>
          </cell>
          <cell r="E3362">
            <v>5409.090909090909</v>
          </cell>
          <cell r="F3362">
            <v>3.5000000000000003E-2</v>
          </cell>
        </row>
        <row r="3363">
          <cell r="A3363" t="str">
            <v>10106262-5005001LF</v>
          </cell>
          <cell r="B3363" t="str">
            <v>10106262-5005001LF Connector,PB+RH</v>
          </cell>
          <cell r="C3363">
            <v>3.0000000000000001E-3</v>
          </cell>
          <cell r="D3363">
            <v>1983.3333333333333</v>
          </cell>
          <cell r="E3363">
            <v>5950</v>
          </cell>
          <cell r="F3363">
            <v>4.2000000000000003E-2</v>
          </cell>
        </row>
        <row r="3364">
          <cell r="A3364" t="str">
            <v>10106262-5005003LF</v>
          </cell>
          <cell r="B3364" t="str">
            <v>10106262-5005003LF Connector,PB+RH</v>
          </cell>
          <cell r="C3364">
            <v>3.3E-3</v>
          </cell>
          <cell r="D3364">
            <v>1803.030303030303</v>
          </cell>
          <cell r="E3364">
            <v>5409.090909090909</v>
          </cell>
          <cell r="F3364">
            <v>5.2999999999999999E-2</v>
          </cell>
        </row>
        <row r="3365">
          <cell r="A3365" t="str">
            <v>10106262-5005K01LF</v>
          </cell>
          <cell r="B3365" t="str">
            <v>10106262-5005K01LF PwrBlade+ RAH STB</v>
          </cell>
          <cell r="C3365">
            <v>3.0000000000000001E-3</v>
          </cell>
          <cell r="D3365">
            <v>1983.3333333333333</v>
          </cell>
          <cell r="E3365">
            <v>5950</v>
          </cell>
          <cell r="F3365">
            <v>2.8000000000000001E-2</v>
          </cell>
        </row>
        <row r="3366">
          <cell r="A3366" t="str">
            <v>10106262-5006002LF</v>
          </cell>
          <cell r="B3366" t="str">
            <v>10106262-5006002LF Connector,PB+RH</v>
          </cell>
          <cell r="C3366">
            <v>3.3E-3</v>
          </cell>
          <cell r="D3366">
            <v>1803.030303030303</v>
          </cell>
          <cell r="E3366">
            <v>5409.090909090909</v>
          </cell>
          <cell r="F3366">
            <v>3.9E-2</v>
          </cell>
        </row>
        <row r="3367">
          <cell r="A3367" t="str">
            <v>10106262-5006004LF</v>
          </cell>
          <cell r="B3367" t="str">
            <v>10106262-5006004LF Connector,PB+RH</v>
          </cell>
          <cell r="C3367">
            <v>3.3E-3</v>
          </cell>
          <cell r="D3367">
            <v>1803.030303030303</v>
          </cell>
          <cell r="E3367">
            <v>5409.090909090909</v>
          </cell>
          <cell r="F3367">
            <v>3.5999999999999997E-2</v>
          </cell>
        </row>
        <row r="3368">
          <cell r="A3368" t="str">
            <v>10106262-5009001LF</v>
          </cell>
          <cell r="B3368" t="str">
            <v>10106262-5009001LF Connector,PB+RH</v>
          </cell>
          <cell r="C3368">
            <v>3.3E-3</v>
          </cell>
          <cell r="D3368">
            <v>1803.030303030303</v>
          </cell>
          <cell r="E3368">
            <v>5409.090909090909</v>
          </cell>
          <cell r="F3368">
            <v>3.5999999999999997E-2</v>
          </cell>
        </row>
        <row r="3369">
          <cell r="A3369" t="str">
            <v>10106262-5029001LF</v>
          </cell>
          <cell r="B3369" t="str">
            <v>10106262-5029001LF PwrBlade+ RAH STB</v>
          </cell>
          <cell r="C3369">
            <v>0.01</v>
          </cell>
          <cell r="D3369">
            <v>595</v>
          </cell>
          <cell r="E3369">
            <v>1785</v>
          </cell>
          <cell r="F3369">
            <v>6.4000000000000001E-2</v>
          </cell>
        </row>
        <row r="3370">
          <cell r="A3370" t="str">
            <v>10106262-5203001LF</v>
          </cell>
          <cell r="B3370" t="str">
            <v>10106262-5203001LF PwrBlade+ RAH STB</v>
          </cell>
          <cell r="C3370">
            <v>3.0000000000000001E-3</v>
          </cell>
          <cell r="D3370">
            <v>1983.3333333333333</v>
          </cell>
          <cell r="E3370">
            <v>5950</v>
          </cell>
          <cell r="F3370">
            <v>4.02E-2</v>
          </cell>
        </row>
        <row r="3371">
          <cell r="A3371" t="str">
            <v>10106262-5203K01LF</v>
          </cell>
          <cell r="B3371" t="str">
            <v>10106262-5203K01LF Connector,PB+RH</v>
          </cell>
          <cell r="C3371">
            <v>3.3E-3</v>
          </cell>
          <cell r="D3371">
            <v>1803.030303030303</v>
          </cell>
          <cell r="E3371">
            <v>5409.090909090909</v>
          </cell>
          <cell r="F3371">
            <v>3.2000000000000001E-2</v>
          </cell>
        </row>
        <row r="3372">
          <cell r="A3372" t="str">
            <v>10106262-5206001LF</v>
          </cell>
          <cell r="B3372" t="str">
            <v>10106262-5206001LF Connector,PB+RH</v>
          </cell>
          <cell r="C3372">
            <v>2E-3</v>
          </cell>
          <cell r="D3372">
            <v>2975</v>
          </cell>
          <cell r="E3372">
            <v>8925</v>
          </cell>
          <cell r="F3372">
            <v>3.4000000000000002E-2</v>
          </cell>
        </row>
        <row r="3373">
          <cell r="A3373" t="str">
            <v>10106262-5206002LF</v>
          </cell>
          <cell r="B3373" t="str">
            <v>10106262-5206002LF PwrBlade+ RAH STB</v>
          </cell>
          <cell r="C3373">
            <v>2E-3</v>
          </cell>
          <cell r="D3373">
            <v>2975</v>
          </cell>
          <cell r="E3373">
            <v>8925</v>
          </cell>
          <cell r="F3373">
            <v>2.2817634E-2</v>
          </cell>
        </row>
        <row r="3374">
          <cell r="A3374" t="str">
            <v>10106262-5605A01LF</v>
          </cell>
          <cell r="B3374" t="str">
            <v>10106262-5605A01LF Connector,PB+RH</v>
          </cell>
          <cell r="C3374">
            <v>6.1000000000000004E-3</v>
          </cell>
          <cell r="D3374">
            <v>975.4098360655737</v>
          </cell>
          <cell r="E3374">
            <v>2926.2295081967213</v>
          </cell>
          <cell r="F3374">
            <v>4.5999999999999999E-2</v>
          </cell>
        </row>
        <row r="3375">
          <cell r="A3375" t="str">
            <v>10106262-6000404LF</v>
          </cell>
          <cell r="B3375" t="str">
            <v>10106262-6000404LF Connector,PB+RH</v>
          </cell>
          <cell r="C3375">
            <v>6.1000000000000004E-3</v>
          </cell>
          <cell r="D3375">
            <v>975.4098360655737</v>
          </cell>
          <cell r="E3375">
            <v>2926.2295081967213</v>
          </cell>
          <cell r="F3375">
            <v>2.7E-2</v>
          </cell>
        </row>
        <row r="3376">
          <cell r="A3376" t="str">
            <v>10106262-6002402LF</v>
          </cell>
          <cell r="B3376" t="str">
            <v>10106262-6002402LF Connector,PB+RH</v>
          </cell>
          <cell r="C3376">
            <v>3.3E-3</v>
          </cell>
          <cell r="D3376">
            <v>1803.030303030303</v>
          </cell>
          <cell r="E3376">
            <v>5409.090909090909</v>
          </cell>
          <cell r="F3376">
            <v>3.4000000000000002E-2</v>
          </cell>
        </row>
        <row r="3377">
          <cell r="A3377" t="str">
            <v>10106262-6002501LF</v>
          </cell>
          <cell r="B3377" t="str">
            <v>10106262-6002501LF PwrBlade+ RAH STB</v>
          </cell>
          <cell r="C3377">
            <v>5.0000000000000001E-3</v>
          </cell>
          <cell r="D3377">
            <v>1190</v>
          </cell>
          <cell r="E3377">
            <v>3570</v>
          </cell>
          <cell r="F3377">
            <v>3.2000000000000001E-2</v>
          </cell>
        </row>
        <row r="3378">
          <cell r="A3378" t="str">
            <v>10106262-6002502LF</v>
          </cell>
          <cell r="B3378" t="str">
            <v>10106262-6002502LF PwrBlade+ RAH STB</v>
          </cell>
          <cell r="C3378">
            <v>3.0000000000000001E-3</v>
          </cell>
          <cell r="D3378">
            <v>1983.3333333333333</v>
          </cell>
          <cell r="E3378">
            <v>5950</v>
          </cell>
          <cell r="F3378">
            <v>2.8000000000000001E-2</v>
          </cell>
        </row>
        <row r="3379">
          <cell r="A3379" t="str">
            <v>10106262-6003002LF</v>
          </cell>
          <cell r="B3379" t="str">
            <v>10106262-6003002LF Connector,PB+RH</v>
          </cell>
          <cell r="C3379">
            <v>3.3E-3</v>
          </cell>
          <cell r="D3379">
            <v>1803.030303030303</v>
          </cell>
          <cell r="E3379">
            <v>5409.090909090909</v>
          </cell>
          <cell r="F3379">
            <v>3.4000000000000002E-2</v>
          </cell>
        </row>
        <row r="3380">
          <cell r="A3380" t="str">
            <v>10106262-6003003LF</v>
          </cell>
          <cell r="B3380" t="str">
            <v>10106262-6003003LF Connector,PB+RH</v>
          </cell>
          <cell r="C3380">
            <v>3.3E-3</v>
          </cell>
          <cell r="D3380">
            <v>1803.030303030303</v>
          </cell>
          <cell r="E3380">
            <v>5409.090909090909</v>
          </cell>
          <cell r="F3380">
            <v>4.2000000000000003E-2</v>
          </cell>
        </row>
        <row r="3381">
          <cell r="A3381" t="str">
            <v>10106262-6003004LF</v>
          </cell>
          <cell r="B3381" t="str">
            <v>10106262-6003004LF PwrBlade+ RAH STB</v>
          </cell>
          <cell r="C3381">
            <v>3.3E-3</v>
          </cell>
          <cell r="D3381">
            <v>1803.030303030303</v>
          </cell>
          <cell r="E3381">
            <v>5409.090909090909</v>
          </cell>
          <cell r="F3381">
            <v>3.4000000000000002E-2</v>
          </cell>
        </row>
        <row r="3382">
          <cell r="A3382" t="str">
            <v>10106262-6003005LF</v>
          </cell>
          <cell r="B3382" t="str">
            <v>10106262-6003005LF Connector,PB+RH</v>
          </cell>
          <cell r="C3382">
            <v>3.3E-3</v>
          </cell>
          <cell r="D3382">
            <v>1803.030303030303</v>
          </cell>
          <cell r="E3382">
            <v>5409.090909090909</v>
          </cell>
          <cell r="F3382">
            <v>3.5000000000000003E-2</v>
          </cell>
        </row>
        <row r="3383">
          <cell r="A3383" t="str">
            <v>10106262-6003006LF</v>
          </cell>
          <cell r="B3383" t="str">
            <v>10106262-6003006LF PwrBlade+ RAH</v>
          </cell>
          <cell r="C3383">
            <v>3.3E-3</v>
          </cell>
          <cell r="D3383">
            <v>1803.030303030303</v>
          </cell>
          <cell r="E3383">
            <v>5409.090909090909</v>
          </cell>
          <cell r="F3383">
            <v>3.0235000000000001E-2</v>
          </cell>
        </row>
        <row r="3384">
          <cell r="A3384" t="str">
            <v>10106262-6003009LF</v>
          </cell>
          <cell r="B3384" t="str">
            <v>10106262-6003009LF Connector,PB+RH</v>
          </cell>
          <cell r="C3384">
            <v>3.3E-3</v>
          </cell>
          <cell r="D3384">
            <v>1803.030303030303</v>
          </cell>
          <cell r="E3384">
            <v>5409.090909090909</v>
          </cell>
          <cell r="F3384">
            <v>3.5000000000000003E-2</v>
          </cell>
        </row>
        <row r="3385">
          <cell r="A3385" t="str">
            <v>10106262-6003A02LF</v>
          </cell>
          <cell r="B3385" t="str">
            <v>10106262-6003A02LF Connector,PB+RH</v>
          </cell>
          <cell r="C3385">
            <v>3.3E-3</v>
          </cell>
          <cell r="D3385">
            <v>1803.030303030303</v>
          </cell>
          <cell r="E3385">
            <v>5409.090909090909</v>
          </cell>
          <cell r="F3385">
            <v>3.6999999999999998E-2</v>
          </cell>
        </row>
        <row r="3386">
          <cell r="A3386" t="str">
            <v>10106262-6004001LF</v>
          </cell>
          <cell r="B3386" t="str">
            <v>10106262-6004001LF Connector,PB+RH</v>
          </cell>
          <cell r="C3386">
            <v>3.0000000000000001E-3</v>
          </cell>
          <cell r="D3386">
            <v>1983.3333333333333</v>
          </cell>
          <cell r="E3386">
            <v>5950</v>
          </cell>
          <cell r="F3386">
            <v>2.7E-2</v>
          </cell>
        </row>
        <row r="3387">
          <cell r="A3387" t="str">
            <v>10106262-6004002LF</v>
          </cell>
          <cell r="B3387" t="str">
            <v>10106262-6004002LF Connector,PB+RH</v>
          </cell>
          <cell r="C3387">
            <v>5.7000000000000002E-3</v>
          </cell>
          <cell r="D3387">
            <v>1043.859649122807</v>
          </cell>
          <cell r="E3387">
            <v>3131.5789473684208</v>
          </cell>
          <cell r="F3387">
            <v>2.2800000000000001E-2</v>
          </cell>
        </row>
        <row r="3388">
          <cell r="A3388" t="str">
            <v>10106262-6005A01LF</v>
          </cell>
          <cell r="B3388" t="str">
            <v>10106262-6005A01LF Connector,PB+RH</v>
          </cell>
          <cell r="C3388">
            <v>3.3E-3</v>
          </cell>
          <cell r="D3388">
            <v>1803.030303030303</v>
          </cell>
          <cell r="E3388">
            <v>5409.090909090909</v>
          </cell>
          <cell r="F3388">
            <v>3.6999999999999998E-2</v>
          </cell>
        </row>
        <row r="3389">
          <cell r="A3389" t="str">
            <v>10106262-6010K01LF</v>
          </cell>
          <cell r="B3389" t="str">
            <v>10106262-6010K01LF PwrBlade+ RAH STB</v>
          </cell>
          <cell r="C3389">
            <v>3.3E-3</v>
          </cell>
          <cell r="D3389">
            <v>1803.030303030303</v>
          </cell>
          <cell r="E3389">
            <v>5409.090909090909</v>
          </cell>
          <cell r="F3389">
            <v>3.4000000000000002E-2</v>
          </cell>
        </row>
        <row r="3390">
          <cell r="A3390" t="str">
            <v>10106262-6206001LF</v>
          </cell>
          <cell r="B3390" t="str">
            <v>10106262-6206001LF Connector,PB+RH</v>
          </cell>
          <cell r="C3390">
            <v>6.1000000000000004E-3</v>
          </cell>
          <cell r="D3390">
            <v>975.4098360655737</v>
          </cell>
          <cell r="E3390">
            <v>2926.2295081967213</v>
          </cell>
          <cell r="F3390">
            <v>5.8500000000000003E-2</v>
          </cell>
        </row>
        <row r="3391">
          <cell r="A3391" t="str">
            <v>10106262-6206002LF</v>
          </cell>
          <cell r="B3391" t="str">
            <v>10106262-6206002LF Connector,PB+RH</v>
          </cell>
          <cell r="C3391">
            <v>3.3E-3</v>
          </cell>
          <cell r="D3391">
            <v>1803.030303030303</v>
          </cell>
          <cell r="E3391">
            <v>5409.090909090909</v>
          </cell>
          <cell r="F3391">
            <v>5.1999999999999998E-2</v>
          </cell>
        </row>
        <row r="3392">
          <cell r="A3392" t="str">
            <v>10106262-6206003LF</v>
          </cell>
          <cell r="B3392" t="str">
            <v>10106262-6206003LF Connector,PB+RH</v>
          </cell>
          <cell r="C3392">
            <v>3.3E-3</v>
          </cell>
          <cell r="D3392">
            <v>1803.030303030303</v>
          </cell>
          <cell r="E3392">
            <v>5409.090909090909</v>
          </cell>
          <cell r="F3392">
            <v>4.4999999999999998E-2</v>
          </cell>
        </row>
        <row r="3393">
          <cell r="A3393" t="str">
            <v>10106262-6206004LF</v>
          </cell>
          <cell r="B3393" t="str">
            <v>10106262-6206004LF Connector,PB+RH</v>
          </cell>
          <cell r="C3393">
            <v>3.3E-3</v>
          </cell>
          <cell r="D3393">
            <v>1803.030303030303</v>
          </cell>
          <cell r="E3393">
            <v>5409.090909090909</v>
          </cell>
          <cell r="F3393">
            <v>4.4999999999999998E-2</v>
          </cell>
        </row>
        <row r="3394">
          <cell r="A3394" t="str">
            <v>10106262-6206006LF</v>
          </cell>
          <cell r="B3394" t="str">
            <v>10106262-6206006LF Connector,PB+RH</v>
          </cell>
          <cell r="C3394">
            <v>3.3E-3</v>
          </cell>
          <cell r="D3394">
            <v>1803.030303030303</v>
          </cell>
          <cell r="E3394">
            <v>5409.090909090909</v>
          </cell>
          <cell r="F3394">
            <v>4.4999999999999998E-2</v>
          </cell>
        </row>
        <row r="3395">
          <cell r="A3395" t="str">
            <v>10106262-6206008LF</v>
          </cell>
          <cell r="B3395" t="str">
            <v>10106262-6206008LF Connector,PB+RH</v>
          </cell>
          <cell r="C3395">
            <v>3.3E-3</v>
          </cell>
          <cell r="D3395">
            <v>1803.030303030303</v>
          </cell>
          <cell r="E3395">
            <v>5409.090909090909</v>
          </cell>
          <cell r="F3395">
            <v>3.5000000000000003E-2</v>
          </cell>
        </row>
        <row r="3396">
          <cell r="A3396" t="str">
            <v>10106262-6403A01LF</v>
          </cell>
          <cell r="B3396" t="str">
            <v>10106262-6403A01LF Connector,PB+RH</v>
          </cell>
          <cell r="C3396">
            <v>3.3E-3</v>
          </cell>
          <cell r="D3396">
            <v>1803.030303030303</v>
          </cell>
          <cell r="E3396">
            <v>5409.090909090909</v>
          </cell>
          <cell r="F3396">
            <v>3.7999999999999999E-2</v>
          </cell>
        </row>
        <row r="3397">
          <cell r="A3397" t="str">
            <v>10106262-6403A03LF</v>
          </cell>
          <cell r="B3397" t="str">
            <v>10106262-6403A03LF Connector,PB+RH</v>
          </cell>
          <cell r="C3397">
            <v>3.3E-3</v>
          </cell>
          <cell r="D3397">
            <v>1803.030303030303</v>
          </cell>
          <cell r="E3397">
            <v>5409.090909090909</v>
          </cell>
          <cell r="F3397">
            <v>3.5000000000000003E-2</v>
          </cell>
        </row>
        <row r="3398">
          <cell r="A3398" t="str">
            <v>10106262-6505001LF</v>
          </cell>
          <cell r="B3398" t="str">
            <v>10106262-6505001LF Connector,PB+RH</v>
          </cell>
          <cell r="C3398">
            <v>3.3E-3</v>
          </cell>
          <cell r="D3398">
            <v>1803.030303030303</v>
          </cell>
          <cell r="E3398">
            <v>5409.090909090909</v>
          </cell>
          <cell r="F3398">
            <v>3.7999999999999999E-2</v>
          </cell>
        </row>
        <row r="3399">
          <cell r="A3399" t="str">
            <v>10106262-6706001LF</v>
          </cell>
          <cell r="B3399" t="str">
            <v>10106262-6706001LF PwrBlade+ RAH PF</v>
          </cell>
          <cell r="C3399">
            <v>6.1000000000000004E-3</v>
          </cell>
          <cell r="D3399">
            <v>975.4098360655737</v>
          </cell>
          <cell r="E3399">
            <v>2926.2295081967213</v>
          </cell>
          <cell r="F3399">
            <v>5.62E-2</v>
          </cell>
        </row>
        <row r="3400">
          <cell r="A3400" t="str">
            <v>10106262-6712001LF</v>
          </cell>
          <cell r="B3400" t="str">
            <v>10106262-6712001LF PwrBlade+ RAH STB</v>
          </cell>
          <cell r="C3400">
            <v>3.3E-3</v>
          </cell>
          <cell r="D3400">
            <v>1803.030303030303</v>
          </cell>
          <cell r="E3400">
            <v>5409.090909090909</v>
          </cell>
          <cell r="F3400">
            <v>5.0999999999999997E-2</v>
          </cell>
        </row>
        <row r="3401">
          <cell r="A3401" t="str">
            <v>10106262-7000K01LF</v>
          </cell>
          <cell r="B3401" t="str">
            <v>10106262-7000K01LF Connector,PB+RH</v>
          </cell>
          <cell r="C3401">
            <v>3.3E-3</v>
          </cell>
          <cell r="D3401">
            <v>1803.030303030303</v>
          </cell>
          <cell r="E3401">
            <v>5409.090909090909</v>
          </cell>
          <cell r="F3401">
            <v>3.2000000000000001E-2</v>
          </cell>
        </row>
        <row r="3402">
          <cell r="A3402" t="str">
            <v>10106262-7003002LF</v>
          </cell>
          <cell r="B3402" t="str">
            <v>10106262-7003002LF Connector,PB+RH</v>
          </cell>
          <cell r="C3402">
            <v>3.3E-3</v>
          </cell>
          <cell r="D3402">
            <v>1803.030303030303</v>
          </cell>
          <cell r="E3402">
            <v>5409.090909090909</v>
          </cell>
          <cell r="F3402">
            <v>3.7999999999999999E-2</v>
          </cell>
        </row>
        <row r="3403">
          <cell r="A3403" t="str">
            <v>10106262-7003003LF</v>
          </cell>
          <cell r="B3403" t="str">
            <v>10106262-7003003LF PwrBlade+ RAH STB</v>
          </cell>
          <cell r="C3403">
            <v>3.3E-3</v>
          </cell>
          <cell r="D3403">
            <v>1803.030303030303</v>
          </cell>
          <cell r="E3403">
            <v>5409.090909090909</v>
          </cell>
          <cell r="F3403">
            <v>4.2000000000000003E-2</v>
          </cell>
        </row>
        <row r="3404">
          <cell r="A3404" t="str">
            <v>10106262-7003006LF</v>
          </cell>
          <cell r="B3404" t="str">
            <v>10106262-7003006LF PwrBlade+ RAH STB</v>
          </cell>
          <cell r="C3404">
            <v>3.3E-3</v>
          </cell>
          <cell r="D3404">
            <v>1803.030303030303</v>
          </cell>
          <cell r="E3404">
            <v>5409.090909090909</v>
          </cell>
          <cell r="F3404">
            <v>2.5000000000000001E-2</v>
          </cell>
        </row>
        <row r="3405">
          <cell r="A3405" t="str">
            <v>10106262-7004001LF</v>
          </cell>
          <cell r="B3405" t="str">
            <v>10106262-7004001LF PwrBlade+ RAH STB</v>
          </cell>
          <cell r="C3405">
            <v>3.3E-3</v>
          </cell>
          <cell r="D3405">
            <v>1803.030303030303</v>
          </cell>
          <cell r="E3405">
            <v>5409.090909090909</v>
          </cell>
          <cell r="F3405">
            <v>3.5000000000000003E-2</v>
          </cell>
        </row>
        <row r="3406">
          <cell r="A3406" t="str">
            <v>10106262-7004003LF</v>
          </cell>
          <cell r="B3406" t="str">
            <v>10106262-7004003LF Connector,PB+RH</v>
          </cell>
          <cell r="C3406">
            <v>3.3E-3</v>
          </cell>
          <cell r="D3406">
            <v>1803.030303030303</v>
          </cell>
          <cell r="E3406">
            <v>5409.090909090909</v>
          </cell>
          <cell r="F3406">
            <v>0.04</v>
          </cell>
        </row>
        <row r="3407">
          <cell r="A3407" t="str">
            <v>10106262-7004004LF</v>
          </cell>
          <cell r="B3407" t="str">
            <v>10106262-7004004LF Connector,PB+RH</v>
          </cell>
          <cell r="C3407">
            <v>3.3E-3</v>
          </cell>
          <cell r="D3407">
            <v>1803.030303030303</v>
          </cell>
          <cell r="E3407">
            <v>5409.090909090909</v>
          </cell>
          <cell r="F3407">
            <v>3.9E-2</v>
          </cell>
        </row>
        <row r="3408">
          <cell r="A3408" t="str">
            <v>10106262-7005001LF</v>
          </cell>
          <cell r="B3408" t="str">
            <v>10106262-7005001LF Connector,PB+RH</v>
          </cell>
          <cell r="C3408">
            <v>3.3E-3</v>
          </cell>
          <cell r="D3408">
            <v>1803.030303030303</v>
          </cell>
          <cell r="E3408">
            <v>5409.090909090909</v>
          </cell>
          <cell r="F3408">
            <v>4.8000000000000001E-2</v>
          </cell>
        </row>
        <row r="3409">
          <cell r="A3409" t="str">
            <v>10106262-7005003LF</v>
          </cell>
          <cell r="B3409" t="str">
            <v>10106262-7005003LF PwrBlade+ RAH STB</v>
          </cell>
          <cell r="C3409">
            <v>3.3E-3</v>
          </cell>
          <cell r="D3409">
            <v>1803.030303030303</v>
          </cell>
          <cell r="E3409">
            <v>5409.090909090909</v>
          </cell>
          <cell r="F3409">
            <v>3.2000000000000001E-2</v>
          </cell>
        </row>
        <row r="3410">
          <cell r="A3410" t="str">
            <v>10106262-7006003LF</v>
          </cell>
          <cell r="B3410" t="str">
            <v>10106262-7006003LF Connector,PB+RH</v>
          </cell>
          <cell r="C3410">
            <v>3.3E-3</v>
          </cell>
          <cell r="D3410">
            <v>1803.030303030303</v>
          </cell>
          <cell r="E3410">
            <v>5409.090909090909</v>
          </cell>
          <cell r="F3410">
            <v>5.5E-2</v>
          </cell>
        </row>
        <row r="3411">
          <cell r="A3411" t="str">
            <v>10106262-7006004LF</v>
          </cell>
          <cell r="B3411" t="str">
            <v>10106262-7006004LF PwrBlade+ RAH STB</v>
          </cell>
          <cell r="C3411">
            <v>3.3E-3</v>
          </cell>
          <cell r="D3411">
            <v>1803.030303030303</v>
          </cell>
          <cell r="E3411">
            <v>5409.090909090909</v>
          </cell>
          <cell r="F3411">
            <v>3.7999999999999999E-2</v>
          </cell>
        </row>
        <row r="3412">
          <cell r="A3412" t="str">
            <v>10106262-7009001LF</v>
          </cell>
          <cell r="B3412" t="str">
            <v>10106262-7009001LF PwrBlade+ RAH STB</v>
          </cell>
          <cell r="C3412">
            <v>3.3E-3</v>
          </cell>
          <cell r="D3412">
            <v>1803.030303030303</v>
          </cell>
          <cell r="E3412">
            <v>5409.090909090909</v>
          </cell>
          <cell r="F3412">
            <v>4.4999999999999998E-2</v>
          </cell>
        </row>
        <row r="3413">
          <cell r="A3413" t="str">
            <v>10106262-7013K01LF</v>
          </cell>
          <cell r="B3413" t="str">
            <v>10106262-7013K01LF PwrBlade+ RAH STB</v>
          </cell>
          <cell r="C3413">
            <v>5.0000000000000001E-3</v>
          </cell>
          <cell r="D3413">
            <v>1190</v>
          </cell>
          <cell r="E3413">
            <v>3570</v>
          </cell>
          <cell r="F3413">
            <v>4.4999999999999998E-2</v>
          </cell>
        </row>
        <row r="3414">
          <cell r="A3414" t="str">
            <v>10106262-8000404LF</v>
          </cell>
          <cell r="B3414" t="str">
            <v>10106262-8000404LF Connector,PB+RH</v>
          </cell>
          <cell r="C3414">
            <v>6.1000000000000004E-3</v>
          </cell>
          <cell r="D3414">
            <v>975.4098360655737</v>
          </cell>
          <cell r="E3414">
            <v>2926.2295081967213</v>
          </cell>
          <cell r="F3414">
            <v>2.4E-2</v>
          </cell>
        </row>
        <row r="3415">
          <cell r="A3415" t="str">
            <v>10106262-8001001LF</v>
          </cell>
          <cell r="B3415" t="str">
            <v>10106262-8001001LF Connector,PB+RH</v>
          </cell>
          <cell r="C3415">
            <v>3.3E-3</v>
          </cell>
          <cell r="D3415">
            <v>1803.030303030303</v>
          </cell>
          <cell r="E3415">
            <v>5409.090909090909</v>
          </cell>
          <cell r="F3415">
            <v>4.2000000000000003E-2</v>
          </cell>
        </row>
        <row r="3416">
          <cell r="A3416" t="str">
            <v>10106262-8003001LF</v>
          </cell>
          <cell r="B3416" t="str">
            <v>10106262-8003001LF PwrBlade+ RAH STB</v>
          </cell>
          <cell r="C3416">
            <v>3.3E-3</v>
          </cell>
          <cell r="D3416">
            <v>1803.030303030303</v>
          </cell>
          <cell r="E3416">
            <v>5409.090909090909</v>
          </cell>
          <cell r="F3416">
            <v>3.7999999999999999E-2</v>
          </cell>
        </row>
        <row r="3417">
          <cell r="A3417" t="str">
            <v>10106262-8004001LF</v>
          </cell>
          <cell r="B3417" t="str">
            <v>10106262-8004001LF Connector,PB+RH</v>
          </cell>
          <cell r="C3417">
            <v>3.3E-3</v>
          </cell>
          <cell r="D3417">
            <v>1803.030303030303</v>
          </cell>
          <cell r="E3417">
            <v>5409.090909090909</v>
          </cell>
          <cell r="F3417">
            <v>4.4999999999999998E-2</v>
          </cell>
        </row>
        <row r="3418">
          <cell r="A3418" t="str">
            <v>10106262-8004004LF</v>
          </cell>
          <cell r="B3418" t="str">
            <v>10106262-8004004LF Connector,PB+RH</v>
          </cell>
          <cell r="C3418">
            <v>3.3E-3</v>
          </cell>
          <cell r="D3418">
            <v>1803.030303030303</v>
          </cell>
          <cell r="E3418">
            <v>5409.090909090909</v>
          </cell>
          <cell r="F3418">
            <v>4.1000000000000002E-2</v>
          </cell>
        </row>
        <row r="3419">
          <cell r="A3419" t="str">
            <v>10106262-8004006LF</v>
          </cell>
          <cell r="B3419" t="str">
            <v>10106262-8004006LF Connector,PB+RH</v>
          </cell>
          <cell r="C3419">
            <v>3.3E-3</v>
          </cell>
          <cell r="D3419">
            <v>1803.030303030303</v>
          </cell>
          <cell r="E3419">
            <v>5409.090909090909</v>
          </cell>
          <cell r="F3419">
            <v>3.5000000000000003E-2</v>
          </cell>
        </row>
        <row r="3420">
          <cell r="A3420" t="str">
            <v>10106262-8004007LF</v>
          </cell>
          <cell r="B3420" t="str">
            <v>10106262-8004007LF PwrBlade+ RAH STB</v>
          </cell>
          <cell r="C3420">
            <v>1.0999999999999999E-2</v>
          </cell>
          <cell r="D3420">
            <v>540.90909090909099</v>
          </cell>
          <cell r="E3420">
            <v>1622.727272727273</v>
          </cell>
          <cell r="F3420">
            <v>2.4E-2</v>
          </cell>
        </row>
        <row r="3421">
          <cell r="A3421" t="str">
            <v>10106262-8203A01LF</v>
          </cell>
          <cell r="B3421" t="str">
            <v>10106262-8203A01LF Connector,PB+RH</v>
          </cell>
          <cell r="C3421">
            <v>3.3E-3</v>
          </cell>
          <cell r="D3421">
            <v>1803.030303030303</v>
          </cell>
          <cell r="E3421">
            <v>5409.090909090909</v>
          </cell>
          <cell r="F3421">
            <v>4.2999999999999997E-2</v>
          </cell>
        </row>
        <row r="3422">
          <cell r="A3422" t="str">
            <v>10106262-8802K01LF</v>
          </cell>
          <cell r="B3422" t="str">
            <v>10106262-8802K01LF PwrBlade+ RAH STB</v>
          </cell>
          <cell r="C3422">
            <v>3.3E-3</v>
          </cell>
          <cell r="D3422">
            <v>1803.030303030303</v>
          </cell>
          <cell r="E3422">
            <v>5409.090909090909</v>
          </cell>
          <cell r="F3422">
            <v>2.8000000000000001E-2</v>
          </cell>
        </row>
        <row r="3423">
          <cell r="A3423" t="str">
            <v>10106262-8802K02LF</v>
          </cell>
          <cell r="B3423" t="str">
            <v>10106262-8802K02LF Connector,PB+RH</v>
          </cell>
          <cell r="C3423">
            <v>4.0000000000000001E-3</v>
          </cell>
          <cell r="D3423">
            <v>1487.5</v>
          </cell>
          <cell r="E3423">
            <v>4462.5</v>
          </cell>
          <cell r="F3423">
            <v>3.7999999999999999E-2</v>
          </cell>
        </row>
        <row r="3424">
          <cell r="A3424" t="str">
            <v>10106262-8J03A01LF</v>
          </cell>
          <cell r="B3424" t="str">
            <v>10106262-8J03A01LF Connector,PB+RH</v>
          </cell>
          <cell r="C3424">
            <v>3.3E-3</v>
          </cell>
          <cell r="D3424">
            <v>1803.030303030303</v>
          </cell>
          <cell r="E3424">
            <v>5409.090909090909</v>
          </cell>
          <cell r="F3424">
            <v>2.9000000000000001E-2</v>
          </cell>
        </row>
        <row r="3425">
          <cell r="A3425" t="str">
            <v>10106262-9000007LF</v>
          </cell>
          <cell r="B3425" t="str">
            <v>10106262-9000007LF PwrBlade+ RAH STB</v>
          </cell>
          <cell r="C3425">
            <v>6.1000000000000004E-3</v>
          </cell>
          <cell r="D3425">
            <v>975.4098360655737</v>
          </cell>
          <cell r="E3425">
            <v>2926.2295081967213</v>
          </cell>
          <cell r="F3425">
            <v>4.2000000000000003E-2</v>
          </cell>
        </row>
        <row r="3426">
          <cell r="A3426" t="str">
            <v>10106262-9000401LF</v>
          </cell>
          <cell r="B3426" t="str">
            <v>10106262-9000401LF Connector,PB+RH</v>
          </cell>
          <cell r="C3426">
            <v>6.1000000000000004E-3</v>
          </cell>
          <cell r="D3426">
            <v>975.4098360655737</v>
          </cell>
          <cell r="E3426">
            <v>2926.2295081967213</v>
          </cell>
          <cell r="F3426">
            <v>3.2000000000000001E-2</v>
          </cell>
        </row>
        <row r="3427">
          <cell r="A3427" t="str">
            <v>10106262-9000A01LF</v>
          </cell>
          <cell r="B3427" t="str">
            <v>10106262-9000A01LF Connector,PB+RH</v>
          </cell>
          <cell r="C3427">
            <v>6.1000000000000004E-3</v>
          </cell>
          <cell r="D3427">
            <v>975.4098360655737</v>
          </cell>
          <cell r="E3427">
            <v>2926.2295081967213</v>
          </cell>
          <cell r="F3427">
            <v>2.5000000000000001E-2</v>
          </cell>
        </row>
        <row r="3428">
          <cell r="A3428" t="str">
            <v>10106262-9000K01LF</v>
          </cell>
          <cell r="B3428" t="str">
            <v>10106262-9000K01LF Connector,PB+RH</v>
          </cell>
          <cell r="C3428">
            <v>3.0000000000000001E-3</v>
          </cell>
          <cell r="D3428">
            <v>1983.3333333333333</v>
          </cell>
          <cell r="E3428">
            <v>5950</v>
          </cell>
          <cell r="F3428">
            <v>2.8000000000000001E-2</v>
          </cell>
        </row>
        <row r="3429">
          <cell r="A3429" t="str">
            <v>10106262-9002A01LF</v>
          </cell>
          <cell r="B3429" t="str">
            <v>10106262-9002A01LF Connector,PB+RH</v>
          </cell>
          <cell r="C3429">
            <v>3.3E-3</v>
          </cell>
          <cell r="D3429">
            <v>1803.030303030303</v>
          </cell>
          <cell r="E3429">
            <v>5409.090909090909</v>
          </cell>
          <cell r="F3429">
            <v>3.1E-2</v>
          </cell>
        </row>
        <row r="3430">
          <cell r="A3430" t="str">
            <v>10106262-9004001LF</v>
          </cell>
          <cell r="B3430" t="str">
            <v>10106262-9004001LF Connector,PB+RH</v>
          </cell>
          <cell r="C3430">
            <v>3.3E-3</v>
          </cell>
          <cell r="D3430">
            <v>1803.030303030303</v>
          </cell>
          <cell r="E3430">
            <v>5409.090909090909</v>
          </cell>
          <cell r="F3430">
            <v>3.5999999999999997E-2</v>
          </cell>
        </row>
        <row r="3431">
          <cell r="A3431" t="str">
            <v>10106262-9005001LF</v>
          </cell>
          <cell r="B3431" t="str">
            <v>10106262-9005001LF PwrBlade+ RAH STB</v>
          </cell>
          <cell r="C3431">
            <v>3.3E-3</v>
          </cell>
          <cell r="D3431">
            <v>1803.030303030303</v>
          </cell>
          <cell r="E3431">
            <v>5409.090909090909</v>
          </cell>
          <cell r="F3431">
            <v>4.3999999999999997E-2</v>
          </cell>
        </row>
        <row r="3432">
          <cell r="A3432" t="str">
            <v>10106262-9005002LF</v>
          </cell>
          <cell r="B3432" t="str">
            <v>10106262-9005002LF Connector,PB+RH</v>
          </cell>
          <cell r="C3432">
            <v>3.3E-3</v>
          </cell>
          <cell r="D3432">
            <v>1803.030303030303</v>
          </cell>
          <cell r="E3432">
            <v>5409.090909090909</v>
          </cell>
          <cell r="F3432">
            <v>3.7999999999999999E-2</v>
          </cell>
        </row>
        <row r="3433">
          <cell r="A3433" t="str">
            <v>10106262-9005003LF</v>
          </cell>
          <cell r="B3433" t="str">
            <v>10106262-9005003LF PwrBlade+ RAH STB</v>
          </cell>
          <cell r="C3433">
            <v>3.3E-3</v>
          </cell>
          <cell r="D3433">
            <v>1803.030303030303</v>
          </cell>
          <cell r="E3433">
            <v>5409.090909090909</v>
          </cell>
          <cell r="F3433">
            <v>3.2000000000000001E-2</v>
          </cell>
        </row>
        <row r="3434">
          <cell r="A3434" t="str">
            <v>10106262-9016K01LF</v>
          </cell>
          <cell r="B3434" t="str">
            <v>10106262-9016K01LF PwrBlade+ RAH STB</v>
          </cell>
          <cell r="C3434">
            <v>5.0000000000000001E-3</v>
          </cell>
          <cell r="D3434">
            <v>1190</v>
          </cell>
          <cell r="E3434">
            <v>3570</v>
          </cell>
          <cell r="F3434">
            <v>4.3999999999999997E-2</v>
          </cell>
        </row>
        <row r="3435">
          <cell r="A3435" t="str">
            <v>10106262-9203001LF</v>
          </cell>
          <cell r="B3435" t="str">
            <v>10106262-9203001LF Connector,PB+RH</v>
          </cell>
          <cell r="C3435">
            <v>3.3E-3</v>
          </cell>
          <cell r="D3435">
            <v>1803.030303030303</v>
          </cell>
          <cell r="E3435">
            <v>5409.090909090909</v>
          </cell>
          <cell r="F3435">
            <v>3.7999999999999999E-2</v>
          </cell>
        </row>
        <row r="3436">
          <cell r="A3436" t="str">
            <v>10106262-9206001LF</v>
          </cell>
          <cell r="B3436" t="str">
            <v>10106262-9206001LF Connector,PB+RH</v>
          </cell>
          <cell r="C3436">
            <v>3.3E-3</v>
          </cell>
          <cell r="D3436">
            <v>1803.030303030303</v>
          </cell>
          <cell r="E3436">
            <v>5409.090909090909</v>
          </cell>
          <cell r="F3436">
            <v>3.7999999999999999E-2</v>
          </cell>
        </row>
        <row r="3437">
          <cell r="A3437" t="str">
            <v>10106262-9206002LF</v>
          </cell>
          <cell r="B3437" t="str">
            <v>10106262-9206002LF Connector,PB+RH</v>
          </cell>
          <cell r="C3437">
            <v>3.3E-3</v>
          </cell>
          <cell r="D3437">
            <v>1803.030303030303</v>
          </cell>
          <cell r="E3437">
            <v>5409.090909090909</v>
          </cell>
          <cell r="F3437">
            <v>4.8000000000000001E-2</v>
          </cell>
        </row>
        <row r="3438">
          <cell r="A3438" t="str">
            <v>10106262-A000003LF</v>
          </cell>
          <cell r="B3438" t="str">
            <v>10106262-A000003LF Connector,PB+RH</v>
          </cell>
          <cell r="C3438">
            <v>6.1000000000000004E-3</v>
          </cell>
          <cell r="D3438">
            <v>975.4098360655737</v>
          </cell>
          <cell r="E3438">
            <v>2926.2295081967213</v>
          </cell>
          <cell r="F3438">
            <v>2.4E-2</v>
          </cell>
        </row>
        <row r="3439">
          <cell r="A3439" t="str">
            <v>10106262-A000004LF</v>
          </cell>
          <cell r="B3439" t="str">
            <v>10106262-A000004LF Connector,PB+RH</v>
          </cell>
          <cell r="C3439">
            <v>3.3E-3</v>
          </cell>
          <cell r="D3439">
            <v>1803.030303030303</v>
          </cell>
          <cell r="E3439">
            <v>5409.090909090909</v>
          </cell>
          <cell r="F3439">
            <v>2.8000000000000001E-2</v>
          </cell>
        </row>
        <row r="3440">
          <cell r="A3440" t="str">
            <v>10106262-A002001LF</v>
          </cell>
          <cell r="B3440" t="str">
            <v>10106262-A002001LF Connector,PB+RH</v>
          </cell>
          <cell r="C3440">
            <v>2E-3</v>
          </cell>
          <cell r="D3440">
            <v>2975</v>
          </cell>
          <cell r="E3440">
            <v>8925</v>
          </cell>
          <cell r="F3440">
            <v>2.5899999999999999E-2</v>
          </cell>
        </row>
        <row r="3441">
          <cell r="A3441" t="str">
            <v>10106262-A002A01LF</v>
          </cell>
          <cell r="B3441" t="str">
            <v>10106262-A002A01LF Connector,PB+RH</v>
          </cell>
          <cell r="C3441">
            <v>3.3E-3</v>
          </cell>
          <cell r="D3441">
            <v>1803.030303030303</v>
          </cell>
          <cell r="E3441">
            <v>5409.090909090909</v>
          </cell>
          <cell r="F3441">
            <v>3.2000000000000001E-2</v>
          </cell>
        </row>
        <row r="3442">
          <cell r="A3442" t="str">
            <v>10106262-A003001LF</v>
          </cell>
          <cell r="B3442" t="str">
            <v>10106262-A003001LF Connector,PB+RH</v>
          </cell>
          <cell r="C3442">
            <v>3.3E-3</v>
          </cell>
          <cell r="D3442">
            <v>1803.030303030303</v>
          </cell>
          <cell r="E3442">
            <v>5409.090909090909</v>
          </cell>
          <cell r="F3442">
            <v>5.3999999999999999E-2</v>
          </cell>
        </row>
        <row r="3443">
          <cell r="A3443" t="str">
            <v>10106262-A003002LF</v>
          </cell>
          <cell r="B3443" t="str">
            <v>10106262-A003002LF Connector,PB+RH</v>
          </cell>
          <cell r="C3443">
            <v>3.3E-3</v>
          </cell>
          <cell r="D3443">
            <v>1803.030303030303</v>
          </cell>
          <cell r="E3443">
            <v>5409.090909090909</v>
          </cell>
          <cell r="F3443">
            <v>2.7E-2</v>
          </cell>
        </row>
        <row r="3444">
          <cell r="A3444" t="str">
            <v>10106262-A003004LF</v>
          </cell>
          <cell r="B3444" t="str">
            <v>10106262-A003004LF Connector,PB+RH</v>
          </cell>
          <cell r="C3444">
            <v>3.0000000000000001E-3</v>
          </cell>
          <cell r="D3444">
            <v>1983.3333333333333</v>
          </cell>
          <cell r="E3444">
            <v>5950</v>
          </cell>
          <cell r="F3444">
            <v>3.4000000000000002E-2</v>
          </cell>
        </row>
        <row r="3445">
          <cell r="A3445" t="str">
            <v>10106262-A004003LF</v>
          </cell>
          <cell r="B3445" t="str">
            <v>10106262-A004003LF Connector,PB+RH</v>
          </cell>
          <cell r="C3445">
            <v>6.1000000000000004E-3</v>
          </cell>
          <cell r="D3445">
            <v>975.4098360655737</v>
          </cell>
          <cell r="E3445">
            <v>2926.2295081967213</v>
          </cell>
          <cell r="F3445">
            <v>3.1E-2</v>
          </cell>
        </row>
        <row r="3446">
          <cell r="A3446" t="str">
            <v>10106262-A004401LF</v>
          </cell>
          <cell r="B3446" t="str">
            <v>10106262-A004401LF Connector,PB+RH</v>
          </cell>
          <cell r="C3446">
            <v>3.3E-3</v>
          </cell>
          <cell r="D3446">
            <v>1803.030303030303</v>
          </cell>
          <cell r="E3446">
            <v>5409.090909090909</v>
          </cell>
          <cell r="F3446">
            <v>3.7999999999999999E-2</v>
          </cell>
        </row>
        <row r="3447">
          <cell r="A3447" t="str">
            <v>10106262-A203002LF</v>
          </cell>
          <cell r="B3447" t="str">
            <v>10106262-A203002LF Connector,PB+RH</v>
          </cell>
          <cell r="C3447">
            <v>3.3E-3</v>
          </cell>
          <cell r="D3447">
            <v>1803.030303030303</v>
          </cell>
          <cell r="E3447">
            <v>5409.090909090909</v>
          </cell>
          <cell r="F3447">
            <v>3.4000000000000002E-2</v>
          </cell>
        </row>
        <row r="3448">
          <cell r="A3448" t="str">
            <v>10106262-B000A01LF</v>
          </cell>
          <cell r="B3448" t="str">
            <v>10106262-B000A01LF Connector,PB+RH</v>
          </cell>
          <cell r="C3448">
            <v>6.1000000000000004E-3</v>
          </cell>
          <cell r="D3448">
            <v>975.4098360655737</v>
          </cell>
          <cell r="E3448">
            <v>2926.2295081967213</v>
          </cell>
          <cell r="F3448">
            <v>2.9000000000000001E-2</v>
          </cell>
        </row>
        <row r="3449">
          <cell r="A3449" t="str">
            <v>10106262-B003003LF</v>
          </cell>
          <cell r="B3449" t="str">
            <v>10106262-B003003LF Connector,PB+RH</v>
          </cell>
          <cell r="C3449">
            <v>3.3E-3</v>
          </cell>
          <cell r="D3449">
            <v>1803.030303030303</v>
          </cell>
          <cell r="E3449">
            <v>5409.090909090909</v>
          </cell>
          <cell r="F3449">
            <v>4.4999999999999998E-2</v>
          </cell>
        </row>
        <row r="3450">
          <cell r="A3450" t="str">
            <v>10106262-B005002LF</v>
          </cell>
          <cell r="B3450" t="str">
            <v>10106262-B005002LF Connector,PB+RH</v>
          </cell>
          <cell r="C3450">
            <v>3.3E-3</v>
          </cell>
          <cell r="D3450">
            <v>1803.030303030303</v>
          </cell>
          <cell r="E3450">
            <v>5409.090909090909</v>
          </cell>
          <cell r="F3450">
            <v>5.5E-2</v>
          </cell>
        </row>
        <row r="3451">
          <cell r="A3451" t="str">
            <v>10106262-B006001LF</v>
          </cell>
          <cell r="B3451" t="str">
            <v>10106262-B006001LF Connector,PB+RH</v>
          </cell>
          <cell r="C3451">
            <v>3.0000000000000001E-3</v>
          </cell>
          <cell r="D3451">
            <v>1983.3333333333333</v>
          </cell>
          <cell r="E3451">
            <v>5950</v>
          </cell>
          <cell r="F3451">
            <v>3.8800000000000001E-2</v>
          </cell>
        </row>
        <row r="3452">
          <cell r="A3452" t="str">
            <v>10106262-B006002LF</v>
          </cell>
          <cell r="B3452" t="str">
            <v>10106262-B006002LF Connector,PB+RH</v>
          </cell>
          <cell r="C3452">
            <v>3.3E-3</v>
          </cell>
          <cell r="D3452">
            <v>1803.030303030303</v>
          </cell>
          <cell r="E3452">
            <v>5409.090909090909</v>
          </cell>
          <cell r="F3452">
            <v>4.4999999999999998E-2</v>
          </cell>
        </row>
        <row r="3453">
          <cell r="A3453" t="str">
            <v>10106262-B006005LF</v>
          </cell>
          <cell r="B3453" t="str">
            <v>10106262-B006005LF Connector,PB+RH</v>
          </cell>
          <cell r="C3453">
            <v>3.3E-3</v>
          </cell>
          <cell r="D3453">
            <v>1803.030303030303</v>
          </cell>
          <cell r="E3453">
            <v>5409.090909090909</v>
          </cell>
          <cell r="F3453">
            <v>4.4999999999999998E-2</v>
          </cell>
        </row>
        <row r="3454">
          <cell r="A3454" t="str">
            <v>10106262-B006007LF</v>
          </cell>
          <cell r="B3454" t="str">
            <v>10106262-B006007LF Connector,PB+RH</v>
          </cell>
          <cell r="C3454">
            <v>3.3E-3</v>
          </cell>
          <cell r="D3454">
            <v>1803.030303030303</v>
          </cell>
          <cell r="E3454">
            <v>5409.090909090909</v>
          </cell>
          <cell r="F3454">
            <v>3.7999999999999999E-2</v>
          </cell>
        </row>
        <row r="3455">
          <cell r="A3455" t="str">
            <v>10106262-B007K01LF</v>
          </cell>
          <cell r="B3455" t="str">
            <v>10106262-B007K01LF Connector,PB+RH</v>
          </cell>
          <cell r="C3455">
            <v>3.0000000000000001E-3</v>
          </cell>
          <cell r="D3455">
            <v>1983.3333333333333</v>
          </cell>
          <cell r="E3455">
            <v>5950</v>
          </cell>
          <cell r="F3455">
            <v>3.7999999999999999E-2</v>
          </cell>
        </row>
        <row r="3456">
          <cell r="A3456" t="str">
            <v>10106262-B010001LF</v>
          </cell>
          <cell r="B3456" t="str">
            <v>10106262-B010001LF Connector,PB+RH</v>
          </cell>
          <cell r="C3456">
            <v>3.3E-3</v>
          </cell>
          <cell r="D3456">
            <v>1803.030303030303</v>
          </cell>
          <cell r="E3456">
            <v>5409.090909090909</v>
          </cell>
          <cell r="F3456">
            <v>4.7E-2</v>
          </cell>
        </row>
        <row r="3457">
          <cell r="A3457" t="str">
            <v>10106262-B016002LF</v>
          </cell>
          <cell r="B3457" t="str">
            <v>10106262-B016002LF Connector,PB+RH</v>
          </cell>
          <cell r="C3457">
            <v>5.4999999999999997E-3</v>
          </cell>
          <cell r="D3457">
            <v>1081.818181818182</v>
          </cell>
          <cell r="E3457">
            <v>3245.454545454546</v>
          </cell>
          <cell r="F3457">
            <v>5.7500000000000002E-2</v>
          </cell>
        </row>
        <row r="3458">
          <cell r="A3458" t="str">
            <v>10106262-B016003LF</v>
          </cell>
          <cell r="B3458" t="str">
            <v>10106262-B016003LF Connector,PB+RH</v>
          </cell>
          <cell r="C3458">
            <v>6.7000000000000002E-3</v>
          </cell>
          <cell r="D3458">
            <v>888.05970149253733</v>
          </cell>
          <cell r="E3458">
            <v>2664.1791044776119</v>
          </cell>
          <cell r="F3458">
            <v>5.5E-2</v>
          </cell>
        </row>
        <row r="3459">
          <cell r="A3459" t="str">
            <v>10106262-C000A01LF</v>
          </cell>
          <cell r="B3459" t="str">
            <v>10106262-C000A01LF Connector,PB+RH</v>
          </cell>
          <cell r="C3459">
            <v>6.1000000000000004E-3</v>
          </cell>
          <cell r="D3459">
            <v>975.4098360655737</v>
          </cell>
          <cell r="E3459">
            <v>2926.2295081967213</v>
          </cell>
          <cell r="F3459">
            <v>2.5000000000000001E-2</v>
          </cell>
        </row>
        <row r="3460">
          <cell r="A3460" t="str">
            <v>10106262-C004002LF</v>
          </cell>
          <cell r="B3460" t="str">
            <v>10106262-C004002LF Connector,PB+RH</v>
          </cell>
          <cell r="C3460">
            <v>3.3E-3</v>
          </cell>
          <cell r="D3460">
            <v>1803.030303030303</v>
          </cell>
          <cell r="E3460">
            <v>5409.090909090909</v>
          </cell>
          <cell r="F3460">
            <v>4.5999999999999999E-2</v>
          </cell>
        </row>
        <row r="3461">
          <cell r="A3461" t="str">
            <v>10106262-C004003LF</v>
          </cell>
          <cell r="B3461" t="str">
            <v>10106262-C004003LF PwrBlade+ RAH STB</v>
          </cell>
          <cell r="C3461">
            <v>3.3E-3</v>
          </cell>
          <cell r="D3461">
            <v>1803.030303030303</v>
          </cell>
          <cell r="E3461">
            <v>5409.090909090909</v>
          </cell>
          <cell r="F3461">
            <v>5.7000000000000002E-2</v>
          </cell>
        </row>
        <row r="3462">
          <cell r="A3462" t="str">
            <v>10106262-C005004LF</v>
          </cell>
          <cell r="B3462" t="str">
            <v>10106262-C005004LF Connector,PB+RH</v>
          </cell>
          <cell r="C3462">
            <v>3.0000000000000001E-3</v>
          </cell>
          <cell r="D3462">
            <v>1983.3333333333333</v>
          </cell>
          <cell r="E3462">
            <v>5950</v>
          </cell>
          <cell r="F3462">
            <v>3.1E-2</v>
          </cell>
        </row>
        <row r="3463">
          <cell r="A3463" t="str">
            <v>10106262-C005005LF</v>
          </cell>
          <cell r="B3463" t="str">
            <v>10106262-C005005LF Connector,PB+RH</v>
          </cell>
          <cell r="C3463">
            <v>3.3E-3</v>
          </cell>
          <cell r="D3463">
            <v>1803.030303030303</v>
          </cell>
          <cell r="E3463">
            <v>5409.090909090909</v>
          </cell>
          <cell r="F3463">
            <v>3.1E-2</v>
          </cell>
        </row>
        <row r="3464">
          <cell r="A3464" t="str">
            <v>10106262-C007001LF</v>
          </cell>
          <cell r="B3464" t="str">
            <v>10106262-C007001LF PwrBlade+ RAH STB</v>
          </cell>
          <cell r="C3464">
            <v>3.3E-3</v>
          </cell>
          <cell r="D3464">
            <v>1803.030303030303</v>
          </cell>
          <cell r="E3464">
            <v>5409.090909090909</v>
          </cell>
          <cell r="F3464">
            <v>3.5999999999999997E-2</v>
          </cell>
        </row>
        <row r="3465">
          <cell r="A3465" t="str">
            <v>10106262-C007K01LF</v>
          </cell>
          <cell r="B3465" t="str">
            <v>10106262-C007K01LF PwrBlade+ RAH STB</v>
          </cell>
          <cell r="C3465">
            <v>3.0000000000000001E-3</v>
          </cell>
          <cell r="D3465">
            <v>1983.3333333333333</v>
          </cell>
          <cell r="E3465">
            <v>5950</v>
          </cell>
          <cell r="F3465">
            <v>3.5000000000000003E-2</v>
          </cell>
        </row>
        <row r="3466">
          <cell r="A3466" t="str">
            <v>10106262-C008005LF</v>
          </cell>
          <cell r="B3466" t="str">
            <v>10106262-C008005LF Connector,PB+RH</v>
          </cell>
          <cell r="C3466">
            <v>3.3E-3</v>
          </cell>
          <cell r="D3466">
            <v>1803.030303030303</v>
          </cell>
          <cell r="E3466">
            <v>5409.090909090909</v>
          </cell>
          <cell r="F3466">
            <v>5.2999999999999999E-2</v>
          </cell>
        </row>
        <row r="3467">
          <cell r="A3467" t="str">
            <v>10106262-C014K01LF</v>
          </cell>
          <cell r="B3467" t="str">
            <v>10106262-C014K01LF PwrBlade+ RAH STB</v>
          </cell>
          <cell r="C3467">
            <v>5.0000000000000001E-3</v>
          </cell>
          <cell r="D3467">
            <v>1190</v>
          </cell>
          <cell r="E3467">
            <v>3570</v>
          </cell>
          <cell r="F3467">
            <v>4.8000000000000001E-2</v>
          </cell>
        </row>
        <row r="3468">
          <cell r="A3468" t="str">
            <v>10106262-C203001LF</v>
          </cell>
          <cell r="B3468" t="str">
            <v>10106262-C203001LF Connector,PB+RH</v>
          </cell>
          <cell r="C3468">
            <v>3.3E-3</v>
          </cell>
          <cell r="D3468">
            <v>1803.030303030303</v>
          </cell>
          <cell r="E3468">
            <v>5409.090909090909</v>
          </cell>
          <cell r="F3468">
            <v>3.5000000000000003E-2</v>
          </cell>
        </row>
        <row r="3469">
          <cell r="A3469" t="str">
            <v>10106262-C203002LF</v>
          </cell>
          <cell r="B3469" t="str">
            <v>10106262-C203002LF Connector,PB+RH</v>
          </cell>
          <cell r="C3469">
            <v>3.3E-3</v>
          </cell>
          <cell r="D3469">
            <v>1803.030303030303</v>
          </cell>
          <cell r="E3469">
            <v>5409.090909090909</v>
          </cell>
          <cell r="F3469">
            <v>4.4999999999999998E-2</v>
          </cell>
        </row>
        <row r="3470">
          <cell r="A3470" t="str">
            <v>10106262-C203A01LF</v>
          </cell>
          <cell r="B3470" t="str">
            <v>10106262-C203A01LF Connector,PB+RH</v>
          </cell>
          <cell r="C3470">
            <v>3.3E-3</v>
          </cell>
          <cell r="D3470">
            <v>1803.030303030303</v>
          </cell>
          <cell r="E3470">
            <v>5409.090909090909</v>
          </cell>
          <cell r="F3470">
            <v>3.2000000000000001E-2</v>
          </cell>
        </row>
        <row r="3471">
          <cell r="A3471" t="str">
            <v>10106262-C206001LF</v>
          </cell>
          <cell r="B3471" t="str">
            <v>10106262-C206001LF Connector,PB+RH</v>
          </cell>
          <cell r="C3471">
            <v>3.3E-3</v>
          </cell>
          <cell r="D3471">
            <v>1803.030303030303</v>
          </cell>
          <cell r="E3471">
            <v>5409.090909090909</v>
          </cell>
          <cell r="F3471">
            <v>4.2999999999999997E-2</v>
          </cell>
        </row>
        <row r="3472">
          <cell r="A3472" t="str">
            <v>10106262-D000K01LF</v>
          </cell>
          <cell r="B3472" t="str">
            <v>10106262-D000K01LF Connector,PB+RH</v>
          </cell>
          <cell r="C3472">
            <v>4.0000000000000001E-3</v>
          </cell>
          <cell r="D3472">
            <v>1487.5</v>
          </cell>
          <cell r="E3472">
            <v>4462.5</v>
          </cell>
          <cell r="F3472">
            <v>2.1999999999999999E-2</v>
          </cell>
        </row>
        <row r="3473">
          <cell r="A3473" t="str">
            <v>10106262-D000K03LF</v>
          </cell>
          <cell r="B3473" t="str">
            <v>10106262-D000K03LF Connector,PB+RH</v>
          </cell>
          <cell r="C3473">
            <v>3.0000000000000001E-3</v>
          </cell>
          <cell r="D3473">
            <v>1983.3333333333333</v>
          </cell>
          <cell r="E3473">
            <v>5950</v>
          </cell>
          <cell r="F3473">
            <v>3.5000000000000003E-2</v>
          </cell>
        </row>
        <row r="3474">
          <cell r="A3474" t="str">
            <v>10106262-D000K04LF</v>
          </cell>
          <cell r="B3474" t="str">
            <v>10106262-D000K04LF Connector,PB+RH</v>
          </cell>
          <cell r="C3474">
            <v>5.0000000000000001E-3</v>
          </cell>
          <cell r="D3474">
            <v>1190</v>
          </cell>
          <cell r="E3474">
            <v>3570</v>
          </cell>
          <cell r="F3474">
            <v>3.6999999999999998E-2</v>
          </cell>
        </row>
        <row r="3475">
          <cell r="A3475" t="str">
            <v>10106262-D002002LF</v>
          </cell>
          <cell r="B3475" t="str">
            <v>10106262-D002002LF Connector,PB+RH</v>
          </cell>
          <cell r="C3475">
            <v>3.3E-3</v>
          </cell>
          <cell r="D3475">
            <v>1803.030303030303</v>
          </cell>
          <cell r="E3475">
            <v>5409.090909090909</v>
          </cell>
          <cell r="F3475">
            <v>2.5999999999999999E-2</v>
          </cell>
        </row>
        <row r="3476">
          <cell r="A3476" t="str">
            <v>10106262-D004001LF</v>
          </cell>
          <cell r="B3476" t="str">
            <v>10106262-D004001LF Connector,PB+RH</v>
          </cell>
          <cell r="C3476">
            <v>3.3E-3</v>
          </cell>
          <cell r="D3476">
            <v>1803.030303030303</v>
          </cell>
          <cell r="E3476">
            <v>5409.090909090909</v>
          </cell>
          <cell r="F3476">
            <v>4.7E-2</v>
          </cell>
        </row>
        <row r="3477">
          <cell r="A3477" t="str">
            <v>10106262-D004002LF</v>
          </cell>
          <cell r="B3477" t="str">
            <v>10106262-D004002LF Connector,PB+RH</v>
          </cell>
          <cell r="C3477">
            <v>3.3E-3</v>
          </cell>
          <cell r="D3477">
            <v>1803.030303030303</v>
          </cell>
          <cell r="E3477">
            <v>5409.090909090909</v>
          </cell>
          <cell r="F3477">
            <v>4.2000000000000003E-2</v>
          </cell>
        </row>
        <row r="3478">
          <cell r="A3478" t="str">
            <v>10106262-D004004LF</v>
          </cell>
          <cell r="B3478" t="str">
            <v>10106262-D004004LF Connector,PB+RH</v>
          </cell>
          <cell r="C3478">
            <v>3.3E-3</v>
          </cell>
          <cell r="D3478">
            <v>1803.030303030303</v>
          </cell>
          <cell r="E3478">
            <v>5409.090909090909</v>
          </cell>
          <cell r="F3478">
            <v>3.1E-2</v>
          </cell>
        </row>
        <row r="3479">
          <cell r="A3479" t="str">
            <v>10106262-D005001LF</v>
          </cell>
          <cell r="B3479" t="str">
            <v>10106262-D005001LF Connector,PB+RH</v>
          </cell>
          <cell r="C3479">
            <v>3.3E-3</v>
          </cell>
          <cell r="D3479">
            <v>1803.030303030303</v>
          </cell>
          <cell r="E3479">
            <v>5409.090909090909</v>
          </cell>
          <cell r="F3479">
            <v>3.2000000000000001E-2</v>
          </cell>
        </row>
        <row r="3480">
          <cell r="A3480" t="str">
            <v>10106262-E000001LF</v>
          </cell>
          <cell r="B3480" t="str">
            <v>10106262-E000001LF Connector,PB+RH</v>
          </cell>
          <cell r="C3480">
            <v>3.0000000000000001E-3</v>
          </cell>
          <cell r="D3480">
            <v>1983.3333333333333</v>
          </cell>
          <cell r="E3480">
            <v>5950</v>
          </cell>
          <cell r="F3480">
            <v>3.2000000000000001E-2</v>
          </cell>
        </row>
        <row r="3481">
          <cell r="A3481" t="str">
            <v>10106262-E000K01LF</v>
          </cell>
          <cell r="B3481" t="str">
            <v>10106262-E000K01LF Connector,PB+RH</v>
          </cell>
          <cell r="C3481">
            <v>3.0000000000000001E-3</v>
          </cell>
          <cell r="D3481">
            <v>1983.3333333333333</v>
          </cell>
          <cell r="E3481">
            <v>5950</v>
          </cell>
          <cell r="F3481">
            <v>4.1000000000000002E-2</v>
          </cell>
        </row>
        <row r="3482">
          <cell r="A3482" t="str">
            <v>10106262-F000002LF</v>
          </cell>
          <cell r="B3482" t="str">
            <v>10106262-F000002LF Connector,PB+RH</v>
          </cell>
          <cell r="C3482">
            <v>6.1000000000000004E-3</v>
          </cell>
          <cell r="D3482">
            <v>975.4098360655737</v>
          </cell>
          <cell r="E3482">
            <v>2926.2295081967213</v>
          </cell>
          <cell r="F3482">
            <v>2.8000000000000001E-2</v>
          </cell>
        </row>
        <row r="3483">
          <cell r="A3483" t="str">
            <v>10106262-F000003LF</v>
          </cell>
          <cell r="B3483" t="str">
            <v>10106262-F000003LF PwrBlade+ RAH STB</v>
          </cell>
          <cell r="C3483">
            <v>3.3E-3</v>
          </cell>
          <cell r="D3483">
            <v>1803.030303030303</v>
          </cell>
          <cell r="E3483">
            <v>5409.090909090909</v>
          </cell>
          <cell r="F3483">
            <v>3.5999999999999997E-2</v>
          </cell>
        </row>
        <row r="3484">
          <cell r="A3484" t="str">
            <v>10106262-F007001LF</v>
          </cell>
          <cell r="B3484" t="str">
            <v>10106262-F007001LF Connector,PB+RH</v>
          </cell>
          <cell r="C3484">
            <v>3.3E-3</v>
          </cell>
          <cell r="D3484">
            <v>1803.030303030303</v>
          </cell>
          <cell r="E3484">
            <v>5409.090909090909</v>
          </cell>
          <cell r="F3484">
            <v>5.7000000000000002E-2</v>
          </cell>
        </row>
        <row r="3485">
          <cell r="A3485" t="str">
            <v>10106262-F007002LF</v>
          </cell>
          <cell r="B3485" t="str">
            <v>10106262-F007002LF Connector,PB+RH</v>
          </cell>
          <cell r="C3485">
            <v>3.3E-3</v>
          </cell>
          <cell r="D3485">
            <v>1803.030303030303</v>
          </cell>
          <cell r="E3485">
            <v>5409.090909090909</v>
          </cell>
          <cell r="F3485">
            <v>6.2E-2</v>
          </cell>
        </row>
        <row r="3486">
          <cell r="A3486" t="str">
            <v>10106262-F007004LF</v>
          </cell>
          <cell r="B3486" t="str">
            <v>10106262-F007004LF Connector,PB+RH</v>
          </cell>
          <cell r="C3486">
            <v>3.3E-3</v>
          </cell>
          <cell r="D3486">
            <v>1803.030303030303</v>
          </cell>
          <cell r="E3486">
            <v>5409.090909090909</v>
          </cell>
          <cell r="F3486">
            <v>5.1999999999999998E-2</v>
          </cell>
        </row>
        <row r="3487">
          <cell r="A3487" t="str">
            <v>10106262-F007005LF</v>
          </cell>
          <cell r="B3487" t="str">
            <v>10106262-F007005LF Connector,PB+RH</v>
          </cell>
          <cell r="C3487">
            <v>3.3E-3</v>
          </cell>
          <cell r="D3487">
            <v>1803.030303030303</v>
          </cell>
          <cell r="E3487">
            <v>5409.090909090909</v>
          </cell>
          <cell r="F3487">
            <v>4.4999999999999998E-2</v>
          </cell>
        </row>
        <row r="3488">
          <cell r="A3488" t="str">
            <v>10106262-F012001LF</v>
          </cell>
          <cell r="B3488" t="str">
            <v>10106262-F012001LF Connector,PB+RH</v>
          </cell>
          <cell r="C3488">
            <v>3.3E-3</v>
          </cell>
          <cell r="D3488">
            <v>1803.030303030303</v>
          </cell>
          <cell r="E3488">
            <v>5409.090909090909</v>
          </cell>
          <cell r="F3488">
            <v>7.0000000000000007E-2</v>
          </cell>
        </row>
        <row r="3489">
          <cell r="A3489" t="str">
            <v>10106262-F024001LF</v>
          </cell>
          <cell r="B3489" t="str">
            <v>10106262-F024001LF Connector,PB+RH</v>
          </cell>
          <cell r="C3489">
            <v>8.3000000000000001E-3</v>
          </cell>
          <cell r="D3489">
            <v>716.86746987951813</v>
          </cell>
          <cell r="E3489">
            <v>2150.6024096385545</v>
          </cell>
          <cell r="F3489">
            <v>8.1000000000000003E-2</v>
          </cell>
        </row>
        <row r="3490">
          <cell r="A3490" t="str">
            <v>10106262-F203001LF</v>
          </cell>
          <cell r="B3490" t="str">
            <v>10106262-F203001LF PwrBlade+ RAH STB</v>
          </cell>
          <cell r="C3490">
            <v>3.3E-3</v>
          </cell>
          <cell r="D3490">
            <v>1803.030303030303</v>
          </cell>
          <cell r="E3490">
            <v>5409.090909090909</v>
          </cell>
          <cell r="F3490">
            <v>3.4000000000000002E-2</v>
          </cell>
        </row>
        <row r="3491">
          <cell r="A3491" t="str">
            <v>10106262-F205A01LF</v>
          </cell>
          <cell r="B3491" t="str">
            <v>10106262-F205A01LF Connector,PB+RH</v>
          </cell>
          <cell r="C3491">
            <v>3.3E-3</v>
          </cell>
          <cell r="D3491">
            <v>1803.030303030303</v>
          </cell>
          <cell r="E3491">
            <v>5409.090909090909</v>
          </cell>
          <cell r="F3491">
            <v>4.7E-2</v>
          </cell>
        </row>
        <row r="3492">
          <cell r="A3492" t="str">
            <v>10106262-G012002LF</v>
          </cell>
          <cell r="B3492" t="str">
            <v>10106262-G012002LF Connector,PB+RH</v>
          </cell>
          <cell r="C3492">
            <v>3.3000000000000002E-2</v>
          </cell>
          <cell r="D3492">
            <v>180.30303030303031</v>
          </cell>
          <cell r="E3492">
            <v>540.90909090909099</v>
          </cell>
          <cell r="F3492">
            <v>5.9900000000000002E-2</v>
          </cell>
        </row>
        <row r="3493">
          <cell r="A3493" t="str">
            <v>10106262-G012004LF</v>
          </cell>
          <cell r="B3493" t="str">
            <v>10106262-G012004LF Connector,PB+RH</v>
          </cell>
          <cell r="C3493">
            <v>3.3E-3</v>
          </cell>
          <cell r="D3493">
            <v>1803.030303030303</v>
          </cell>
          <cell r="E3493">
            <v>5409.090909090909</v>
          </cell>
          <cell r="F3493">
            <v>4.8000000000000001E-2</v>
          </cell>
        </row>
        <row r="3494">
          <cell r="A3494" t="str">
            <v>10106262-H002001LF</v>
          </cell>
          <cell r="B3494" t="str">
            <v>10106262-H002001LF Connector,PB+RH</v>
          </cell>
          <cell r="C3494">
            <v>3.3E-3</v>
          </cell>
          <cell r="D3494">
            <v>1803.030303030303</v>
          </cell>
          <cell r="E3494">
            <v>5409.090909090909</v>
          </cell>
          <cell r="F3494">
            <v>3.7999999999999999E-2</v>
          </cell>
        </row>
        <row r="3495">
          <cell r="A3495" t="str">
            <v>10106262-H002002LF</v>
          </cell>
          <cell r="B3495" t="str">
            <v>10106262-H002002LF Connector,PB+RH</v>
          </cell>
          <cell r="C3495">
            <v>3.0000000000000001E-3</v>
          </cell>
          <cell r="D3495">
            <v>1983.3333333333333</v>
          </cell>
          <cell r="E3495">
            <v>5950</v>
          </cell>
          <cell r="F3495">
            <v>3.1E-2</v>
          </cell>
        </row>
        <row r="3496">
          <cell r="A3496" t="str">
            <v>10106262-H003001LF</v>
          </cell>
          <cell r="B3496" t="str">
            <v>10106262-H003001LF Connector,PB+RH</v>
          </cell>
          <cell r="C3496">
            <v>3.3E-3</v>
          </cell>
          <cell r="D3496">
            <v>1803.030303030303</v>
          </cell>
          <cell r="E3496">
            <v>5409.090909090909</v>
          </cell>
          <cell r="F3496">
            <v>3.7999999999999999E-2</v>
          </cell>
        </row>
        <row r="3497">
          <cell r="A3497" t="str">
            <v>10106262-H003002LF</v>
          </cell>
          <cell r="B3497" t="str">
            <v>10106262-H003002LF Connector,PB+RH</v>
          </cell>
          <cell r="C3497">
            <v>3.3E-3</v>
          </cell>
          <cell r="D3497">
            <v>1803.030303030303</v>
          </cell>
          <cell r="E3497">
            <v>5409.090909090909</v>
          </cell>
          <cell r="F3497">
            <v>4.7E-2</v>
          </cell>
        </row>
        <row r="3498">
          <cell r="A3498" t="str">
            <v>10106262-H009001LF</v>
          </cell>
          <cell r="B3498" t="str">
            <v>10106262-H009001LF Connector,PB+RH</v>
          </cell>
          <cell r="C3498">
            <v>3.3E-3</v>
          </cell>
          <cell r="D3498">
            <v>1803.030303030303</v>
          </cell>
          <cell r="E3498">
            <v>5409.090909090909</v>
          </cell>
          <cell r="F3498">
            <v>3.6999999999999998E-2</v>
          </cell>
        </row>
        <row r="3499">
          <cell r="A3499" t="str">
            <v>10106262-J203001LF</v>
          </cell>
          <cell r="B3499" t="str">
            <v>10106262-J203001LF Connector,PB+RH</v>
          </cell>
          <cell r="C3499">
            <v>3.3E-3</v>
          </cell>
          <cell r="D3499">
            <v>1803.030303030303</v>
          </cell>
          <cell r="E3499">
            <v>5409.090909090909</v>
          </cell>
          <cell r="F3499">
            <v>3.7999999999999999E-2</v>
          </cell>
        </row>
        <row r="3500">
          <cell r="A3500" t="str">
            <v>10106262-K008001LF</v>
          </cell>
          <cell r="B3500" t="str">
            <v>10106262-K008001LF PwrBlade+ RAH STB</v>
          </cell>
          <cell r="C3500">
            <v>3.3E-3</v>
          </cell>
          <cell r="D3500">
            <v>1803.030303030303</v>
          </cell>
          <cell r="E3500">
            <v>5409.090909090909</v>
          </cell>
          <cell r="F3500">
            <v>4.4999999999999998E-2</v>
          </cell>
        </row>
        <row r="3501">
          <cell r="A3501" t="str">
            <v>10106262-N001002LF</v>
          </cell>
          <cell r="B3501" t="str">
            <v>10106262-N001002LF Connector,PB+RH</v>
          </cell>
          <cell r="C3501">
            <v>3.3E-3</v>
          </cell>
          <cell r="D3501">
            <v>1803.030303030303</v>
          </cell>
          <cell r="E3501">
            <v>5409.090909090909</v>
          </cell>
          <cell r="F3501">
            <v>3.1E-2</v>
          </cell>
        </row>
        <row r="3502">
          <cell r="A3502" t="str">
            <v>10106262-S007K01LF</v>
          </cell>
          <cell r="B3502" t="str">
            <v>10106262-S007K01LF Connector,PB+RH</v>
          </cell>
          <cell r="C3502">
            <v>1.2E-2</v>
          </cell>
          <cell r="D3502">
            <v>495.83333333333331</v>
          </cell>
          <cell r="E3502">
            <v>1487.5</v>
          </cell>
          <cell r="F3502">
            <v>8.6999999999999994E-2</v>
          </cell>
        </row>
        <row r="3503">
          <cell r="A3503" t="str">
            <v>10106263-0024001LF</v>
          </cell>
          <cell r="B3503" t="str">
            <v>10106263-0024001LF PwrBlade+ RAH PF</v>
          </cell>
          <cell r="C3503">
            <v>8.9999999999999993E-3</v>
          </cell>
          <cell r="D3503">
            <v>661.1111111111112</v>
          </cell>
          <cell r="E3503">
            <v>1983.3333333333335</v>
          </cell>
          <cell r="F3503">
            <v>3.2000000000000001E-2</v>
          </cell>
        </row>
        <row r="3504">
          <cell r="A3504" t="str">
            <v>10106263-0037001LF</v>
          </cell>
          <cell r="B3504" t="str">
            <v>10106263-0037001LF PwrBlade+ RAH PF</v>
          </cell>
          <cell r="C3504">
            <v>1.0999999999999999E-2</v>
          </cell>
          <cell r="D3504">
            <v>540.90909090909099</v>
          </cell>
          <cell r="E3504">
            <v>1622.727272727273</v>
          </cell>
          <cell r="F3504">
            <v>4.1000000000000002E-2</v>
          </cell>
        </row>
        <row r="3505">
          <cell r="A3505" t="str">
            <v>10106263-0203004LF</v>
          </cell>
          <cell r="B3505" t="str">
            <v>10106263-0203004LF PwrBlade+ RAH PF</v>
          </cell>
          <cell r="C3505">
            <v>3.3E-3</v>
          </cell>
          <cell r="D3505">
            <v>1803.030303030303</v>
          </cell>
          <cell r="E3505">
            <v>5409.090909090909</v>
          </cell>
          <cell r="F3505">
            <v>2.5000000000000001E-2</v>
          </cell>
        </row>
        <row r="3506">
          <cell r="A3506" t="str">
            <v>10106263-0400001LF</v>
          </cell>
          <cell r="B3506" t="str">
            <v>10106263-0400001LF PwrBlade+ RAH PF</v>
          </cell>
          <cell r="C3506" t="e">
            <v>#N/A</v>
          </cell>
          <cell r="D3506" t="e">
            <v>#N/A</v>
          </cell>
          <cell r="E3506" t="e">
            <v>#N/A</v>
          </cell>
          <cell r="F3506">
            <v>3.3000000000000002E-2</v>
          </cell>
        </row>
        <row r="3507">
          <cell r="A3507" t="str">
            <v>10106263-0403002LF</v>
          </cell>
          <cell r="B3507" t="str">
            <v>10106263-0403002LF PwrBlade+ RAH PF</v>
          </cell>
          <cell r="C3507">
            <v>3.3E-3</v>
          </cell>
          <cell r="D3507">
            <v>1803.030303030303</v>
          </cell>
          <cell r="E3507">
            <v>5409.090909090909</v>
          </cell>
          <cell r="F3507">
            <v>2.1000000000000001E-2</v>
          </cell>
        </row>
        <row r="3508">
          <cell r="A3508" t="str">
            <v>10106263-2000501LF</v>
          </cell>
          <cell r="B3508" t="str">
            <v>10106263-2000501LF PwrBlade+ RAH PF</v>
          </cell>
          <cell r="C3508">
            <v>3.0000000000000001E-3</v>
          </cell>
          <cell r="D3508">
            <v>1983.3333333333333</v>
          </cell>
          <cell r="E3508">
            <v>5950</v>
          </cell>
          <cell r="F3508">
            <v>1.7999999999999999E-2</v>
          </cell>
        </row>
        <row r="3509">
          <cell r="A3509" t="str">
            <v>10106263-2004001LF</v>
          </cell>
          <cell r="B3509" t="str">
            <v>10106263-2004001LF PwrBlade+ RAH PF</v>
          </cell>
          <cell r="C3509">
            <v>3.3E-3</v>
          </cell>
          <cell r="D3509">
            <v>1803.030303030303</v>
          </cell>
          <cell r="E3509">
            <v>5409.090909090909</v>
          </cell>
          <cell r="F3509">
            <v>3.2000000000000001E-2</v>
          </cell>
        </row>
        <row r="3510">
          <cell r="A3510" t="str">
            <v>10106263-8004001LF</v>
          </cell>
          <cell r="B3510" t="str">
            <v>10106263-8004001LF PwrBlade+ RAH PF</v>
          </cell>
          <cell r="C3510">
            <v>3.3E-3</v>
          </cell>
          <cell r="D3510">
            <v>1803.030303030303</v>
          </cell>
          <cell r="E3510">
            <v>5409.090909090909</v>
          </cell>
          <cell r="F3510">
            <v>5.2999999999999999E-2</v>
          </cell>
        </row>
        <row r="3511">
          <cell r="A3511" t="str">
            <v>10106263-8037001LF</v>
          </cell>
          <cell r="B3511" t="str">
            <v>10106263-8037001LF PwrBlade+ RAH PF</v>
          </cell>
          <cell r="C3511">
            <v>1.0999999999999999E-2</v>
          </cell>
          <cell r="D3511">
            <v>540.90909090909099</v>
          </cell>
          <cell r="E3511">
            <v>1622.727272727273</v>
          </cell>
          <cell r="F3511">
            <v>4.8000000000000001E-2</v>
          </cell>
        </row>
        <row r="3512">
          <cell r="A3512" t="str">
            <v>10106263-B006003LF</v>
          </cell>
          <cell r="B3512" t="str">
            <v>10106263-B006003LF PwrBlade+ RAH PF</v>
          </cell>
          <cell r="C3512">
            <v>3.3000000000000002E-2</v>
          </cell>
          <cell r="D3512">
            <v>180.30303030303031</v>
          </cell>
          <cell r="E3512">
            <v>540.90909090909099</v>
          </cell>
          <cell r="F3512">
            <v>4.9299999999999997E-2</v>
          </cell>
        </row>
        <row r="3513">
          <cell r="A3513" t="str">
            <v>10106263-D006001LF</v>
          </cell>
          <cell r="B3513" t="str">
            <v>10106263-D006001LF PwrBlade+ RAH PF</v>
          </cell>
          <cell r="C3513">
            <v>3.0000000000000001E-3</v>
          </cell>
          <cell r="D3513">
            <v>1983.3333333333333</v>
          </cell>
          <cell r="E3513">
            <v>5950</v>
          </cell>
          <cell r="F3513">
            <v>3.7375949999999998E-2</v>
          </cell>
        </row>
        <row r="3514">
          <cell r="A3514" t="str">
            <v>10106263-E304A01LF</v>
          </cell>
          <cell r="B3514" t="str">
            <v>10106263-E304A01LF PwrBlade+ RAH STB</v>
          </cell>
          <cell r="C3514">
            <v>5.0000000000000001E-3</v>
          </cell>
          <cell r="D3514">
            <v>1190</v>
          </cell>
          <cell r="E3514">
            <v>3570</v>
          </cell>
          <cell r="F3514">
            <v>4.4999999999999998E-2</v>
          </cell>
        </row>
        <row r="3515">
          <cell r="A3515" t="str">
            <v>10106264-0200501LF</v>
          </cell>
          <cell r="B3515" t="str">
            <v>10106264-0200501LF Connector,B+IO</v>
          </cell>
          <cell r="C3515">
            <v>3.0000000000000001E-3</v>
          </cell>
          <cell r="D3515">
            <v>1983.3333333333333</v>
          </cell>
          <cell r="E3515">
            <v>5950</v>
          </cell>
          <cell r="F3515">
            <v>2.5999999999999999E-2</v>
          </cell>
        </row>
        <row r="3516">
          <cell r="A3516" t="str">
            <v>10106268-0004001LF</v>
          </cell>
          <cell r="B3516" t="str">
            <v>10106268-0004001LF Connector,PB+VR</v>
          </cell>
          <cell r="C3516">
            <v>3.3E-3</v>
          </cell>
          <cell r="D3516">
            <v>1803.030303030303</v>
          </cell>
          <cell r="E3516">
            <v>5409.090909090909</v>
          </cell>
          <cell r="F3516">
            <v>2.5000000000000001E-2</v>
          </cell>
        </row>
        <row r="3517">
          <cell r="A3517" t="str">
            <v>10106268-0009001LF</v>
          </cell>
          <cell r="B3517" t="str">
            <v>10106268-0009001LF Connector,PB+VR</v>
          </cell>
          <cell r="C3517">
            <v>0.01</v>
          </cell>
          <cell r="D3517">
            <v>595</v>
          </cell>
          <cell r="E3517">
            <v>1785</v>
          </cell>
          <cell r="F3517">
            <v>1.4999999999999999E-2</v>
          </cell>
        </row>
        <row r="3518">
          <cell r="A3518" t="str">
            <v>10106268-0010001LF</v>
          </cell>
          <cell r="B3518" t="str">
            <v>10106268-0010001LF Connector,PB+VR</v>
          </cell>
          <cell r="C3518">
            <v>1.0999999999999999E-2</v>
          </cell>
          <cell r="D3518">
            <v>540.90909090909099</v>
          </cell>
          <cell r="E3518">
            <v>1622.727272727273</v>
          </cell>
          <cell r="F3518">
            <v>1.4999999999999999E-2</v>
          </cell>
        </row>
        <row r="3519">
          <cell r="A3519" t="str">
            <v>10106268-0013001LF</v>
          </cell>
          <cell r="B3519" t="str">
            <v>10106268-0013001LF Connector,PB+VR</v>
          </cell>
          <cell r="C3519">
            <v>4.2000000000000003E-2</v>
          </cell>
          <cell r="D3519">
            <v>141.66666666666666</v>
          </cell>
          <cell r="E3519">
            <v>425</v>
          </cell>
          <cell r="F3519">
            <v>2.52E-2</v>
          </cell>
        </row>
        <row r="3520">
          <cell r="A3520" t="str">
            <v>10106268-0013101LF</v>
          </cell>
          <cell r="B3520" t="str">
            <v>10106268-0013101LF Connector,PB+VR</v>
          </cell>
          <cell r="C3520">
            <v>1.4999999999999999E-2</v>
          </cell>
          <cell r="D3520">
            <v>396.66666666666669</v>
          </cell>
          <cell r="E3520">
            <v>1190</v>
          </cell>
          <cell r="F3520">
            <v>0.03</v>
          </cell>
        </row>
        <row r="3521">
          <cell r="A3521" t="str">
            <v>10106268-0013102LF</v>
          </cell>
          <cell r="B3521" t="str">
            <v>10106268-0013102LF Connector,PB+VR</v>
          </cell>
          <cell r="C3521">
            <v>1.4E-2</v>
          </cell>
          <cell r="D3521">
            <v>425</v>
          </cell>
          <cell r="E3521">
            <v>1275</v>
          </cell>
          <cell r="F3521">
            <v>2.8000000000000001E-2</v>
          </cell>
        </row>
        <row r="3522">
          <cell r="A3522" t="str">
            <v>10106268-0017101LF</v>
          </cell>
          <cell r="B3522" t="str">
            <v>10106268-0017101LF PwrBlade+ VR STB</v>
          </cell>
          <cell r="C3522">
            <v>1.9E-2</v>
          </cell>
          <cell r="D3522">
            <v>313.15789473684214</v>
          </cell>
          <cell r="E3522">
            <v>939.47368421052647</v>
          </cell>
          <cell r="F3522">
            <v>1.0999999999999999E-2</v>
          </cell>
        </row>
        <row r="3523">
          <cell r="A3523" t="str">
            <v>10106268-0024K01LF</v>
          </cell>
          <cell r="B3523" t="str">
            <v>10106268-0024K01LF Connector,PB+VR</v>
          </cell>
          <cell r="C3523">
            <v>2.5000000000000001E-2</v>
          </cell>
          <cell r="D3523">
            <v>238</v>
          </cell>
          <cell r="E3523">
            <v>714</v>
          </cell>
          <cell r="F3523">
            <v>0.03</v>
          </cell>
        </row>
        <row r="3524">
          <cell r="A3524" t="str">
            <v>10106268-0025002LF</v>
          </cell>
          <cell r="B3524" t="str">
            <v>10106268-0025002LF Connector,PB+VR</v>
          </cell>
          <cell r="C3524">
            <v>1.4E-2</v>
          </cell>
          <cell r="D3524">
            <v>425</v>
          </cell>
          <cell r="E3524">
            <v>1275</v>
          </cell>
          <cell r="F3524">
            <v>2.8000000000000001E-2</v>
          </cell>
        </row>
        <row r="3525">
          <cell r="A3525" t="str">
            <v>10106268-0201001LF</v>
          </cell>
          <cell r="B3525" t="str">
            <v>10106268-0201001LF Connector,PB+VR</v>
          </cell>
          <cell r="C3525">
            <v>2E-3</v>
          </cell>
          <cell r="D3525">
            <v>2975</v>
          </cell>
          <cell r="E3525">
            <v>8925</v>
          </cell>
          <cell r="F3525">
            <v>1.7000000000000001E-2</v>
          </cell>
        </row>
        <row r="3526">
          <cell r="A3526" t="str">
            <v>10106268-0201K01LF</v>
          </cell>
          <cell r="B3526" t="str">
            <v>10106268-0201K01LF Connector,PB+VR</v>
          </cell>
          <cell r="C3526">
            <v>3.0000000000000001E-3</v>
          </cell>
          <cell r="D3526">
            <v>1983.3333333333333</v>
          </cell>
          <cell r="E3526">
            <v>5950</v>
          </cell>
          <cell r="F3526">
            <v>1.7999999999999999E-2</v>
          </cell>
        </row>
        <row r="3527">
          <cell r="A3527" t="str">
            <v>10106268-0201K02LF</v>
          </cell>
          <cell r="B3527" t="str">
            <v>10106268-0201K02LF Connector,PB+VR</v>
          </cell>
          <cell r="C3527">
            <v>3.0000000000000001E-3</v>
          </cell>
          <cell r="D3527">
            <v>1983.3333333333333</v>
          </cell>
          <cell r="E3527">
            <v>5950</v>
          </cell>
          <cell r="F3527">
            <v>2.5999999999999999E-2</v>
          </cell>
        </row>
        <row r="3528">
          <cell r="A3528" t="str">
            <v>10106268-0204001LF</v>
          </cell>
          <cell r="B3528" t="str">
            <v>10106268-0204001LF Connector,PB+VR</v>
          </cell>
          <cell r="C3528">
            <v>4.4000000000000003E-3</v>
          </cell>
          <cell r="D3528">
            <v>1352.2727272727273</v>
          </cell>
          <cell r="E3528">
            <v>4056.818181818182</v>
          </cell>
          <cell r="F3528">
            <v>2.1999999999999999E-2</v>
          </cell>
        </row>
        <row r="3529">
          <cell r="A3529" t="str">
            <v>10106268-0323K02LF</v>
          </cell>
          <cell r="B3529" t="str">
            <v>10106268-0323K02LF Connector,PB+VR</v>
          </cell>
          <cell r="C3529">
            <v>8.0000000000000002E-3</v>
          </cell>
          <cell r="D3529">
            <v>743.75</v>
          </cell>
          <cell r="E3529">
            <v>2231.25</v>
          </cell>
          <cell r="F3529">
            <v>4.4999999999999998E-2</v>
          </cell>
        </row>
        <row r="3530">
          <cell r="A3530" t="str">
            <v>10106268-0400003LF</v>
          </cell>
          <cell r="B3530" t="str">
            <v>10106268-0400003LF Connector,PB+VR</v>
          </cell>
          <cell r="C3530">
            <v>6.1000000000000004E-3</v>
          </cell>
          <cell r="D3530">
            <v>975.4098360655737</v>
          </cell>
          <cell r="E3530">
            <v>2926.2295081967213</v>
          </cell>
          <cell r="F3530">
            <v>2.1000000000000001E-2</v>
          </cell>
        </row>
        <row r="3531">
          <cell r="A3531" t="str">
            <v>10106268-0402002LF</v>
          </cell>
          <cell r="B3531" t="str">
            <v>10106268-0402002LF Connector,PB+VR</v>
          </cell>
          <cell r="C3531">
            <v>3.3E-3</v>
          </cell>
          <cell r="D3531">
            <v>1803.030303030303</v>
          </cell>
          <cell r="E3531">
            <v>5409.090909090909</v>
          </cell>
          <cell r="F3531">
            <v>2.3E-2</v>
          </cell>
        </row>
        <row r="3532">
          <cell r="A3532" t="str">
            <v>10106268-0402005LF</v>
          </cell>
          <cell r="B3532" t="str">
            <v>10106268-0402005LF PwrBlade+ VR STB</v>
          </cell>
          <cell r="C3532">
            <v>6.0000000000000001E-3</v>
          </cell>
          <cell r="D3532">
            <v>991.66666666666663</v>
          </cell>
          <cell r="E3532">
            <v>2975</v>
          </cell>
          <cell r="F3532">
            <v>3.5799999999999998E-2</v>
          </cell>
        </row>
        <row r="3533">
          <cell r="A3533" t="str">
            <v>10106268-0527001LF</v>
          </cell>
          <cell r="B3533" t="str">
            <v>10106268-0527001LF Connector,PB+VR</v>
          </cell>
          <cell r="C3533">
            <v>0.03</v>
          </cell>
          <cell r="D3533">
            <v>198.33333333333334</v>
          </cell>
          <cell r="E3533">
            <v>595</v>
          </cell>
          <cell r="F3533">
            <v>4.2999999999999997E-2</v>
          </cell>
        </row>
        <row r="3534">
          <cell r="A3534" t="str">
            <v>10106268-0527101LF</v>
          </cell>
          <cell r="B3534" t="str">
            <v>10106268-0527101LF PwrBlade+ VR STB</v>
          </cell>
          <cell r="C3534">
            <v>0.03</v>
          </cell>
          <cell r="D3534">
            <v>198.33333333333334</v>
          </cell>
          <cell r="E3534">
            <v>595</v>
          </cell>
          <cell r="F3534">
            <v>3.9350000000000003E-2</v>
          </cell>
        </row>
        <row r="3535">
          <cell r="A3535" t="str">
            <v>10106268-0534001LF</v>
          </cell>
          <cell r="B3535" t="str">
            <v>10106268-0534001LF Connector,PB+VR</v>
          </cell>
          <cell r="C3535">
            <v>1.0500000000000001E-2</v>
          </cell>
          <cell r="D3535">
            <v>566.66666666666663</v>
          </cell>
          <cell r="E3535">
            <v>1700</v>
          </cell>
          <cell r="F3535">
            <v>5.1999999999999998E-2</v>
          </cell>
        </row>
        <row r="3536">
          <cell r="A3536" t="str">
            <v>10106268-0600001LF</v>
          </cell>
          <cell r="B3536" t="str">
            <v>10106268-0600001LF Connector,PB+VR</v>
          </cell>
          <cell r="C3536">
            <v>6.1000000000000004E-3</v>
          </cell>
          <cell r="D3536">
            <v>975.4098360655737</v>
          </cell>
          <cell r="E3536">
            <v>2926.2295081967213</v>
          </cell>
          <cell r="F3536">
            <v>4.1000000000000002E-2</v>
          </cell>
        </row>
        <row r="3537">
          <cell r="A3537" t="str">
            <v>10106268-0608101LF</v>
          </cell>
          <cell r="B3537" t="str">
            <v>10106268-0608101LF Connector,PB+VR</v>
          </cell>
          <cell r="C3537">
            <v>8.9999999999999993E-3</v>
          </cell>
          <cell r="D3537">
            <v>661.1111111111112</v>
          </cell>
          <cell r="E3537">
            <v>1983.3333333333335</v>
          </cell>
          <cell r="F3537">
            <v>3.7999999999999999E-2</v>
          </cell>
        </row>
        <row r="3538">
          <cell r="A3538" t="str">
            <v>10106268-0804001LF</v>
          </cell>
          <cell r="B3538" t="str">
            <v>10106268-0804001LF Connector,PB+VR</v>
          </cell>
          <cell r="C3538">
            <v>4.4000000000000003E-3</v>
          </cell>
          <cell r="D3538">
            <v>1352.2727272727273</v>
          </cell>
          <cell r="E3538">
            <v>4056.818181818182</v>
          </cell>
          <cell r="F3538">
            <v>2.4E-2</v>
          </cell>
        </row>
        <row r="3539">
          <cell r="A3539" t="str">
            <v>10106268-0A00001LF</v>
          </cell>
          <cell r="B3539" t="str">
            <v>10106268-0A00001LF Connector,PB+VR</v>
          </cell>
          <cell r="C3539">
            <v>6.1000000000000004E-3</v>
          </cell>
          <cell r="D3539">
            <v>975.4098360655737</v>
          </cell>
          <cell r="E3539">
            <v>2926.2295081967213</v>
          </cell>
          <cell r="F3539">
            <v>3.5999999999999997E-2</v>
          </cell>
        </row>
        <row r="3540">
          <cell r="A3540" t="str">
            <v>10106268-0A03002LF</v>
          </cell>
          <cell r="B3540" t="str">
            <v>10106268-0A03002LF Connector,PB+VR</v>
          </cell>
          <cell r="C3540">
            <v>3.3E-3</v>
          </cell>
          <cell r="D3540">
            <v>1803.030303030303</v>
          </cell>
          <cell r="E3540">
            <v>5409.090909090909</v>
          </cell>
          <cell r="F3540">
            <v>3.1E-2</v>
          </cell>
        </row>
        <row r="3541">
          <cell r="A3541" t="str">
            <v>10106268-0B09002LF</v>
          </cell>
          <cell r="B3541" t="str">
            <v>10106268-0B09002LF Connector,PB+VR</v>
          </cell>
          <cell r="C3541">
            <v>0.01</v>
          </cell>
          <cell r="D3541">
            <v>595</v>
          </cell>
          <cell r="E3541">
            <v>1785</v>
          </cell>
          <cell r="F3541">
            <v>3.4000000000000002E-2</v>
          </cell>
        </row>
        <row r="3542">
          <cell r="A3542" t="str">
            <v>10106268-0C00001LF</v>
          </cell>
          <cell r="B3542" t="str">
            <v>10106268-0C00001LF Connector,PB+VR</v>
          </cell>
          <cell r="C3542">
            <v>6.1000000000000004E-3</v>
          </cell>
          <cell r="D3542">
            <v>975.4098360655737</v>
          </cell>
          <cell r="E3542">
            <v>2926.2295081967213</v>
          </cell>
          <cell r="F3542">
            <v>2.8000000000000001E-2</v>
          </cell>
        </row>
        <row r="3543">
          <cell r="A3543" t="str">
            <v>10106268-0E06A01LF</v>
          </cell>
          <cell r="B3543" t="str">
            <v>10106268-0E06A01LF Connector,PB+VR</v>
          </cell>
          <cell r="C3543">
            <v>6.0000000000000001E-3</v>
          </cell>
          <cell r="D3543">
            <v>991.66666666666663</v>
          </cell>
          <cell r="E3543">
            <v>2975</v>
          </cell>
          <cell r="F3543">
            <v>2.8000000000000001E-2</v>
          </cell>
        </row>
        <row r="3544">
          <cell r="A3544" t="str">
            <v>10106268-0F08005LF</v>
          </cell>
          <cell r="B3544" t="str">
            <v>10106268-0F08005LF Connector,PB+VR</v>
          </cell>
          <cell r="C3544">
            <v>7.0000000000000001E-3</v>
          </cell>
          <cell r="D3544">
            <v>850</v>
          </cell>
          <cell r="E3544">
            <v>2550</v>
          </cell>
          <cell r="F3544">
            <v>3.7999999999999999E-2</v>
          </cell>
        </row>
        <row r="3545">
          <cell r="A3545" t="str">
            <v>10106268-0G02A01LF</v>
          </cell>
          <cell r="B3545" t="str">
            <v>10106268-0G02A01LF Connector,PB+VR</v>
          </cell>
          <cell r="C3545">
            <v>3.3E-3</v>
          </cell>
          <cell r="D3545">
            <v>1803.030303030303</v>
          </cell>
          <cell r="E3545">
            <v>5409.090909090909</v>
          </cell>
          <cell r="F3545">
            <v>2.8000000000000001E-2</v>
          </cell>
        </row>
        <row r="3546">
          <cell r="A3546" t="str">
            <v>10106268-0H15001LF</v>
          </cell>
          <cell r="B3546" t="str">
            <v>10106268-0H15001LF Connector,PB+VR</v>
          </cell>
          <cell r="C3546">
            <v>1.7999999999999999E-2</v>
          </cell>
          <cell r="D3546">
            <v>330.5555555555556</v>
          </cell>
          <cell r="E3546">
            <v>991.66666666666674</v>
          </cell>
          <cell r="F3546">
            <v>4.2000000000000003E-2</v>
          </cell>
        </row>
        <row r="3547">
          <cell r="A3547" t="str">
            <v>10106268-0R02K01LF</v>
          </cell>
          <cell r="B3547" t="str">
            <v>10106268-0R02K01LF Connector,PB+VR</v>
          </cell>
          <cell r="C3547">
            <v>3.0000000000000001E-3</v>
          </cell>
          <cell r="D3547">
            <v>1983.3333333333333</v>
          </cell>
          <cell r="E3547">
            <v>5950</v>
          </cell>
          <cell r="F3547">
            <v>2.8000000000000001E-2</v>
          </cell>
        </row>
        <row r="3548">
          <cell r="A3548" t="str">
            <v>10106268-1C03001LF</v>
          </cell>
          <cell r="B3548" t="str">
            <v>10106268-1C03001LF Connector,PB+VR</v>
          </cell>
          <cell r="C3548">
            <v>3.3E-3</v>
          </cell>
          <cell r="D3548">
            <v>1803.030303030303</v>
          </cell>
          <cell r="E3548">
            <v>5409.090909090909</v>
          </cell>
          <cell r="F3548">
            <v>3.2000000000000001E-2</v>
          </cell>
        </row>
        <row r="3549">
          <cell r="A3549" t="str">
            <v>10106268-2001002LF</v>
          </cell>
          <cell r="B3549" t="str">
            <v>10106268-2001002LF PwrBlade+ VR STB</v>
          </cell>
          <cell r="C3549">
            <v>3.3E-3</v>
          </cell>
          <cell r="D3549">
            <v>1803.030303030303</v>
          </cell>
          <cell r="E3549">
            <v>5409.090909090909</v>
          </cell>
          <cell r="F3549">
            <v>3.3000000000000002E-2</v>
          </cell>
        </row>
        <row r="3550">
          <cell r="A3550" t="str">
            <v>10106268-2001003LF</v>
          </cell>
          <cell r="B3550" t="str">
            <v>10106268-2001003LF Connector,PB+VR</v>
          </cell>
          <cell r="C3550">
            <v>3.0000000000000001E-3</v>
          </cell>
          <cell r="D3550">
            <v>1983.3333333333333</v>
          </cell>
          <cell r="E3550">
            <v>5950</v>
          </cell>
          <cell r="F3550">
            <v>2.1000000000000001E-2</v>
          </cell>
        </row>
        <row r="3551">
          <cell r="A3551" t="str">
            <v>10106268-2001501LF</v>
          </cell>
          <cell r="B3551" t="str">
            <v>10106268-2001501LF Connector,PB+VR</v>
          </cell>
          <cell r="C3551">
            <v>2.2000000000000001E-3</v>
          </cell>
          <cell r="D3551">
            <v>2704.5454545454545</v>
          </cell>
          <cell r="E3551">
            <v>8113.636363636364</v>
          </cell>
          <cell r="F3551">
            <v>2.5000000000000001E-2</v>
          </cell>
        </row>
        <row r="3552">
          <cell r="A3552" t="str">
            <v>10106268-2002001LF</v>
          </cell>
          <cell r="B3552" t="str">
            <v>10106268-2002001LF Connector,PB+VR</v>
          </cell>
          <cell r="C3552">
            <v>3.3E-3</v>
          </cell>
          <cell r="D3552">
            <v>1803.030303030303</v>
          </cell>
          <cell r="E3552">
            <v>5409.090909090909</v>
          </cell>
          <cell r="F3552">
            <v>3.1E-2</v>
          </cell>
        </row>
        <row r="3553">
          <cell r="A3553" t="str">
            <v>10106268-2002005LF</v>
          </cell>
          <cell r="B3553" t="str">
            <v>10106268-2002005LF PwrBlade+ VR STB</v>
          </cell>
          <cell r="C3553">
            <v>3.0000000000000001E-3</v>
          </cell>
          <cell r="D3553">
            <v>1983.3333333333333</v>
          </cell>
          <cell r="E3553">
            <v>5950</v>
          </cell>
          <cell r="F3553">
            <v>2.5000000000000001E-2</v>
          </cell>
        </row>
        <row r="3554">
          <cell r="A3554" t="str">
            <v>10106268-2002008LF</v>
          </cell>
          <cell r="B3554" t="str">
            <v>10106268-2002008LF Connector,PB+VR</v>
          </cell>
          <cell r="C3554">
            <v>4.0000000000000001E-3</v>
          </cell>
          <cell r="D3554">
            <v>1487.5</v>
          </cell>
          <cell r="E3554">
            <v>4462.5</v>
          </cell>
          <cell r="F3554">
            <v>3.5000000000000003E-2</v>
          </cell>
        </row>
        <row r="3555">
          <cell r="A3555" t="str">
            <v>10106268-2003002LF</v>
          </cell>
          <cell r="B3555" t="str">
            <v>10106268-2003002LF Connector,PB+VR</v>
          </cell>
          <cell r="C3555">
            <v>3.3E-3</v>
          </cell>
          <cell r="D3555">
            <v>1803.030303030303</v>
          </cell>
          <cell r="E3555">
            <v>5409.090909090909</v>
          </cell>
          <cell r="F3555">
            <v>2.5999999999999999E-2</v>
          </cell>
        </row>
        <row r="3556">
          <cell r="A3556" t="str">
            <v>10106268-2301K01LF</v>
          </cell>
          <cell r="B3556" t="str">
            <v>10106268-2301K01LF Connector,PB+VR</v>
          </cell>
          <cell r="C3556">
            <v>3.0000000000000001E-3</v>
          </cell>
          <cell r="D3556">
            <v>1983.3333333333333</v>
          </cell>
          <cell r="E3556">
            <v>5950</v>
          </cell>
          <cell r="F3556">
            <v>2.3E-2</v>
          </cell>
        </row>
        <row r="3557">
          <cell r="A3557" t="str">
            <v>10106268-2403001LF</v>
          </cell>
          <cell r="B3557" t="str">
            <v>10106268-2403001LF Connector,PB+VR</v>
          </cell>
          <cell r="C3557">
            <v>4.4000000000000003E-3</v>
          </cell>
          <cell r="D3557">
            <v>1352.2727272727273</v>
          </cell>
          <cell r="E3557">
            <v>4056.818181818182</v>
          </cell>
          <cell r="F3557">
            <v>2.1999999999999999E-2</v>
          </cell>
        </row>
        <row r="3558">
          <cell r="A3558" t="str">
            <v>10106268-2600001LF</v>
          </cell>
          <cell r="B3558" t="str">
            <v>10106268-2600001LF Connector,PB+VR</v>
          </cell>
          <cell r="C3558">
            <v>6.1000000000000004E-3</v>
          </cell>
          <cell r="D3558">
            <v>975.4098360655737</v>
          </cell>
          <cell r="E3558">
            <v>2926.2295081967213</v>
          </cell>
          <cell r="F3558">
            <v>3.3000000000000002E-2</v>
          </cell>
        </row>
        <row r="3559">
          <cell r="A3559" t="str">
            <v>10106268-2600003LF</v>
          </cell>
          <cell r="B3559" t="str">
            <v>10106268-2600003LF Connector,PB+VR</v>
          </cell>
          <cell r="C3559">
            <v>6.1000000000000004E-3</v>
          </cell>
          <cell r="D3559">
            <v>975.4098360655737</v>
          </cell>
          <cell r="E3559">
            <v>2926.2295081967213</v>
          </cell>
          <cell r="F3559">
            <v>3.2000000000000001E-2</v>
          </cell>
        </row>
        <row r="3560">
          <cell r="A3560" t="str">
            <v>10106268-3019001LF</v>
          </cell>
          <cell r="B3560" t="str">
            <v>10106268-3019001LF PwrBlade+ VR STB</v>
          </cell>
          <cell r="C3560">
            <v>0.02</v>
          </cell>
          <cell r="D3560">
            <v>297.5</v>
          </cell>
          <cell r="E3560">
            <v>892.5</v>
          </cell>
          <cell r="F3560">
            <v>1.504E-2</v>
          </cell>
        </row>
        <row r="3561">
          <cell r="A3561" t="str">
            <v>10106268-3037K01LF</v>
          </cell>
          <cell r="B3561" t="str">
            <v>10106268-3037K01LF Connector,PB+VR</v>
          </cell>
          <cell r="C3561">
            <v>3.4000000000000002E-2</v>
          </cell>
          <cell r="D3561">
            <v>175</v>
          </cell>
          <cell r="E3561">
            <v>525</v>
          </cell>
          <cell r="F3561">
            <v>3.1E-2</v>
          </cell>
        </row>
        <row r="3562">
          <cell r="A3562" t="str">
            <v>10106268-3606001LF</v>
          </cell>
          <cell r="B3562" t="str">
            <v>10106268-3606001LF Connector,PB+VR</v>
          </cell>
          <cell r="C3562">
            <v>6.7000000000000002E-3</v>
          </cell>
          <cell r="D3562">
            <v>888.05970149253733</v>
          </cell>
          <cell r="E3562">
            <v>2664.1791044776119</v>
          </cell>
          <cell r="F3562">
            <v>4.5999999999999999E-2</v>
          </cell>
        </row>
        <row r="3563">
          <cell r="A3563" t="str">
            <v>10106268-4508003LF</v>
          </cell>
          <cell r="B3563" t="str">
            <v>10106268-4508003LF Connector,PB+VR</v>
          </cell>
          <cell r="C3563">
            <v>4.4000000000000003E-3</v>
          </cell>
          <cell r="D3563">
            <v>1352.2727272727273</v>
          </cell>
          <cell r="E3563">
            <v>4056.818181818182</v>
          </cell>
          <cell r="F3563">
            <v>3.2000000000000001E-2</v>
          </cell>
        </row>
        <row r="3564">
          <cell r="A3564" t="str">
            <v>10106268-4A05K01LF</v>
          </cell>
          <cell r="B3564" t="str">
            <v>10106268-4A05K01LF Connector,PB+VR</v>
          </cell>
          <cell r="C3564">
            <v>5.0000000000000001E-3</v>
          </cell>
          <cell r="D3564">
            <v>1190</v>
          </cell>
          <cell r="E3564">
            <v>3570</v>
          </cell>
          <cell r="F3564">
            <v>3.5000000000000003E-2</v>
          </cell>
        </row>
        <row r="3565">
          <cell r="A3565" t="str">
            <v>10106268-4A06001LF</v>
          </cell>
          <cell r="B3565" t="str">
            <v>10106268-4A06001LF PwrBlade+ VR PF</v>
          </cell>
          <cell r="C3565">
            <v>7.0000000000000001E-3</v>
          </cell>
          <cell r="D3565">
            <v>850</v>
          </cell>
          <cell r="E3565">
            <v>2550</v>
          </cell>
          <cell r="F3565">
            <v>2.9000000000000001E-2</v>
          </cell>
        </row>
        <row r="3566">
          <cell r="A3566" t="str">
            <v>10106268-5206001LF</v>
          </cell>
          <cell r="B3566" t="str">
            <v>10106268-5206001LF Connector,PB+VR</v>
          </cell>
          <cell r="C3566">
            <v>5.0000000000000001E-3</v>
          </cell>
          <cell r="D3566">
            <v>1190</v>
          </cell>
          <cell r="E3566">
            <v>3570</v>
          </cell>
          <cell r="F3566">
            <v>3.2000000000000001E-2</v>
          </cell>
        </row>
        <row r="3567">
          <cell r="A3567" t="str">
            <v>10106268-6000401LF</v>
          </cell>
          <cell r="B3567" t="str">
            <v>10106268-6000401LF Connector,PB+VR</v>
          </cell>
          <cell r="C3567">
            <v>6.1000000000000004E-3</v>
          </cell>
          <cell r="D3567">
            <v>975.4098360655737</v>
          </cell>
          <cell r="E3567">
            <v>2926.2295081967213</v>
          </cell>
          <cell r="F3567">
            <v>3.1E-2</v>
          </cell>
        </row>
        <row r="3568">
          <cell r="A3568" t="str">
            <v>10106268-6000A01LF</v>
          </cell>
          <cell r="B3568" t="str">
            <v>10106268-6000A01LF Connector,PB+VR</v>
          </cell>
          <cell r="C3568">
            <v>6.1000000000000004E-3</v>
          </cell>
          <cell r="D3568">
            <v>975.4098360655737</v>
          </cell>
          <cell r="E3568">
            <v>2926.2295081967213</v>
          </cell>
          <cell r="F3568">
            <v>3.2000000000000001E-2</v>
          </cell>
        </row>
        <row r="3569">
          <cell r="A3569" t="str">
            <v>10106268-6001001LF</v>
          </cell>
          <cell r="B3569" t="str">
            <v>10106268-6001001LF Connector,PB+VR</v>
          </cell>
          <cell r="C3569">
            <v>3.3E-3</v>
          </cell>
          <cell r="D3569">
            <v>1803.030303030303</v>
          </cell>
          <cell r="E3569">
            <v>5409.090909090909</v>
          </cell>
          <cell r="F3569">
            <v>2.1000000000000001E-2</v>
          </cell>
        </row>
        <row r="3570">
          <cell r="A3570" t="str">
            <v>10106268-6003001LF</v>
          </cell>
          <cell r="B3570" t="str">
            <v>10106268-6003001LF Connector,PB+VR</v>
          </cell>
          <cell r="C3570">
            <v>3.3E-3</v>
          </cell>
          <cell r="D3570">
            <v>1803.030303030303</v>
          </cell>
          <cell r="E3570">
            <v>5409.090909090909</v>
          </cell>
          <cell r="F3570">
            <v>2.5000000000000001E-2</v>
          </cell>
        </row>
        <row r="3571">
          <cell r="A3571" t="str">
            <v>10106268-6003501LF</v>
          </cell>
          <cell r="B3571" t="str">
            <v>10106268-6003501LF Connector,PB+VR</v>
          </cell>
          <cell r="C3571">
            <v>3.3E-3</v>
          </cell>
          <cell r="D3571">
            <v>1803.030303030303</v>
          </cell>
          <cell r="E3571">
            <v>5409.090909090909</v>
          </cell>
          <cell r="F3571">
            <v>3.5000000000000003E-2</v>
          </cell>
        </row>
        <row r="3572">
          <cell r="A3572" t="str">
            <v>10106268-6003A01LF</v>
          </cell>
          <cell r="B3572" t="str">
            <v>10106268-6003A01LF Connector,PB+VR</v>
          </cell>
          <cell r="C3572">
            <v>4.4000000000000003E-3</v>
          </cell>
          <cell r="D3572">
            <v>1352.2727272727273</v>
          </cell>
          <cell r="E3572">
            <v>4056.818181818182</v>
          </cell>
          <cell r="F3572">
            <v>2.9000000000000001E-2</v>
          </cell>
        </row>
        <row r="3573">
          <cell r="A3573" t="str">
            <v>10106268-6005A01LF</v>
          </cell>
          <cell r="B3573" t="str">
            <v>10106268-6005A01LF Connector,PB+VR</v>
          </cell>
          <cell r="C3573">
            <v>4.4000000000000003E-3</v>
          </cell>
          <cell r="D3573">
            <v>1352.2727272727273</v>
          </cell>
          <cell r="E3573">
            <v>4056.818181818182</v>
          </cell>
          <cell r="F3573">
            <v>2.8000000000000001E-2</v>
          </cell>
        </row>
        <row r="3574">
          <cell r="A3574" t="str">
            <v>10106268-6010K01LF</v>
          </cell>
          <cell r="B3574" t="str">
            <v>10106268-6010K01LF Connector,PB+VR</v>
          </cell>
          <cell r="C3574">
            <v>8.0000000000000002E-3</v>
          </cell>
          <cell r="D3574">
            <v>743.75</v>
          </cell>
          <cell r="E3574">
            <v>2231.25</v>
          </cell>
          <cell r="F3574">
            <v>2.9000000000000001E-2</v>
          </cell>
        </row>
        <row r="3575">
          <cell r="A3575" t="str">
            <v>10106268-6706001LF</v>
          </cell>
          <cell r="B3575" t="str">
            <v>10106268-6706001LF PwrBlade+ VR STB</v>
          </cell>
          <cell r="C3575">
            <v>2.1000000000000001E-2</v>
          </cell>
          <cell r="D3575">
            <v>283.33333333333331</v>
          </cell>
          <cell r="E3575">
            <v>850</v>
          </cell>
          <cell r="F3575">
            <v>3.2899999999999999E-2</v>
          </cell>
        </row>
        <row r="3576">
          <cell r="A3576" t="str">
            <v>10106268-7003001LF</v>
          </cell>
          <cell r="B3576" t="str">
            <v>10106268-7003001LF PwrBlade+ VR STB</v>
          </cell>
          <cell r="C3576">
            <v>1.0999999999999999E-2</v>
          </cell>
          <cell r="D3576">
            <v>540.90909090909099</v>
          </cell>
          <cell r="E3576">
            <v>1622.727272727273</v>
          </cell>
          <cell r="F3576">
            <v>4.2999999999999997E-2</v>
          </cell>
        </row>
        <row r="3577">
          <cell r="A3577" t="str">
            <v>10106268-7005001LF</v>
          </cell>
          <cell r="B3577" t="str">
            <v>10106268-7005001LF Connector,PB+VR</v>
          </cell>
          <cell r="C3577">
            <v>5.4999999999999997E-3</v>
          </cell>
          <cell r="D3577">
            <v>1081.818181818182</v>
          </cell>
          <cell r="E3577">
            <v>3245.454545454546</v>
          </cell>
          <cell r="F3577">
            <v>2.3E-2</v>
          </cell>
        </row>
        <row r="3578">
          <cell r="A3578" t="str">
            <v>10106268-7013K01LF</v>
          </cell>
          <cell r="B3578" t="str">
            <v>10106268-7013K01LF Connector,PB+VR</v>
          </cell>
          <cell r="C3578">
            <v>8.9999999999999993E-3</v>
          </cell>
          <cell r="D3578">
            <v>661.1111111111112</v>
          </cell>
          <cell r="E3578">
            <v>1983.3333333333335</v>
          </cell>
          <cell r="F3578">
            <v>3.1E-2</v>
          </cell>
        </row>
        <row r="3579">
          <cell r="A3579" t="str">
            <v>10106268-8000001LF</v>
          </cell>
          <cell r="B3579" t="str">
            <v>10106268-8000001LF PwrBlade+ VR STB</v>
          </cell>
          <cell r="C3579">
            <v>6.1000000000000004E-3</v>
          </cell>
          <cell r="D3579">
            <v>975.4098360655737</v>
          </cell>
          <cell r="E3579">
            <v>2926.2295081967213</v>
          </cell>
          <cell r="F3579">
            <v>2.8000000000000001E-2</v>
          </cell>
        </row>
        <row r="3580">
          <cell r="A3580" t="str">
            <v>10106268-8004001LF</v>
          </cell>
          <cell r="B3580" t="str">
            <v>10106268-8004001LF Connector,PB+VR</v>
          </cell>
          <cell r="C3580">
            <v>4.4000000000000003E-3</v>
          </cell>
          <cell r="D3580">
            <v>1352.2727272727273</v>
          </cell>
          <cell r="E3580">
            <v>4056.818181818182</v>
          </cell>
          <cell r="F3580">
            <v>3.4000000000000002E-2</v>
          </cell>
        </row>
        <row r="3581">
          <cell r="A3581" t="str">
            <v>10106268-8004002LF</v>
          </cell>
          <cell r="B3581" t="str">
            <v>10106268-8004002LF Connector,PB+VR</v>
          </cell>
          <cell r="C3581">
            <v>4.4000000000000003E-3</v>
          </cell>
          <cell r="D3581">
            <v>1352.2727272727273</v>
          </cell>
          <cell r="E3581">
            <v>4056.818181818182</v>
          </cell>
          <cell r="F3581">
            <v>2.5000000000000001E-2</v>
          </cell>
        </row>
        <row r="3582">
          <cell r="A3582" t="str">
            <v>10106268-8004004LF</v>
          </cell>
          <cell r="B3582" t="str">
            <v>10106268-8004004LF Connector,PB+VR</v>
          </cell>
          <cell r="C3582">
            <v>4.4000000000000003E-3</v>
          </cell>
          <cell r="D3582">
            <v>1352.2727272727273</v>
          </cell>
          <cell r="E3582">
            <v>4056.818181818182</v>
          </cell>
          <cell r="F3582">
            <v>3.2000000000000001E-2</v>
          </cell>
        </row>
        <row r="3583">
          <cell r="A3583" t="str">
            <v>10106268-8004005LF</v>
          </cell>
          <cell r="B3583" t="str">
            <v>10106268-8004005LF Connector,PB+VR</v>
          </cell>
          <cell r="C3583">
            <v>3.3E-3</v>
          </cell>
          <cell r="D3583">
            <v>1803.030303030303</v>
          </cell>
          <cell r="E3583">
            <v>5409.090909090909</v>
          </cell>
          <cell r="F3583">
            <v>3.0200000000000001E-2</v>
          </cell>
        </row>
        <row r="3584">
          <cell r="A3584" t="str">
            <v>10106268-8005001LF</v>
          </cell>
          <cell r="B3584" t="str">
            <v>10106268-8005001LF Connector,PB+VR</v>
          </cell>
          <cell r="C3584">
            <v>4.0000000000000001E-3</v>
          </cell>
          <cell r="D3584">
            <v>1487.5</v>
          </cell>
          <cell r="E3584">
            <v>4462.5</v>
          </cell>
          <cell r="F3584">
            <v>3.5000000000000003E-2</v>
          </cell>
        </row>
        <row r="3585">
          <cell r="A3585" t="str">
            <v>10106268-8005401LF</v>
          </cell>
          <cell r="B3585" t="str">
            <v>10106268-8005401LF Connector,PB+VR</v>
          </cell>
          <cell r="C3585">
            <v>5.0000000000000001E-3</v>
          </cell>
          <cell r="D3585">
            <v>1190</v>
          </cell>
          <cell r="E3585">
            <v>3570</v>
          </cell>
          <cell r="F3585">
            <v>2.8000000000000001E-2</v>
          </cell>
        </row>
        <row r="3586">
          <cell r="A3586" t="str">
            <v>10106268-9005001LF</v>
          </cell>
          <cell r="B3586" t="str">
            <v>10106268-9005001LF PwrBlade+ VR STB</v>
          </cell>
          <cell r="C3586">
            <v>5.4999999999999997E-3</v>
          </cell>
          <cell r="D3586">
            <v>1081.818181818182</v>
          </cell>
          <cell r="E3586">
            <v>3245.454545454546</v>
          </cell>
          <cell r="F3586">
            <v>2.9499999999999998E-2</v>
          </cell>
        </row>
        <row r="3587">
          <cell r="A3587" t="str">
            <v>10106268-9016K01LF</v>
          </cell>
          <cell r="B3587" t="str">
            <v>10106268-9016K01LF Connector,PB+VR</v>
          </cell>
          <cell r="C3587">
            <v>1.2E-2</v>
          </cell>
          <cell r="D3587">
            <v>495.83333333333331</v>
          </cell>
          <cell r="E3587">
            <v>1487.5</v>
          </cell>
          <cell r="F3587">
            <v>3.5000000000000003E-2</v>
          </cell>
        </row>
        <row r="3588">
          <cell r="A3588" t="str">
            <v>10106268-9203001LF</v>
          </cell>
          <cell r="B3588" t="str">
            <v>10106268-9203001LF Connector,PB+VR</v>
          </cell>
          <cell r="C3588">
            <v>3.3E-3</v>
          </cell>
          <cell r="D3588">
            <v>1803.030303030303</v>
          </cell>
          <cell r="E3588">
            <v>5409.090909090909</v>
          </cell>
          <cell r="F3588">
            <v>2.8000000000000001E-2</v>
          </cell>
        </row>
        <row r="3589">
          <cell r="A3589" t="str">
            <v>10106268-A001001LF</v>
          </cell>
          <cell r="B3589" t="str">
            <v>10106268-A001001LF PwrBlade+ VR STB</v>
          </cell>
          <cell r="C3589">
            <v>3.0000000000000001E-3</v>
          </cell>
          <cell r="D3589">
            <v>1983.3333333333333</v>
          </cell>
          <cell r="E3589">
            <v>5950</v>
          </cell>
          <cell r="F3589">
            <v>3.1E-2</v>
          </cell>
        </row>
        <row r="3590">
          <cell r="A3590" t="str">
            <v>10106268-A203001LF</v>
          </cell>
          <cell r="B3590" t="str">
            <v>10106268-A203001LF Connector,PB+VR</v>
          </cell>
          <cell r="C3590">
            <v>3.3E-3</v>
          </cell>
          <cell r="D3590">
            <v>1803.030303030303</v>
          </cell>
          <cell r="E3590">
            <v>5409.090909090909</v>
          </cell>
          <cell r="F3590">
            <v>2.5999999999999999E-2</v>
          </cell>
        </row>
        <row r="3591">
          <cell r="A3591" t="str">
            <v>10106268-B003001LF</v>
          </cell>
          <cell r="B3591" t="str">
            <v>10106268-B003001LF Connector,PB+VR</v>
          </cell>
          <cell r="C3591">
            <v>3.3E-3</v>
          </cell>
          <cell r="D3591">
            <v>1803.030303030303</v>
          </cell>
          <cell r="E3591">
            <v>5409.090909090909</v>
          </cell>
          <cell r="F3591">
            <v>2.4E-2</v>
          </cell>
        </row>
        <row r="3592">
          <cell r="A3592" t="str">
            <v>10106268-B006001LF</v>
          </cell>
          <cell r="B3592" t="str">
            <v>10106268-B006001LF Connector,PB+VR</v>
          </cell>
          <cell r="C3592">
            <v>6.0000000000000001E-3</v>
          </cell>
          <cell r="D3592">
            <v>991.66666666666663</v>
          </cell>
          <cell r="E3592">
            <v>2975</v>
          </cell>
          <cell r="F3592">
            <v>3.5000000000000003E-2</v>
          </cell>
        </row>
        <row r="3593">
          <cell r="A3593" t="str">
            <v>10106268-B016002LF</v>
          </cell>
          <cell r="B3593" t="str">
            <v>10106268-B016002LF Connector,PB+VR</v>
          </cell>
          <cell r="C3593">
            <v>2.8000000000000001E-2</v>
          </cell>
          <cell r="D3593">
            <v>212.5</v>
          </cell>
          <cell r="E3593">
            <v>637.5</v>
          </cell>
          <cell r="F3593">
            <v>5.2999999999999999E-2</v>
          </cell>
        </row>
        <row r="3594">
          <cell r="A3594" t="str">
            <v>10106268-B016003LF</v>
          </cell>
          <cell r="B3594" t="str">
            <v>10106268-B016003LF Connector,PB+VR</v>
          </cell>
          <cell r="C3594">
            <v>2.1999999999999999E-2</v>
          </cell>
          <cell r="D3594">
            <v>270.4545454545455</v>
          </cell>
          <cell r="E3594">
            <v>811.36363636363649</v>
          </cell>
          <cell r="F3594">
            <v>3.2000000000000001E-2</v>
          </cell>
        </row>
        <row r="3595">
          <cell r="A3595" t="str">
            <v>10106268-C014K01LF</v>
          </cell>
          <cell r="B3595" t="str">
            <v>10106268-C014K01LF Connector,PB+VR</v>
          </cell>
          <cell r="C3595">
            <v>1.7000000000000001E-2</v>
          </cell>
          <cell r="D3595">
            <v>350</v>
          </cell>
          <cell r="E3595">
            <v>1050</v>
          </cell>
          <cell r="F3595">
            <v>4.7E-2</v>
          </cell>
        </row>
        <row r="3596">
          <cell r="A3596" t="str">
            <v>10106268-D004001LF</v>
          </cell>
          <cell r="B3596" t="str">
            <v>10106268-D004001LF Connector,PB+VR</v>
          </cell>
          <cell r="C3596">
            <v>3.3E-3</v>
          </cell>
          <cell r="D3596">
            <v>1803.030303030303</v>
          </cell>
          <cell r="E3596">
            <v>5409.090909090909</v>
          </cell>
          <cell r="F3596">
            <v>3.7999999999999999E-2</v>
          </cell>
        </row>
        <row r="3597">
          <cell r="A3597" t="str">
            <v>10106268-E001001LF</v>
          </cell>
          <cell r="B3597" t="str">
            <v>10106268-E001001LF Connector,PB+VR</v>
          </cell>
          <cell r="C3597">
            <v>4.0000000000000001E-3</v>
          </cell>
          <cell r="D3597">
            <v>1487.5</v>
          </cell>
          <cell r="E3597">
            <v>4462.5</v>
          </cell>
          <cell r="F3597">
            <v>3.7999999999999999E-2</v>
          </cell>
        </row>
        <row r="3598">
          <cell r="A3598" t="str">
            <v>10106268-F012001LF</v>
          </cell>
          <cell r="B3598" t="str">
            <v>10106268-F012001LF Connector,PB+VR</v>
          </cell>
          <cell r="C3598">
            <v>1.2999999999999999E-2</v>
          </cell>
          <cell r="D3598">
            <v>457.69230769230774</v>
          </cell>
          <cell r="E3598">
            <v>1373.0769230769233</v>
          </cell>
          <cell r="F3598">
            <v>4.7E-2</v>
          </cell>
        </row>
        <row r="3599">
          <cell r="A3599" t="str">
            <v>10106268-F024001LF</v>
          </cell>
          <cell r="B3599" t="str">
            <v>10106268-F024001LF Connector,PB+VR</v>
          </cell>
          <cell r="C3599">
            <v>2.5999999999999999E-2</v>
          </cell>
          <cell r="D3599">
            <v>228.84615384615387</v>
          </cell>
          <cell r="E3599">
            <v>686.53846153846166</v>
          </cell>
          <cell r="F3599">
            <v>5.6000000000000001E-2</v>
          </cell>
        </row>
        <row r="3600">
          <cell r="A3600" t="str">
            <v>10106268-T006001LF</v>
          </cell>
          <cell r="B3600" t="str">
            <v>10106268-T006001LF PwrBlade+ VR STB</v>
          </cell>
          <cell r="C3600">
            <v>6.7000000000000002E-3</v>
          </cell>
          <cell r="D3600">
            <v>888.05970149253733</v>
          </cell>
          <cell r="E3600">
            <v>2664.1791044776119</v>
          </cell>
          <cell r="F3600">
            <v>5.1700000000000003E-2</v>
          </cell>
        </row>
        <row r="3601">
          <cell r="A3601" t="str">
            <v>10106269-0004001LF</v>
          </cell>
          <cell r="B3601" t="str">
            <v>10106269-0004001LF Connector,PB+VR</v>
          </cell>
          <cell r="C3601">
            <v>1.4E-2</v>
          </cell>
          <cell r="D3601">
            <v>425</v>
          </cell>
          <cell r="E3601">
            <v>1275</v>
          </cell>
          <cell r="F3601">
            <v>1.9900000000000001E-2</v>
          </cell>
        </row>
        <row r="3602">
          <cell r="A3602" t="str">
            <v>10106269-0006401LF</v>
          </cell>
          <cell r="B3602" t="str">
            <v>10106269-0006401LF PwrBlade+ VR PF</v>
          </cell>
          <cell r="C3602">
            <v>8.0000000000000002E-3</v>
          </cell>
          <cell r="D3602">
            <v>743.75</v>
          </cell>
          <cell r="E3602">
            <v>2231.25</v>
          </cell>
          <cell r="F3602">
            <v>2.1000000000000001E-2</v>
          </cell>
        </row>
        <row r="3603">
          <cell r="A3603" t="str">
            <v>10106269-0008001LF</v>
          </cell>
          <cell r="B3603" t="str">
            <v>10106269-0008001LF Connector,PB+VR</v>
          </cell>
          <cell r="C3603">
            <v>8.8999999999999999E-3</v>
          </cell>
          <cell r="D3603">
            <v>668.5393258426966</v>
          </cell>
          <cell r="E3603">
            <v>2005.6179775280898</v>
          </cell>
          <cell r="F3603">
            <v>2.1999999999999999E-2</v>
          </cell>
        </row>
        <row r="3604">
          <cell r="A3604" t="str">
            <v>10106269-0008002LF</v>
          </cell>
          <cell r="B3604" t="str">
            <v>10106269-0008002LF Connector,PB+VR</v>
          </cell>
          <cell r="C3604">
            <v>8.0000000000000002E-3</v>
          </cell>
          <cell r="D3604">
            <v>743.75</v>
          </cell>
          <cell r="E3604">
            <v>2231.25</v>
          </cell>
          <cell r="F3604">
            <v>2.5999999999999999E-2</v>
          </cell>
        </row>
        <row r="3605">
          <cell r="A3605" t="str">
            <v>10106269-0024001LF</v>
          </cell>
          <cell r="B3605" t="str">
            <v>10106269-0024001LF PwrBlade+ VR PF</v>
          </cell>
          <cell r="C3605">
            <v>0.02</v>
          </cell>
          <cell r="D3605">
            <v>297.5</v>
          </cell>
          <cell r="E3605">
            <v>892.5</v>
          </cell>
          <cell r="F3605">
            <v>2.1000000000000001E-2</v>
          </cell>
        </row>
        <row r="3606">
          <cell r="A3606" t="str">
            <v>10106269-0037001LF</v>
          </cell>
          <cell r="B3606" t="str">
            <v>10106269-0037001LF PwrBlade+ VR PF</v>
          </cell>
          <cell r="C3606">
            <v>4.2000000000000003E-2</v>
          </cell>
          <cell r="D3606">
            <v>141.66666666666666</v>
          </cell>
          <cell r="E3606">
            <v>425</v>
          </cell>
          <cell r="F3606">
            <v>2.8000000000000001E-2</v>
          </cell>
        </row>
        <row r="3607">
          <cell r="A3607" t="str">
            <v>10106269-0038001LF</v>
          </cell>
          <cell r="B3607" t="str">
            <v>10106269-0038001LF Connector,PB+VR</v>
          </cell>
          <cell r="C3607">
            <v>1.7999999999999999E-2</v>
          </cell>
          <cell r="D3607">
            <v>330.5555555555556</v>
          </cell>
          <cell r="E3607">
            <v>991.66666666666674</v>
          </cell>
          <cell r="F3607">
            <v>4.4999999999999998E-2</v>
          </cell>
        </row>
        <row r="3608">
          <cell r="A3608" t="str">
            <v>10106269-0201001LF</v>
          </cell>
          <cell r="B3608" t="str">
            <v>10106269-0201001LF Connector,PB+VR</v>
          </cell>
          <cell r="C3608">
            <v>2.5000000000000001E-3</v>
          </cell>
          <cell r="D3608">
            <v>2380</v>
          </cell>
          <cell r="E3608">
            <v>7140</v>
          </cell>
          <cell r="F3608">
            <v>1.7000000000000001E-2</v>
          </cell>
        </row>
        <row r="3609">
          <cell r="A3609" t="str">
            <v>10106269-0202001LF</v>
          </cell>
          <cell r="B3609" t="str">
            <v>10106269-0202001LF Connector,PB+VR</v>
          </cell>
          <cell r="C3609">
            <v>2.2000000000000001E-3</v>
          </cell>
          <cell r="D3609">
            <v>2704.5454545454545</v>
          </cell>
          <cell r="E3609">
            <v>8113.636363636364</v>
          </cell>
          <cell r="F3609">
            <v>2.1000000000000001E-2</v>
          </cell>
        </row>
        <row r="3610">
          <cell r="A3610" t="str">
            <v>10106269-0202003LF</v>
          </cell>
          <cell r="B3610" t="str">
            <v>10106269-0202003LF Connector,PB+VR</v>
          </cell>
          <cell r="C3610">
            <v>3.3E-3</v>
          </cell>
          <cell r="D3610">
            <v>1803.030303030303</v>
          </cell>
          <cell r="E3610">
            <v>5409.090909090909</v>
          </cell>
          <cell r="F3610">
            <v>2.8000000000000001E-2</v>
          </cell>
        </row>
        <row r="3611">
          <cell r="A3611" t="str">
            <v>10106269-0203001LF</v>
          </cell>
          <cell r="B3611" t="str">
            <v>10106269-0203001LF PwrBlade+ VR PF</v>
          </cell>
          <cell r="C3611">
            <v>2.3999999999999998E-3</v>
          </cell>
          <cell r="D3611">
            <v>2479.166666666667</v>
          </cell>
          <cell r="E3611">
            <v>7437.5000000000009</v>
          </cell>
          <cell r="F3611">
            <v>2.3E-2</v>
          </cell>
        </row>
        <row r="3612">
          <cell r="A3612" t="str">
            <v>10106269-0203002LF</v>
          </cell>
          <cell r="B3612" t="str">
            <v>10106269-0203002LF Connector,PB+VR</v>
          </cell>
          <cell r="C3612">
            <v>4.0000000000000001E-3</v>
          </cell>
          <cell r="D3612">
            <v>1487.5</v>
          </cell>
          <cell r="E3612">
            <v>4462.5</v>
          </cell>
          <cell r="F3612">
            <v>2.5000000000000001E-2</v>
          </cell>
        </row>
        <row r="3613">
          <cell r="A3613" t="str">
            <v>10106269-0203003LF</v>
          </cell>
          <cell r="B3613" t="str">
            <v>10106269-0203003LF Connector,PB+VR</v>
          </cell>
          <cell r="C3613">
            <v>4.4000000000000003E-3</v>
          </cell>
          <cell r="D3613">
            <v>1352.2727272727273</v>
          </cell>
          <cell r="E3613">
            <v>4056.818181818182</v>
          </cell>
          <cell r="F3613">
            <v>2.4E-2</v>
          </cell>
        </row>
        <row r="3614">
          <cell r="A3614" t="str">
            <v>10106269-0203004LF</v>
          </cell>
          <cell r="B3614" t="str">
            <v>10106269-0203004LF Connector,PB+VR</v>
          </cell>
          <cell r="C3614">
            <v>4.4000000000000003E-3</v>
          </cell>
          <cell r="D3614">
            <v>1352.2727272727273</v>
          </cell>
          <cell r="E3614">
            <v>4056.818181818182</v>
          </cell>
          <cell r="F3614">
            <v>1.6E-2</v>
          </cell>
        </row>
        <row r="3615">
          <cell r="A3615" t="str">
            <v>10106269-0204003LF</v>
          </cell>
          <cell r="B3615" t="str">
            <v>10106269-0204003LF PB+ VTR PF-2LP+16S</v>
          </cell>
          <cell r="C3615">
            <v>4.0000000000000001E-3</v>
          </cell>
          <cell r="D3615">
            <v>1487.5</v>
          </cell>
          <cell r="E3615">
            <v>4462.5</v>
          </cell>
          <cell r="F3615">
            <v>3.1E-2</v>
          </cell>
        </row>
        <row r="3616">
          <cell r="A3616" t="str">
            <v>10106269-0204K01LF</v>
          </cell>
          <cell r="B3616" t="str">
            <v>10106269-0204K01LF Connector,PB+VR</v>
          </cell>
          <cell r="C3616">
            <v>5.0000000000000001E-3</v>
          </cell>
          <cell r="D3616">
            <v>1190</v>
          </cell>
          <cell r="E3616">
            <v>3570</v>
          </cell>
          <cell r="F3616">
            <v>2.8000000000000001E-2</v>
          </cell>
        </row>
        <row r="3617">
          <cell r="A3617" t="str">
            <v>10106269-0208001LF</v>
          </cell>
          <cell r="B3617" t="str">
            <v>10106269-0208001LF Connector,PB+VR</v>
          </cell>
          <cell r="C3617">
            <v>8.9999999999999993E-3</v>
          </cell>
          <cell r="D3617">
            <v>661.1111111111112</v>
          </cell>
          <cell r="E3617">
            <v>1983.3333333333335</v>
          </cell>
          <cell r="F3617">
            <v>2.5999999999999999E-2</v>
          </cell>
        </row>
        <row r="3618">
          <cell r="A3618" t="str">
            <v>10106269-0210001LF</v>
          </cell>
          <cell r="B3618" t="str">
            <v>10106269-0210001LF Connector,PB+VR</v>
          </cell>
          <cell r="C3618">
            <v>1.0999999999999999E-2</v>
          </cell>
          <cell r="D3618">
            <v>540.90909090909099</v>
          </cell>
          <cell r="E3618">
            <v>1622.727272727273</v>
          </cell>
          <cell r="F3618">
            <v>2.4E-2</v>
          </cell>
        </row>
        <row r="3619">
          <cell r="A3619" t="str">
            <v>10106269-0215002LF</v>
          </cell>
          <cell r="B3619" t="str">
            <v>10106269-0215002LF Connector,PB+VR</v>
          </cell>
          <cell r="C3619">
            <v>1.2E-2</v>
          </cell>
          <cell r="D3619">
            <v>495.83333333333331</v>
          </cell>
          <cell r="E3619">
            <v>1487.5</v>
          </cell>
          <cell r="F3619">
            <v>2.7E-2</v>
          </cell>
        </row>
        <row r="3620">
          <cell r="A3620" t="str">
            <v>10106269-0314001LF</v>
          </cell>
          <cell r="B3620" t="str">
            <v>10106269-0314001LF PwrBlade+ VR PF</v>
          </cell>
          <cell r="C3620">
            <v>1.2999999999999999E-2</v>
          </cell>
          <cell r="D3620">
            <v>457.69230769230774</v>
          </cell>
          <cell r="E3620">
            <v>1373.0769230769233</v>
          </cell>
          <cell r="F3620">
            <v>2.1999999999999999E-2</v>
          </cell>
        </row>
        <row r="3621">
          <cell r="A3621" t="str">
            <v>10106269-0400001LF</v>
          </cell>
          <cell r="B3621" t="str">
            <v>10106269-0400001LF PwrBlade+ VR PF</v>
          </cell>
          <cell r="C3621">
            <v>6.1000000000000004E-3</v>
          </cell>
          <cell r="D3621">
            <v>975.4098360655737</v>
          </cell>
          <cell r="E3621">
            <v>2926.2295081967213</v>
          </cell>
          <cell r="F3621">
            <v>3.1350000000000003E-2</v>
          </cell>
        </row>
        <row r="3622">
          <cell r="A3622" t="str">
            <v>10106269-0400002LF</v>
          </cell>
          <cell r="B3622" t="str">
            <v>10106269-0400002LF Connector,PB+VR</v>
          </cell>
          <cell r="C3622">
            <v>6.1000000000000004E-3</v>
          </cell>
          <cell r="D3622">
            <v>975.4098360655737</v>
          </cell>
          <cell r="E3622">
            <v>2926.2295081967213</v>
          </cell>
          <cell r="F3622">
            <v>2.8000000000000001E-2</v>
          </cell>
        </row>
        <row r="3623">
          <cell r="A3623" t="str">
            <v>10106269-0402001LF</v>
          </cell>
          <cell r="B3623" t="str">
            <v>10106269-0402001LF PwrBlade+ VR PF</v>
          </cell>
          <cell r="C3623">
            <v>2.7000000000000001E-3</v>
          </cell>
          <cell r="D3623">
            <v>2203.7037037037035</v>
          </cell>
          <cell r="E3623">
            <v>6611.1111111111104</v>
          </cell>
          <cell r="F3623">
            <v>2.0764999999999999E-2</v>
          </cell>
        </row>
        <row r="3624">
          <cell r="A3624" t="str">
            <v>10106269-0402002LF</v>
          </cell>
          <cell r="B3624" t="str">
            <v>10106269-0402002LF Connector,PB+VR</v>
          </cell>
          <cell r="C3624">
            <v>3.3E-3</v>
          </cell>
          <cell r="D3624">
            <v>1803.030303030303</v>
          </cell>
          <cell r="E3624">
            <v>5409.090909090909</v>
          </cell>
          <cell r="F3624">
            <v>3.3000000000000002E-2</v>
          </cell>
        </row>
        <row r="3625">
          <cell r="A3625" t="str">
            <v>10106269-0402003LF</v>
          </cell>
          <cell r="B3625" t="str">
            <v>10106269-0402003LF Connector,PB+VR</v>
          </cell>
          <cell r="C3625">
            <v>3.3E-3</v>
          </cell>
          <cell r="D3625">
            <v>1803.030303030303</v>
          </cell>
          <cell r="E3625">
            <v>5409.090909090909</v>
          </cell>
          <cell r="F3625">
            <v>1.7999999999999999E-2</v>
          </cell>
        </row>
        <row r="3626">
          <cell r="A3626" t="str">
            <v>10106269-0402006LF</v>
          </cell>
          <cell r="B3626" t="str">
            <v>10106269-0402006LF Connector,PB+VR</v>
          </cell>
          <cell r="C3626">
            <v>3.0000000000000001E-3</v>
          </cell>
          <cell r="D3626">
            <v>1983.3333333333333</v>
          </cell>
          <cell r="E3626">
            <v>5950</v>
          </cell>
          <cell r="F3626">
            <v>2.3E-2</v>
          </cell>
        </row>
        <row r="3627">
          <cell r="A3627" t="str">
            <v>10106269-0403001LF</v>
          </cell>
          <cell r="B3627" t="str">
            <v>10106269-0403001LF Connector,PB+VR</v>
          </cell>
          <cell r="C3627">
            <v>3.0000000000000001E-3</v>
          </cell>
          <cell r="D3627">
            <v>1983.3333333333333</v>
          </cell>
          <cell r="E3627">
            <v>5950</v>
          </cell>
          <cell r="F3627">
            <v>2.3E-2</v>
          </cell>
        </row>
        <row r="3628">
          <cell r="A3628" t="str">
            <v>10106269-0403002LF</v>
          </cell>
          <cell r="B3628" t="str">
            <v>10106269-0403002LF Connector,PB+VR</v>
          </cell>
          <cell r="C3628">
            <v>3.3E-3</v>
          </cell>
          <cell r="D3628">
            <v>1803.030303030303</v>
          </cell>
          <cell r="E3628">
            <v>5409.090909090909</v>
          </cell>
          <cell r="F3628">
            <v>2.1000000000000001E-2</v>
          </cell>
        </row>
        <row r="3629">
          <cell r="A3629" t="str">
            <v>10106269-0403003LF</v>
          </cell>
          <cell r="B3629" t="str">
            <v>10106269-0403003LF PwrBlade+ VR PF</v>
          </cell>
          <cell r="C3629">
            <v>3.3E-3</v>
          </cell>
          <cell r="D3629">
            <v>1803.030303030303</v>
          </cell>
          <cell r="E3629">
            <v>5409.090909090909</v>
          </cell>
          <cell r="F3629">
            <v>2.1000000000000001E-2</v>
          </cell>
        </row>
        <row r="3630">
          <cell r="A3630" t="str">
            <v>10106269-0405001LF</v>
          </cell>
          <cell r="B3630" t="str">
            <v>10106269-0405001LF Connector,PB+VR</v>
          </cell>
          <cell r="C3630">
            <v>4.4000000000000003E-3</v>
          </cell>
          <cell r="D3630">
            <v>1352.2727272727273</v>
          </cell>
          <cell r="E3630">
            <v>4056.818181818182</v>
          </cell>
          <cell r="F3630">
            <v>1.7999999999999999E-2</v>
          </cell>
        </row>
        <row r="3631">
          <cell r="A3631" t="str">
            <v>10106269-0502001LF</v>
          </cell>
          <cell r="B3631" t="str">
            <v>10106269-0502001LF Connector,PB+VR</v>
          </cell>
          <cell r="C3631">
            <v>2E-3</v>
          </cell>
          <cell r="D3631">
            <v>2975</v>
          </cell>
          <cell r="E3631">
            <v>8925</v>
          </cell>
          <cell r="F3631">
            <v>2.1600000000000001E-2</v>
          </cell>
        </row>
        <row r="3632">
          <cell r="A3632" t="str">
            <v>10106269-0504001LF</v>
          </cell>
          <cell r="B3632" t="str">
            <v>10106269-0504001LF Connector,PB+VR</v>
          </cell>
          <cell r="C3632">
            <v>3.3E-3</v>
          </cell>
          <cell r="D3632">
            <v>1803.030303030303</v>
          </cell>
          <cell r="E3632">
            <v>5409.090909090909</v>
          </cell>
          <cell r="F3632">
            <v>1.9E-2</v>
          </cell>
        </row>
        <row r="3633">
          <cell r="A3633" t="str">
            <v>10106269-0505K01LF</v>
          </cell>
          <cell r="B3633" t="str">
            <v>10106269-0505K01LF Connector,PB+VR</v>
          </cell>
          <cell r="C3633">
            <v>5.0000000000000001E-3</v>
          </cell>
          <cell r="D3633">
            <v>1190</v>
          </cell>
          <cell r="E3633">
            <v>3570</v>
          </cell>
          <cell r="F3633">
            <v>2.5000000000000001E-2</v>
          </cell>
        </row>
        <row r="3634">
          <cell r="A3634" t="str">
            <v>10106269-0804001LF</v>
          </cell>
          <cell r="B3634" t="str">
            <v>10106269-0804001LF Connector,PB+VR</v>
          </cell>
          <cell r="C3634">
            <v>0.01</v>
          </cell>
          <cell r="D3634">
            <v>595</v>
          </cell>
          <cell r="E3634">
            <v>1785</v>
          </cell>
          <cell r="F3634">
            <v>2.5999999999999999E-2</v>
          </cell>
        </row>
        <row r="3635">
          <cell r="A3635" t="str">
            <v>10106269-0C00002LF</v>
          </cell>
          <cell r="B3635" t="str">
            <v>10106269-0C00002LF Connector,PB+VR</v>
          </cell>
          <cell r="C3635">
            <v>6.1000000000000004E-3</v>
          </cell>
          <cell r="D3635">
            <v>975.4098360655737</v>
          </cell>
          <cell r="E3635">
            <v>2926.2295081967213</v>
          </cell>
          <cell r="F3635">
            <v>3.1E-2</v>
          </cell>
        </row>
        <row r="3636">
          <cell r="A3636" t="str">
            <v>10106269-0D03001LF</v>
          </cell>
          <cell r="B3636" t="str">
            <v>10106269-0D03001LF Connector,PB+VR</v>
          </cell>
          <cell r="C3636">
            <v>3.3E-3</v>
          </cell>
          <cell r="D3636">
            <v>1803.030303030303</v>
          </cell>
          <cell r="E3636">
            <v>5409.090909090909</v>
          </cell>
          <cell r="F3636">
            <v>3.4000000000000002E-2</v>
          </cell>
        </row>
        <row r="3637">
          <cell r="A3637" t="str">
            <v>10106269-0D03002LF</v>
          </cell>
          <cell r="B3637" t="str">
            <v>10106269-0D03002LF Connector,PB+VR</v>
          </cell>
          <cell r="C3637">
            <v>3.3E-3</v>
          </cell>
          <cell r="D3637">
            <v>1803.030303030303</v>
          </cell>
          <cell r="E3637">
            <v>5409.090909090909</v>
          </cell>
          <cell r="F3637">
            <v>3.7999999999999999E-2</v>
          </cell>
        </row>
        <row r="3638">
          <cell r="A3638" t="str">
            <v>10106269-0F08001LF</v>
          </cell>
          <cell r="B3638" t="str">
            <v>10106269-0F08001LF Connector,PB+VR</v>
          </cell>
          <cell r="C3638">
            <v>8.9999999999999993E-3</v>
          </cell>
          <cell r="D3638">
            <v>661.1111111111112</v>
          </cell>
          <cell r="E3638">
            <v>1983.3333333333335</v>
          </cell>
          <cell r="F3638">
            <v>3.9E-2</v>
          </cell>
        </row>
        <row r="3639">
          <cell r="A3639" t="str">
            <v>10106269-1C03001LF</v>
          </cell>
          <cell r="B3639" t="str">
            <v>10106269-1C03001LF PwrBlade+ VR PF</v>
          </cell>
          <cell r="C3639">
            <v>2E-3</v>
          </cell>
          <cell r="D3639">
            <v>2975</v>
          </cell>
          <cell r="E3639">
            <v>8925</v>
          </cell>
          <cell r="F3639">
            <v>1.35E-2</v>
          </cell>
        </row>
        <row r="3640">
          <cell r="A3640" t="str">
            <v>10106269-1C03002LF</v>
          </cell>
          <cell r="B3640" t="str">
            <v>10106269-1C03002LF Connector,PB+VR</v>
          </cell>
          <cell r="C3640">
            <v>3.3E-3</v>
          </cell>
          <cell r="D3640">
            <v>1803.030303030303</v>
          </cell>
          <cell r="E3640">
            <v>5409.090909090909</v>
          </cell>
          <cell r="F3640">
            <v>3.5999999999999997E-2</v>
          </cell>
        </row>
        <row r="3641">
          <cell r="A3641" t="str">
            <v>10106269-2000401LF</v>
          </cell>
          <cell r="B3641" t="str">
            <v>10106269-2000401LF Connector,PB+VR</v>
          </cell>
          <cell r="C3641">
            <v>6.1000000000000004E-3</v>
          </cell>
          <cell r="D3641">
            <v>975.4098360655737</v>
          </cell>
          <cell r="E3641">
            <v>2926.2295081967213</v>
          </cell>
          <cell r="F3641">
            <v>2.5000000000000001E-2</v>
          </cell>
        </row>
        <row r="3642">
          <cell r="A3642" t="str">
            <v>10106269-2000501LF</v>
          </cell>
          <cell r="B3642" t="str">
            <v>10106269-2000501LF Connector,PB+VR</v>
          </cell>
          <cell r="C3642">
            <v>3.0000000000000001E-3</v>
          </cell>
          <cell r="D3642">
            <v>1983.3333333333333</v>
          </cell>
          <cell r="E3642">
            <v>5950</v>
          </cell>
          <cell r="F3642">
            <v>1.7999999999999999E-2</v>
          </cell>
        </row>
        <row r="3643">
          <cell r="A3643" t="str">
            <v>10106269-2002001LF</v>
          </cell>
          <cell r="B3643" t="str">
            <v>10106269-2002001LF PwrBlade+ VR PF</v>
          </cell>
          <cell r="C3643">
            <v>3.0000000000000001E-3</v>
          </cell>
          <cell r="D3643">
            <v>1983.3333333333333</v>
          </cell>
          <cell r="E3643">
            <v>5950</v>
          </cell>
          <cell r="F3643">
            <v>2.1999999999999999E-2</v>
          </cell>
        </row>
        <row r="3644">
          <cell r="A3644" t="str">
            <v>10106269-2003001LF</v>
          </cell>
          <cell r="B3644" t="str">
            <v>10106269-2003001LF PwrBlade+ VR PF</v>
          </cell>
          <cell r="C3644">
            <v>1.2800000000000001E-2</v>
          </cell>
          <cell r="D3644">
            <v>464.84375</v>
          </cell>
          <cell r="E3644">
            <v>1394.53125</v>
          </cell>
          <cell r="F3644">
            <v>1.06E-2</v>
          </cell>
        </row>
        <row r="3645">
          <cell r="A3645" t="str">
            <v>10106269-2003002LF</v>
          </cell>
          <cell r="B3645" t="str">
            <v>10106269-2003002LF Connector,PB+VR</v>
          </cell>
          <cell r="C3645">
            <v>3.3E-3</v>
          </cell>
          <cell r="D3645">
            <v>1803.030303030303</v>
          </cell>
          <cell r="E3645">
            <v>5409.090909090909</v>
          </cell>
          <cell r="F3645">
            <v>1.7899999999999999E-2</v>
          </cell>
        </row>
        <row r="3646">
          <cell r="A3646" t="str">
            <v>10106269-2004001LF</v>
          </cell>
          <cell r="B3646" t="str">
            <v>10106269-2004001LF Connector,PB+VR</v>
          </cell>
          <cell r="C3646">
            <v>4.4000000000000003E-3</v>
          </cell>
          <cell r="D3646">
            <v>1352.2727272727273</v>
          </cell>
          <cell r="E3646">
            <v>4056.818181818182</v>
          </cell>
          <cell r="F3646">
            <v>2.5999999999999999E-2</v>
          </cell>
        </row>
        <row r="3647">
          <cell r="A3647" t="str">
            <v>10106269-2005402LF</v>
          </cell>
          <cell r="B3647" t="str">
            <v>10106269-2005402LF PwrBlade+ VR PF</v>
          </cell>
          <cell r="C3647">
            <v>7.0000000000000007E-2</v>
          </cell>
          <cell r="D3647">
            <v>85</v>
          </cell>
          <cell r="E3647">
            <v>255</v>
          </cell>
          <cell r="F3647">
            <v>0.04</v>
          </cell>
        </row>
        <row r="3648">
          <cell r="A3648" t="str">
            <v>10106269-2005K02LF</v>
          </cell>
          <cell r="B3648" t="str">
            <v>10106269-2005K02LF Connector,PB+VR</v>
          </cell>
          <cell r="C3648">
            <v>5.0000000000000001E-3</v>
          </cell>
          <cell r="D3648">
            <v>1190</v>
          </cell>
          <cell r="E3648">
            <v>3570</v>
          </cell>
          <cell r="F3648">
            <v>2.5000000000000001E-2</v>
          </cell>
        </row>
        <row r="3649">
          <cell r="A3649" t="str">
            <v>10106269-2006003LF</v>
          </cell>
          <cell r="B3649" t="str">
            <v>10106269-2006003LF Connector,PB+VR</v>
          </cell>
          <cell r="C3649">
            <v>0.02</v>
          </cell>
          <cell r="D3649">
            <v>297.5</v>
          </cell>
          <cell r="E3649">
            <v>892.5</v>
          </cell>
          <cell r="F3649">
            <v>2.4E-2</v>
          </cell>
        </row>
        <row r="3650">
          <cell r="A3650" t="str">
            <v>10106269-2006202LF</v>
          </cell>
          <cell r="B3650" t="str">
            <v>10106269-2006202LF PwrBlade+ VR PF</v>
          </cell>
          <cell r="C3650">
            <v>2.0199999999999999E-2</v>
          </cell>
          <cell r="D3650">
            <v>294.55445544554459</v>
          </cell>
          <cell r="E3650">
            <v>883.66336633663377</v>
          </cell>
          <cell r="F3650">
            <v>2.64E-2</v>
          </cell>
        </row>
        <row r="3651">
          <cell r="A3651" t="str">
            <v>10106269-2D03001LF</v>
          </cell>
          <cell r="B3651" t="str">
            <v>10106269-2D03001LF Connector,PB+VR</v>
          </cell>
          <cell r="C3651">
            <v>4.4000000000000003E-3</v>
          </cell>
          <cell r="D3651">
            <v>1352.2727272727273</v>
          </cell>
          <cell r="E3651">
            <v>4056.818181818182</v>
          </cell>
          <cell r="F3651">
            <v>3.5000000000000003E-2</v>
          </cell>
        </row>
        <row r="3652">
          <cell r="A3652" t="str">
            <v>10106269-2LUB202LF</v>
          </cell>
          <cell r="B3652" t="str">
            <v>10106269-2LUB202LF Connector,PB+VR</v>
          </cell>
          <cell r="C3652">
            <v>6.7000000000000002E-3</v>
          </cell>
          <cell r="D3652">
            <v>888.05970149253733</v>
          </cell>
          <cell r="E3652">
            <v>2664.1791044776119</v>
          </cell>
          <cell r="F3652">
            <v>2.7199999999999998E-2</v>
          </cell>
        </row>
        <row r="3653">
          <cell r="A3653" t="str">
            <v>10106269-3002001LF</v>
          </cell>
          <cell r="B3653" t="str">
            <v>10106269-3002001LF Connector,PB+VR</v>
          </cell>
          <cell r="C3653">
            <v>3.0000000000000001E-3</v>
          </cell>
          <cell r="D3653">
            <v>1983.3333333333333</v>
          </cell>
          <cell r="E3653">
            <v>5950</v>
          </cell>
          <cell r="F3653">
            <v>4.2000000000000003E-2</v>
          </cell>
        </row>
        <row r="3654">
          <cell r="A3654" t="str">
            <v>10106269-4000001LF</v>
          </cell>
          <cell r="B3654" t="str">
            <v>10106269-4000001LF Connector,PB+VR</v>
          </cell>
          <cell r="C3654">
            <v>6.1000000000000004E-3</v>
          </cell>
          <cell r="D3654">
            <v>975.4098360655737</v>
          </cell>
          <cell r="E3654">
            <v>2926.2295081967213</v>
          </cell>
          <cell r="F3654">
            <v>2.1000000000000001E-2</v>
          </cell>
        </row>
        <row r="3655">
          <cell r="A3655" t="str">
            <v>10106269-4000401LF</v>
          </cell>
          <cell r="B3655" t="str">
            <v>10106269-4000401LF Connector,PB+VR</v>
          </cell>
          <cell r="C3655">
            <v>6.1000000000000004E-3</v>
          </cell>
          <cell r="D3655">
            <v>975.4098360655737</v>
          </cell>
          <cell r="E3655">
            <v>2926.2295081967213</v>
          </cell>
          <cell r="F3655">
            <v>2.5999999999999999E-2</v>
          </cell>
        </row>
        <row r="3656">
          <cell r="A3656" t="str">
            <v>10106269-4001401LF</v>
          </cell>
          <cell r="B3656" t="str">
            <v>10106269-4001401LF Connector,PB+VR</v>
          </cell>
          <cell r="C3656">
            <v>3.0000000000000001E-3</v>
          </cell>
          <cell r="D3656">
            <v>1983.3333333333333</v>
          </cell>
          <cell r="E3656">
            <v>5950</v>
          </cell>
          <cell r="F3656">
            <v>1.6E-2</v>
          </cell>
        </row>
        <row r="3657">
          <cell r="A3657" t="str">
            <v>10106269-4003001LF</v>
          </cell>
          <cell r="B3657" t="str">
            <v>10106269-4003001LF Connector,PB+VR</v>
          </cell>
          <cell r="C3657">
            <v>3.3E-3</v>
          </cell>
          <cell r="D3657">
            <v>1803.030303030303</v>
          </cell>
          <cell r="E3657">
            <v>5409.090909090909</v>
          </cell>
          <cell r="F3657">
            <v>2.5000000000000001E-2</v>
          </cell>
        </row>
        <row r="3658">
          <cell r="A3658" t="str">
            <v>10106269-4004001LF</v>
          </cell>
          <cell r="B3658" t="str">
            <v>10106269-4004001LF Connector,PB+VR</v>
          </cell>
          <cell r="C3658">
            <v>1.4E-2</v>
          </cell>
          <cell r="D3658">
            <v>425</v>
          </cell>
          <cell r="E3658">
            <v>1275</v>
          </cell>
          <cell r="F3658">
            <v>2.9000000000000001E-2</v>
          </cell>
        </row>
        <row r="3659">
          <cell r="A3659" t="str">
            <v>10106269-4004201LF</v>
          </cell>
          <cell r="B3659" t="str">
            <v>10106269-4004201LF Connector,PB+VR</v>
          </cell>
          <cell r="C3659">
            <v>1.4999999999999999E-2</v>
          </cell>
          <cell r="D3659">
            <v>396.66666666666669</v>
          </cell>
          <cell r="E3659">
            <v>1190</v>
          </cell>
          <cell r="F3659">
            <v>3.5000000000000003E-2</v>
          </cell>
        </row>
        <row r="3660">
          <cell r="A3660" t="str">
            <v>10106269-4008002LF</v>
          </cell>
          <cell r="B3660" t="str">
            <v>10106269-4008002LF Connector,PB+VR</v>
          </cell>
          <cell r="C3660">
            <v>0.01</v>
          </cell>
          <cell r="D3660">
            <v>595</v>
          </cell>
          <cell r="E3660">
            <v>1785</v>
          </cell>
          <cell r="F3660">
            <v>3.5999999999999997E-2</v>
          </cell>
        </row>
        <row r="3661">
          <cell r="A3661" t="str">
            <v>10106269-4009001LF</v>
          </cell>
          <cell r="B3661" t="str">
            <v>10106269-4009001LF Connector,PB+VR</v>
          </cell>
          <cell r="C3661">
            <v>0.01</v>
          </cell>
          <cell r="D3661">
            <v>595</v>
          </cell>
          <cell r="E3661">
            <v>1785</v>
          </cell>
          <cell r="F3661">
            <v>1.9E-2</v>
          </cell>
        </row>
        <row r="3662">
          <cell r="A3662" t="str">
            <v>10106269-5004001LF</v>
          </cell>
          <cell r="B3662" t="str">
            <v>10106269-5004001LF Connector,PB+VR</v>
          </cell>
          <cell r="C3662">
            <v>4.4000000000000003E-3</v>
          </cell>
          <cell r="D3662">
            <v>1352.2727272727273</v>
          </cell>
          <cell r="E3662">
            <v>4056.818181818182</v>
          </cell>
          <cell r="F3662">
            <v>3.2000000000000001E-2</v>
          </cell>
        </row>
        <row r="3663">
          <cell r="A3663" t="str">
            <v>10106269-5004002LF</v>
          </cell>
          <cell r="B3663" t="str">
            <v>10106269-5004002LF Connector,PB+VR</v>
          </cell>
          <cell r="C3663">
            <v>4.4000000000000003E-3</v>
          </cell>
          <cell r="D3663">
            <v>1352.2727272727273</v>
          </cell>
          <cell r="E3663">
            <v>4056.818181818182</v>
          </cell>
          <cell r="F3663">
            <v>3.2000000000000001E-2</v>
          </cell>
        </row>
        <row r="3664">
          <cell r="A3664" t="str">
            <v>10106269-5005001LF</v>
          </cell>
          <cell r="B3664" t="str">
            <v>10106269-5005001LF Connector,PB+VR</v>
          </cell>
          <cell r="C3664">
            <v>1.7000000000000001E-2</v>
          </cell>
          <cell r="D3664">
            <v>350</v>
          </cell>
          <cell r="E3664">
            <v>1050</v>
          </cell>
          <cell r="F3664">
            <v>3.3000000000000002E-2</v>
          </cell>
        </row>
        <row r="3665">
          <cell r="A3665" t="str">
            <v>10106269-5203001LF</v>
          </cell>
          <cell r="B3665" t="str">
            <v>10106269-5203001LF PwrBlade+ VR PF</v>
          </cell>
          <cell r="C3665">
            <v>5.4530000000000004E-3</v>
          </cell>
          <cell r="D3665">
            <v>1091.1424903722721</v>
          </cell>
          <cell r="E3665">
            <v>3273.4274711168164</v>
          </cell>
          <cell r="F3665">
            <v>3.1697000000000003E-2</v>
          </cell>
        </row>
        <row r="3666">
          <cell r="A3666" t="str">
            <v>10106269-5206002LF</v>
          </cell>
          <cell r="B3666" t="str">
            <v>10106269-5206002LF PwrBlade+ VR PF</v>
          </cell>
          <cell r="C3666">
            <v>5.0000000000000001E-3</v>
          </cell>
          <cell r="D3666">
            <v>1190</v>
          </cell>
          <cell r="E3666">
            <v>3570</v>
          </cell>
          <cell r="F3666">
            <v>2.1399999999999999E-2</v>
          </cell>
        </row>
        <row r="3667">
          <cell r="A3667" t="str">
            <v>10106269-6000401LF</v>
          </cell>
          <cell r="B3667" t="str">
            <v>10106269-6000401LF Connector,PB+VR</v>
          </cell>
          <cell r="C3667">
            <v>3.0000000000000001E-3</v>
          </cell>
          <cell r="D3667">
            <v>1983.3333333333333</v>
          </cell>
          <cell r="E3667">
            <v>5950</v>
          </cell>
          <cell r="F3667">
            <v>2.1000000000000001E-2</v>
          </cell>
        </row>
        <row r="3668">
          <cell r="A3668" t="str">
            <v>10106269-6003001LF</v>
          </cell>
          <cell r="B3668" t="str">
            <v>10106269-6003001LF Connector,PB+VR</v>
          </cell>
          <cell r="C3668">
            <v>3.3E-3</v>
          </cell>
          <cell r="D3668">
            <v>1803.030303030303</v>
          </cell>
          <cell r="E3668">
            <v>5409.090909090909</v>
          </cell>
          <cell r="F3668">
            <v>2.1000000000000001E-2</v>
          </cell>
        </row>
        <row r="3669">
          <cell r="A3669" t="str">
            <v>10106269-6003002LF</v>
          </cell>
          <cell r="B3669" t="str">
            <v>10106269-6003002LF PwrBlade+ VR PF</v>
          </cell>
          <cell r="C3669">
            <v>3.3E-3</v>
          </cell>
          <cell r="D3669">
            <v>1803.030303030303</v>
          </cell>
          <cell r="E3669">
            <v>5409.090909090909</v>
          </cell>
          <cell r="F3669">
            <v>2.1999999999999999E-2</v>
          </cell>
        </row>
        <row r="3670">
          <cell r="A3670" t="str">
            <v>10106269-6003003LF</v>
          </cell>
          <cell r="B3670" t="str">
            <v>10106269-6003003LF Connector,PB+VR</v>
          </cell>
          <cell r="C3670">
            <v>3.3E-3</v>
          </cell>
          <cell r="D3670">
            <v>1803.030303030303</v>
          </cell>
          <cell r="E3670">
            <v>5409.090909090909</v>
          </cell>
          <cell r="F3670">
            <v>2.1999999999999999E-2</v>
          </cell>
        </row>
        <row r="3671">
          <cell r="A3671" t="str">
            <v>10106269-6003401LF</v>
          </cell>
          <cell r="B3671" t="str">
            <v>10106269-6003401LF Connector,PB+VR</v>
          </cell>
          <cell r="C3671">
            <v>5.0000000000000001E-3</v>
          </cell>
          <cell r="D3671">
            <v>1190</v>
          </cell>
          <cell r="E3671">
            <v>3570</v>
          </cell>
          <cell r="F3671">
            <v>2.5999999999999999E-2</v>
          </cell>
        </row>
        <row r="3672">
          <cell r="A3672" t="str">
            <v>10106269-6206001LF</v>
          </cell>
          <cell r="B3672" t="str">
            <v>10106269-6206001LF Connector,PB+VR</v>
          </cell>
          <cell r="C3672">
            <v>2.1000000000000001E-2</v>
          </cell>
          <cell r="D3672">
            <v>283.33333333333331</v>
          </cell>
          <cell r="E3672">
            <v>850</v>
          </cell>
          <cell r="F3672">
            <v>5.0999999999999997E-2</v>
          </cell>
        </row>
        <row r="3673">
          <cell r="A3673" t="str">
            <v>10106269-6206002LF</v>
          </cell>
          <cell r="B3673" t="str">
            <v>10106269-6206002LF Connector,PB+VR</v>
          </cell>
          <cell r="C3673">
            <v>6.7000000000000002E-3</v>
          </cell>
          <cell r="D3673">
            <v>888.05970149253733</v>
          </cell>
          <cell r="E3673">
            <v>2664.1791044776119</v>
          </cell>
          <cell r="F3673">
            <v>2.3400000000000001E-2</v>
          </cell>
        </row>
        <row r="3674">
          <cell r="A3674" t="str">
            <v>10106269-6712001LF</v>
          </cell>
          <cell r="B3674" t="str">
            <v>10106269-6712001LF PwrBlade+ VR PF</v>
          </cell>
          <cell r="C3674">
            <v>1.2E-2</v>
          </cell>
          <cell r="D3674">
            <v>495.83333333333331</v>
          </cell>
          <cell r="E3674">
            <v>1487.5</v>
          </cell>
          <cell r="F3674">
            <v>3.2000000000000001E-2</v>
          </cell>
        </row>
        <row r="3675">
          <cell r="A3675" t="str">
            <v>10106269-7003002LF</v>
          </cell>
          <cell r="B3675" t="str">
            <v>10106269-7003002LF Connector,PB+VR</v>
          </cell>
          <cell r="C3675">
            <v>3.3E-3</v>
          </cell>
          <cell r="D3675">
            <v>1803.030303030303</v>
          </cell>
          <cell r="E3675">
            <v>5409.090909090909</v>
          </cell>
          <cell r="F3675">
            <v>2.5000000000000001E-2</v>
          </cell>
        </row>
        <row r="3676">
          <cell r="A3676" t="str">
            <v>10106269-7003003LF</v>
          </cell>
          <cell r="B3676" t="str">
            <v>10106269-7003003LF PwrBlade+ VR PF</v>
          </cell>
          <cell r="C3676">
            <v>3.3E-3</v>
          </cell>
          <cell r="D3676">
            <v>1803.030303030303</v>
          </cell>
          <cell r="E3676">
            <v>5409.090909090909</v>
          </cell>
          <cell r="F3676">
            <v>2.7E-2</v>
          </cell>
        </row>
        <row r="3677">
          <cell r="A3677" t="str">
            <v>10106269-7004001LF</v>
          </cell>
          <cell r="B3677" t="str">
            <v>10106269-7004001LF Connector,PB+VR</v>
          </cell>
          <cell r="C3677">
            <v>2.7000000000000001E-3</v>
          </cell>
          <cell r="D3677">
            <v>2203.7037037037035</v>
          </cell>
          <cell r="E3677">
            <v>6611.1111111111104</v>
          </cell>
          <cell r="F3677">
            <v>3.6999999999999998E-2</v>
          </cell>
        </row>
        <row r="3678">
          <cell r="A3678" t="str">
            <v>10106269-7005001LF</v>
          </cell>
          <cell r="B3678" t="str">
            <v>10106269-7005001LF Connector,PB+VR</v>
          </cell>
          <cell r="C3678">
            <v>1.72E-2</v>
          </cell>
          <cell r="D3678">
            <v>345.93023255813955</v>
          </cell>
          <cell r="E3678">
            <v>1037.7906976744187</v>
          </cell>
          <cell r="F3678">
            <v>4.1000000000000002E-2</v>
          </cell>
        </row>
        <row r="3679">
          <cell r="A3679" t="str">
            <v>10106269-7005003LF</v>
          </cell>
          <cell r="B3679" t="str">
            <v>10106269-7005003LF Connector,PB+VR</v>
          </cell>
          <cell r="C3679">
            <v>4.0000000000000001E-3</v>
          </cell>
          <cell r="D3679">
            <v>1487.5</v>
          </cell>
          <cell r="E3679">
            <v>4462.5</v>
          </cell>
          <cell r="F3679">
            <v>0.03</v>
          </cell>
        </row>
        <row r="3680">
          <cell r="A3680" t="str">
            <v>10106269-7009001LF</v>
          </cell>
          <cell r="B3680" t="str">
            <v>10106269-7009001LF PwrBlade+ VR PF</v>
          </cell>
          <cell r="C3680">
            <v>8.9999999999999993E-3</v>
          </cell>
          <cell r="D3680">
            <v>661.1111111111112</v>
          </cell>
          <cell r="E3680">
            <v>1983.3333333333335</v>
          </cell>
          <cell r="F3680">
            <v>2.8000000000000001E-2</v>
          </cell>
        </row>
        <row r="3681">
          <cell r="A3681" t="str">
            <v>10106269-8004001LF</v>
          </cell>
          <cell r="B3681" t="str">
            <v>10106269-8004001LF PwrBlade+ VR PF</v>
          </cell>
          <cell r="C3681">
            <v>4.4000000000000003E-3</v>
          </cell>
          <cell r="D3681">
            <v>1352.2727272727273</v>
          </cell>
          <cell r="E3681">
            <v>4056.818181818182</v>
          </cell>
          <cell r="F3681">
            <v>3.5000000000000003E-2</v>
          </cell>
        </row>
        <row r="3682">
          <cell r="A3682" t="str">
            <v>10106269-8037001LF</v>
          </cell>
          <cell r="B3682" t="str">
            <v>10106269-8037001LF PwrBlade+ VR PF</v>
          </cell>
          <cell r="C3682">
            <v>4.2000000000000003E-2</v>
          </cell>
          <cell r="D3682">
            <v>141.66666666666666</v>
          </cell>
          <cell r="E3682">
            <v>425</v>
          </cell>
          <cell r="F3682">
            <v>3.5000000000000003E-2</v>
          </cell>
        </row>
        <row r="3683">
          <cell r="A3683" t="str">
            <v>10106269-9001001LF</v>
          </cell>
          <cell r="B3683" t="str">
            <v>10106269-9001001LF Connector,PB+VR</v>
          </cell>
          <cell r="C3683">
            <v>3.3E-3</v>
          </cell>
          <cell r="D3683">
            <v>1803.030303030303</v>
          </cell>
          <cell r="E3683">
            <v>5409.090909090909</v>
          </cell>
          <cell r="F3683">
            <v>2.7E-2</v>
          </cell>
        </row>
        <row r="3684">
          <cell r="A3684" t="str">
            <v>10106269-9005001LF</v>
          </cell>
          <cell r="B3684" t="str">
            <v>10106269-9005001LF Connector,PB+VR</v>
          </cell>
          <cell r="C3684">
            <v>1.72E-2</v>
          </cell>
          <cell r="D3684">
            <v>345.93023255813955</v>
          </cell>
          <cell r="E3684">
            <v>1037.7906976744187</v>
          </cell>
          <cell r="F3684">
            <v>4.9000000000000002E-2</v>
          </cell>
        </row>
        <row r="3685">
          <cell r="A3685" t="str">
            <v>10106269-9005002LF</v>
          </cell>
          <cell r="B3685" t="str">
            <v>10106269-9005002LF Connector,PB+VR</v>
          </cell>
          <cell r="C3685">
            <v>6.0000000000000001E-3</v>
          </cell>
          <cell r="D3685">
            <v>991.66666666666663</v>
          </cell>
          <cell r="E3685">
            <v>2975</v>
          </cell>
          <cell r="F3685">
            <v>2.9000000000000001E-2</v>
          </cell>
        </row>
        <row r="3686">
          <cell r="A3686" t="str">
            <v>10106269-A003001LF</v>
          </cell>
          <cell r="B3686" t="str">
            <v>10106269-A003001LF Connector,PB+VR</v>
          </cell>
          <cell r="C3686">
            <v>1.2E-2</v>
          </cell>
          <cell r="D3686">
            <v>495.83333333333331</v>
          </cell>
          <cell r="E3686">
            <v>1487.5</v>
          </cell>
          <cell r="F3686">
            <v>5.0999999999999997E-2</v>
          </cell>
        </row>
        <row r="3687">
          <cell r="A3687" t="str">
            <v>10106269-A004001LF</v>
          </cell>
          <cell r="B3687" t="str">
            <v>10106269-A004001LF Connector,PB+VR</v>
          </cell>
          <cell r="C3687">
            <v>3.3E-3</v>
          </cell>
          <cell r="D3687">
            <v>1803.030303030303</v>
          </cell>
          <cell r="E3687">
            <v>5409.090909090909</v>
          </cell>
          <cell r="F3687">
            <v>2.3E-2</v>
          </cell>
        </row>
        <row r="3688">
          <cell r="A3688" t="str">
            <v>10106269-B003002LF</v>
          </cell>
          <cell r="B3688" t="str">
            <v>10106269-B003002LF PwrBlade+ VR PF</v>
          </cell>
          <cell r="C3688">
            <v>3.3E-3</v>
          </cell>
          <cell r="D3688">
            <v>1803.030303030303</v>
          </cell>
          <cell r="E3688">
            <v>5409.090909090909</v>
          </cell>
          <cell r="F3688">
            <v>3.4000000000000002E-2</v>
          </cell>
        </row>
        <row r="3689">
          <cell r="A3689" t="str">
            <v>10106269-B005001LF</v>
          </cell>
          <cell r="B3689" t="str">
            <v>10106269-B005001LF Connector,PB+VR</v>
          </cell>
          <cell r="C3689">
            <v>5.5999999999999999E-3</v>
          </cell>
          <cell r="D3689">
            <v>1062.5</v>
          </cell>
          <cell r="E3689">
            <v>3187.5</v>
          </cell>
          <cell r="F3689">
            <v>4.4999999999999998E-2</v>
          </cell>
        </row>
        <row r="3690">
          <cell r="A3690" t="str">
            <v>10106269-B006001LF</v>
          </cell>
          <cell r="B3690" t="str">
            <v>10106269-B006001LF Connector,PB+VR</v>
          </cell>
          <cell r="C3690">
            <v>6.7000000000000002E-3</v>
          </cell>
          <cell r="D3690">
            <v>888.05970149253733</v>
          </cell>
          <cell r="E3690">
            <v>2664.1791044776119</v>
          </cell>
          <cell r="F3690">
            <v>3.9E-2</v>
          </cell>
        </row>
        <row r="3691">
          <cell r="A3691" t="str">
            <v>10106269-B006002LF</v>
          </cell>
          <cell r="B3691" t="str">
            <v>10106269-B006002LF Connector,PB+VR</v>
          </cell>
          <cell r="C3691">
            <v>6.6E-3</v>
          </cell>
          <cell r="D3691">
            <v>901.5151515151515</v>
          </cell>
          <cell r="E3691">
            <v>2704.5454545454545</v>
          </cell>
          <cell r="F3691">
            <v>4.8000000000000001E-2</v>
          </cell>
        </row>
        <row r="3692">
          <cell r="A3692" t="str">
            <v>10106269-B006003LF</v>
          </cell>
          <cell r="B3692" t="str">
            <v>10106269-B006003LF Connector,PB+VR</v>
          </cell>
          <cell r="C3692">
            <v>6.7000000000000002E-3</v>
          </cell>
          <cell r="D3692">
            <v>888.05970149253733</v>
          </cell>
          <cell r="E3692">
            <v>2664.1791044776119</v>
          </cell>
          <cell r="F3692">
            <v>3.4000000000000002E-2</v>
          </cell>
        </row>
        <row r="3693">
          <cell r="A3693" t="str">
            <v>10106269-B006004LF</v>
          </cell>
          <cell r="B3693" t="str">
            <v>10106269-B006004LF Connector,PB+VR</v>
          </cell>
          <cell r="C3693">
            <v>7.0000000000000001E-3</v>
          </cell>
          <cell r="D3693">
            <v>850</v>
          </cell>
          <cell r="E3693">
            <v>2550</v>
          </cell>
          <cell r="F3693">
            <v>3.1E-2</v>
          </cell>
        </row>
        <row r="3694">
          <cell r="A3694" t="str">
            <v>10106269-B010005LF</v>
          </cell>
          <cell r="B3694" t="str">
            <v>10106269-B010005LF Connector,PB+VR</v>
          </cell>
          <cell r="C3694">
            <v>1.2E-2</v>
          </cell>
          <cell r="D3694">
            <v>495.83333333333331</v>
          </cell>
          <cell r="E3694">
            <v>1487.5</v>
          </cell>
          <cell r="F3694">
            <v>0.04</v>
          </cell>
        </row>
        <row r="3695">
          <cell r="A3695" t="str">
            <v>10106269-C002001LF</v>
          </cell>
          <cell r="B3695" t="str">
            <v>10106269-C002001LF PwrBlade+ VR PF</v>
          </cell>
          <cell r="C3695">
            <v>3.3E-3</v>
          </cell>
          <cell r="D3695">
            <v>1803.030303030303</v>
          </cell>
          <cell r="E3695">
            <v>5409.090909090909</v>
          </cell>
          <cell r="F3695">
            <v>2.1999999999999999E-2</v>
          </cell>
        </row>
        <row r="3696">
          <cell r="A3696" t="str">
            <v>10106269-E209001LF</v>
          </cell>
          <cell r="B3696" t="str">
            <v>10106269-E209001LF Connector,PB+VR</v>
          </cell>
          <cell r="C3696">
            <v>0.01</v>
          </cell>
          <cell r="D3696">
            <v>595</v>
          </cell>
          <cell r="E3696">
            <v>1785</v>
          </cell>
          <cell r="F3696">
            <v>5.3999999999999999E-2</v>
          </cell>
        </row>
        <row r="3697">
          <cell r="A3697" t="str">
            <v>10106269-HWPHD01LF</v>
          </cell>
          <cell r="B3697" t="str">
            <v>10106269-HWPHD01LF Connector,PB+VR</v>
          </cell>
          <cell r="C3697">
            <v>1.2E-2</v>
          </cell>
          <cell r="D3697">
            <v>495.83333333333331</v>
          </cell>
          <cell r="E3697">
            <v>1487.5</v>
          </cell>
          <cell r="F3697">
            <v>3.5000000000000003E-2</v>
          </cell>
        </row>
        <row r="3698">
          <cell r="A3698" t="str">
            <v>10106269-K002001LF</v>
          </cell>
          <cell r="B3698" t="str">
            <v>10106269-K002001LF Connector,PB+VR</v>
          </cell>
          <cell r="C3698">
            <v>3.3E-3</v>
          </cell>
          <cell r="D3698">
            <v>1803.030303030303</v>
          </cell>
          <cell r="E3698">
            <v>5409.090909090909</v>
          </cell>
          <cell r="F3698">
            <v>4.1000000000000002E-2</v>
          </cell>
        </row>
        <row r="3699">
          <cell r="A3699" t="str">
            <v>10106269-P306201LF</v>
          </cell>
          <cell r="B3699" t="str">
            <v>10106269-P306201LF Connector,PB+VR</v>
          </cell>
          <cell r="C3699">
            <v>6.7000000000000002E-3</v>
          </cell>
          <cell r="D3699">
            <v>888.05970149253733</v>
          </cell>
          <cell r="E3699">
            <v>2664.1791044776119</v>
          </cell>
          <cell r="F3699">
            <v>7.4999999999999997E-2</v>
          </cell>
        </row>
        <row r="3700">
          <cell r="A3700" t="str">
            <v>10110432-001A</v>
          </cell>
          <cell r="B3700" t="str">
            <v>10110432-001A Pwr Profile+</v>
          </cell>
          <cell r="C3700" t="e">
            <v>#N/A</v>
          </cell>
          <cell r="D3700" t="e">
            <v>#N/A</v>
          </cell>
          <cell r="E3700" t="e">
            <v>#N/A</v>
          </cell>
          <cell r="F3700">
            <v>0.02</v>
          </cell>
        </row>
        <row r="3701">
          <cell r="A3701" t="str">
            <v>10121750-0802081LF</v>
          </cell>
          <cell r="B3701" t="str">
            <v>10121750-0802081LF Connector,PB+RH</v>
          </cell>
          <cell r="C3701">
            <v>3.3E-3</v>
          </cell>
          <cell r="D3701">
            <v>1803.030303030303</v>
          </cell>
          <cell r="E3701">
            <v>5409.090909090909</v>
          </cell>
          <cell r="F3701">
            <v>5.8000000000000003E-2</v>
          </cell>
        </row>
        <row r="3702">
          <cell r="A3702" t="str">
            <v>10122539-0802081LF</v>
          </cell>
          <cell r="B3702" t="str">
            <v>10122539-0802081LF Connector,PB+VR</v>
          </cell>
          <cell r="C3702">
            <v>8.0999999999999996E-3</v>
          </cell>
          <cell r="D3702">
            <v>734.56790123456801</v>
          </cell>
          <cell r="E3702">
            <v>2203.7037037037039</v>
          </cell>
          <cell r="F3702">
            <v>6.6699999999999995E-2</v>
          </cell>
        </row>
        <row r="3703">
          <cell r="A3703" t="str">
            <v>10159169-2005S01LF</v>
          </cell>
          <cell r="B3703" t="str">
            <v>10159169-2005S01LF Connector,PB+RH</v>
          </cell>
          <cell r="C3703">
            <v>3.0000000000000001E-3</v>
          </cell>
          <cell r="D3703">
            <v>1983.3333333333333</v>
          </cell>
          <cell r="E3703">
            <v>5950</v>
          </cell>
          <cell r="F3703">
            <v>3.2000000000000001E-2</v>
          </cell>
        </row>
        <row r="3704">
          <cell r="A3704" t="str">
            <v>10106116-4008001LF</v>
          </cell>
          <cell r="B3704" t="str">
            <v>10106116-4008001LF PB+ RAH STB</v>
          </cell>
          <cell r="C3704">
            <v>3.0000000000000001E-3</v>
          </cell>
          <cell r="D3704">
            <v>1983.3333333333333</v>
          </cell>
          <cell r="E3704">
            <v>5950</v>
          </cell>
          <cell r="F3704">
            <v>3.9E-2</v>
          </cell>
        </row>
        <row r="3705">
          <cell r="A3705" t="str">
            <v>10106122-5004001LF</v>
          </cell>
          <cell r="B3705" t="str">
            <v>10106122-5004001LF PwrBlade+ VTR</v>
          </cell>
          <cell r="C3705">
            <v>5.0000000000000001E-3</v>
          </cell>
          <cell r="D3705">
            <v>1190</v>
          </cell>
          <cell r="E3705">
            <v>3570</v>
          </cell>
          <cell r="F3705">
            <v>1.9875E-2</v>
          </cell>
        </row>
        <row r="3706">
          <cell r="A3706" t="str">
            <v>10106124-4006005LF</v>
          </cell>
          <cell r="B3706" t="str">
            <v>10106124-4006005LF PB+ RAH STB</v>
          </cell>
          <cell r="C3706">
            <v>3.3E-3</v>
          </cell>
          <cell r="D3706">
            <v>1803.030303030303</v>
          </cell>
          <cell r="E3706">
            <v>5409.090909090909</v>
          </cell>
          <cell r="F3706">
            <v>2.7E-2</v>
          </cell>
        </row>
        <row r="3707">
          <cell r="A3707" t="str">
            <v>10106124-6004K01LF</v>
          </cell>
          <cell r="B3707" t="str">
            <v>10106124-6004K01LF PB+ RAH STB</v>
          </cell>
          <cell r="C3707">
            <v>4.0000000000000001E-3</v>
          </cell>
          <cell r="D3707">
            <v>1487.5</v>
          </cell>
          <cell r="E3707">
            <v>4462.5</v>
          </cell>
          <cell r="F3707">
            <v>2.9000000000000001E-2</v>
          </cell>
        </row>
        <row r="3708">
          <cell r="A3708" t="str">
            <v>10106132-4009101LF</v>
          </cell>
          <cell r="B3708" t="str">
            <v>10106132-4009101LF PB+ RAH STB</v>
          </cell>
          <cell r="C3708">
            <v>3.3E-3</v>
          </cell>
          <cell r="D3708">
            <v>1803.030303030303</v>
          </cell>
          <cell r="E3708">
            <v>5409.090909090909</v>
          </cell>
          <cell r="F3708">
            <v>2.8000000000000001E-2</v>
          </cell>
        </row>
        <row r="3709">
          <cell r="A3709" t="str">
            <v>10106132-4027101LF</v>
          </cell>
          <cell r="B3709" t="str">
            <v>10106132-4027101LF PB+ RAH STB</v>
          </cell>
          <cell r="C3709">
            <v>0.01</v>
          </cell>
          <cell r="D3709">
            <v>595</v>
          </cell>
          <cell r="E3709">
            <v>1785</v>
          </cell>
          <cell r="F3709">
            <v>5.0999999999999997E-2</v>
          </cell>
        </row>
        <row r="3710">
          <cell r="A3710" t="str">
            <v>10106132-A005002LF</v>
          </cell>
          <cell r="B3710" t="str">
            <v>10106132-A005002LF PwrBlade+ RAH</v>
          </cell>
          <cell r="C3710">
            <v>3.0000000000000001E-3</v>
          </cell>
          <cell r="D3710">
            <v>1983.3333333333333</v>
          </cell>
          <cell r="E3710">
            <v>5950</v>
          </cell>
          <cell r="F3710">
            <v>2.3E-2</v>
          </cell>
        </row>
        <row r="3711">
          <cell r="A3711" t="str">
            <v>10106139-4009101LF</v>
          </cell>
          <cell r="B3711" t="str">
            <v>10106139-4009101LF PwrBlade+ VTR</v>
          </cell>
          <cell r="C3711">
            <v>0.01</v>
          </cell>
          <cell r="D3711">
            <v>595</v>
          </cell>
          <cell r="E3711">
            <v>1785</v>
          </cell>
          <cell r="F3711">
            <v>2.895E-2</v>
          </cell>
        </row>
        <row r="3712">
          <cell r="A3712" t="str">
            <v>10106262-0002002LF</v>
          </cell>
          <cell r="B3712" t="str">
            <v>10106262-0002002LF PB+ RAH STB</v>
          </cell>
          <cell r="C3712">
            <v>3.3E-3</v>
          </cell>
          <cell r="D3712">
            <v>1803.030303030303</v>
          </cell>
          <cell r="E3712">
            <v>5409.090909090909</v>
          </cell>
          <cell r="F3712">
            <v>1.6934999999999999E-2</v>
          </cell>
        </row>
        <row r="3713">
          <cell r="A3713" t="str">
            <v>10106262-0527102LF</v>
          </cell>
          <cell r="B3713" t="str">
            <v>10106262-0527102LF PB+ RAH STB</v>
          </cell>
          <cell r="C3713">
            <v>5.5999999999999999E-3</v>
          </cell>
          <cell r="D3713">
            <v>1062.5</v>
          </cell>
          <cell r="E3713">
            <v>3187.5</v>
          </cell>
          <cell r="F3713">
            <v>8.8999999999999996E-2</v>
          </cell>
        </row>
        <row r="3714">
          <cell r="A3714" t="str">
            <v>10106262-0C05401LF</v>
          </cell>
          <cell r="B3714" t="str">
            <v>10106262-0C05401LF PB+ RAH_6LP+20S+6LP+2HD</v>
          </cell>
          <cell r="C3714">
            <v>3.3E-3</v>
          </cell>
          <cell r="D3714">
            <v>1803.030303030303</v>
          </cell>
          <cell r="E3714">
            <v>5409.090909090909</v>
          </cell>
          <cell r="F3714">
            <v>3.7999999999999999E-2</v>
          </cell>
        </row>
        <row r="3715">
          <cell r="A3715" t="str">
            <v>10106262-T006001LF</v>
          </cell>
          <cell r="B3715" t="str">
            <v>10106262-T006001LF PB+ RAH STB</v>
          </cell>
          <cell r="C3715">
            <v>3.3E-3</v>
          </cell>
          <cell r="D3715">
            <v>1803.030303030303</v>
          </cell>
          <cell r="E3715">
            <v>5409.090909090909</v>
          </cell>
          <cell r="F3715">
            <v>5.5E-2</v>
          </cell>
        </row>
        <row r="3716">
          <cell r="A3716" t="str">
            <v>10106268-7006001LF</v>
          </cell>
          <cell r="B3716" t="str">
            <v>10106268-7006001LF PB+ VTR STB</v>
          </cell>
          <cell r="C3716">
            <v>6.7000000000000002E-3</v>
          </cell>
          <cell r="D3716">
            <v>888.05970149253733</v>
          </cell>
          <cell r="E3716">
            <v>2664.1791044776119</v>
          </cell>
          <cell r="F3716">
            <v>3.0244440000000001E-2</v>
          </cell>
        </row>
        <row r="3717">
          <cell r="A3717" t="str">
            <v>10106268-9001001LF</v>
          </cell>
          <cell r="B3717" t="str">
            <v>10106268-9001001LF PwrBlade+ VTR</v>
          </cell>
          <cell r="C3717">
            <v>3.3E-3</v>
          </cell>
          <cell r="D3717">
            <v>1803.030303030303</v>
          </cell>
          <cell r="E3717">
            <v>5409.090909090909</v>
          </cell>
          <cell r="F3717">
            <v>2.5017306999999999E-2</v>
          </cell>
        </row>
        <row r="3718">
          <cell r="A3718" t="str">
            <v>10106269-3606001LF</v>
          </cell>
          <cell r="B3718" t="str">
            <v>10106269-3606001LF PwrBlade+ VTR</v>
          </cell>
          <cell r="C3718" t="e">
            <v>#N/A</v>
          </cell>
          <cell r="D3718" t="e">
            <v>#N/A</v>
          </cell>
          <cell r="E3718" t="e">
            <v>#N/A</v>
          </cell>
          <cell r="F3718">
            <v>3.6545399999999999E-2</v>
          </cell>
        </row>
        <row r="3719">
          <cell r="A3719" t="str">
            <v>10106269-B010001LF</v>
          </cell>
          <cell r="B3719" t="str">
            <v>10106269-B010001LF PwrBlade+ VTR</v>
          </cell>
          <cell r="C3719">
            <v>1.0999999999999999E-2</v>
          </cell>
          <cell r="D3719">
            <v>540.90909090909099</v>
          </cell>
          <cell r="E3719">
            <v>1622.727272727273</v>
          </cell>
          <cell r="F3719">
            <v>3.8300000000000001E-2</v>
          </cell>
        </row>
        <row r="3720">
          <cell r="A3720" t="str">
            <v>10106269-D006001LF</v>
          </cell>
          <cell r="B3720" t="str">
            <v>10106269-D006001LF PwrBlade+ VTR</v>
          </cell>
          <cell r="C3720">
            <v>2.1000000000000001E-2</v>
          </cell>
          <cell r="D3720">
            <v>283.33333333333331</v>
          </cell>
          <cell r="E3720">
            <v>850</v>
          </cell>
          <cell r="F3720">
            <v>4.82075E-2</v>
          </cell>
        </row>
        <row r="3721">
          <cell r="A3721" t="str">
            <v>10106269-D010001LF</v>
          </cell>
          <cell r="B3721" t="str">
            <v>10106269-D010001LF PwrBlade+ VTR</v>
          </cell>
          <cell r="C3721">
            <v>1.0999999999999999E-2</v>
          </cell>
          <cell r="D3721">
            <v>540.90909090909099</v>
          </cell>
          <cell r="E3721">
            <v>1622.727272727273</v>
          </cell>
          <cell r="F3721">
            <v>3.0028124999999999E-2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nnivi\AppData\Local\Microsoft\Windows\INetCache\Content.Outlook\BRGBLD5X\Aug-25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ni, Vivek" refreshedDate="45560.608339236111" createdVersion="6" refreshedVersion="6" minRefreshableVersion="3" recordCount="28" xr:uid="{00000000-000A-0000-FFFF-FFFF00000000}">
  <cacheSource type="worksheet">
    <worksheetSource ref="A1:AJ29" sheet="Data (2)"/>
  </cacheSource>
  <cacheFields count="38">
    <cacheField name="Site" numFmtId="0">
      <sharedItems containsBlank="1"/>
    </cacheField>
    <cacheField name="Order" numFmtId="0">
      <sharedItems containsBlank="1"/>
    </cacheField>
    <cacheField name="Line" numFmtId="0">
      <sharedItems containsBlank="1"/>
    </cacheField>
    <cacheField name="Sold-To" numFmtId="0">
      <sharedItems containsBlank="1"/>
    </cacheField>
    <cacheField name="Ship-To" numFmtId="0">
      <sharedItems containsBlank="1"/>
    </cacheField>
    <cacheField name="Cust Sort Name" numFmtId="0">
      <sharedItems containsBlank="1"/>
    </cacheField>
    <cacheField name="Shipto Sort Name" numFmtId="0">
      <sharedItems containsBlank="1"/>
    </cacheField>
    <cacheField name="Purchase Order" numFmtId="0">
      <sharedItems containsBlank="1"/>
    </cacheField>
    <cacheField name="Order Date" numFmtId="0">
      <sharedItems containsNonDate="0" containsDate="1" containsString="0" containsBlank="1" minDate="2024-01-17T00:00:00" maxDate="2024-09-24T00:00:00"/>
    </cacheField>
    <cacheField name="Customer Item" numFmtId="0">
      <sharedItems containsBlank="1" count="17">
        <s v="10162405-1S2009LF"/>
        <s v="10130664-9D0355LF"/>
        <s v="10130664-9D0354LF"/>
        <s v="10165987-101LF"/>
        <s v="10150562-001"/>
        <s v="10130664-9B0319HLF[AMPHENOL]"/>
        <s v="10162405-1S2009LF[AMPHENOL]"/>
        <s v="35108WR00-245-G"/>
        <s v="FCI10158287-9RF03&gt;"/>
        <s v="FCI10130664-1RF&gt;B&gt;"/>
        <s v="10130664-9D0356LF"/>
        <s v="AMZ-216-003899-001"/>
        <s v="FCI10162405-1S2&gt;&gt;&gt;"/>
        <s v="10158287-9RF034HF"/>
        <s v=""/>
        <s v="B50.0260X.0021"/>
        <m/>
      </sharedItems>
    </cacheField>
    <cacheField name="Item Number" numFmtId="0">
      <sharedItems containsBlank="1"/>
    </cacheField>
    <cacheField name="UM" numFmtId="0">
      <sharedItems containsBlank="1"/>
    </cacheField>
    <cacheField name="Item Description" numFmtId="0">
      <sharedItems containsBlank="1" count="11">
        <s v="10162405-1S2009LF       BARKLIP CABLE ASSEMBLY"/>
        <s v="10130664-9D0355LF       BARKLIP CABLE ASSY-135MM"/>
        <s v="10130664-9D0354LF       BARKLIP CABLE ASSY-196MM"/>
        <s v="10165987-101LF          2POS RAPID LOCK CNR KIT"/>
        <s v="10150562-001            HOUSING RPS04HBR01F"/>
        <s v="10130664-9B0319HLF      BARKLIP CABLE ASSEMBLY"/>
        <s v="10158287-9RF034HF       BK 300 CABLE ASSY"/>
        <s v="10130664-1RF474HF       BK200 IO CABLE ASSY"/>
        <s v="10130664-9D0356LF       BARKLIP CABLE ASSY-82MM"/>
        <s v="10130664-9SF463LF       BK200 I/O Cable Assembly"/>
        <m/>
      </sharedItems>
    </cacheField>
    <cacheField name="HPL" numFmtId="0">
      <sharedItems containsBlank="1"/>
    </cacheField>
    <cacheField name="SOP" numFmtId="0">
      <sharedItems containsBlank="1"/>
    </cacheField>
    <cacheField name="Item Group" numFmtId="0">
      <sharedItems containsBlank="1"/>
    </cacheField>
    <cacheField name="Required Date" numFmtId="0">
      <sharedItems containsNonDate="0" containsDate="1" containsString="0" containsBlank="1" minDate="2024-09-12T00:00:00" maxDate="2024-11-09T00:00:00"/>
    </cacheField>
    <cacheField name="Due Date" numFmtId="0">
      <sharedItems containsNonDate="0" containsDate="1" containsString="0" containsBlank="1" minDate="2024-10-04T00:00:00" maxDate="2049-10-05T00:00:00"/>
    </cacheField>
    <cacheField name="Promised Due Date" numFmtId="0">
      <sharedItems containsNonDate="0" containsDate="1" containsString="0" containsBlank="1" minDate="2024-10-04T00:00:00" maxDate="2049-10-05T00:00:00" count="9">
        <d v="2024-10-04T00:00:00"/>
        <d v="2024-10-09T00:00:00"/>
        <d v="2024-10-11T00:00:00"/>
        <d v="2024-10-18T00:00:00"/>
        <d v="2024-10-25T00:00:00"/>
        <d v="2049-10-04T00:00:00"/>
        <d v="2024-11-01T00:00:00"/>
        <d v="2024-11-08T00:00:00"/>
        <m/>
      </sharedItems>
      <fieldGroup par="37" base="18">
        <rangePr groupBy="months" startDate="2024-10-04T00:00:00" endDate="2049-10-0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0-2049"/>
        </groupItems>
      </fieldGroup>
    </cacheField>
    <cacheField name="Lead Time" numFmtId="0">
      <sharedItems containsString="0" containsBlank="1" containsNumber="1" containsInteger="1" minValue="-9131" maxValue="0"/>
    </cacheField>
    <cacheField name="Available Qty On Hand" numFmtId="0">
      <sharedItems containsString="0" containsBlank="1" containsNumber="1" containsInteger="1" minValue="0" maxValue="10080"/>
    </cacheField>
    <cacheField name="Not Avail QOH" numFmtId="0">
      <sharedItems containsString="0" containsBlank="1" containsNumber="1" containsInteger="1" minValue="0" maxValue="3308"/>
    </cacheField>
    <cacheField name="QOH (OTHER SITES)" numFmtId="0">
      <sharedItems containsString="0" containsBlank="1" containsNumber="1" containsInteger="1" minValue="0" maxValue="0"/>
    </cacheField>
    <cacheField name="Qty Ordered" numFmtId="0">
      <sharedItems containsString="0" containsBlank="1" containsNumber="1" containsInteger="1" minValue="100" maxValue="25000"/>
    </cacheField>
    <cacheField name="Quantity Allocated" numFmtId="0">
      <sharedItems containsString="0" containsBlank="1" containsNumber="1" containsInteger="1" minValue="0" maxValue="0"/>
    </cacheField>
    <cacheField name="Quantity Picked" numFmtId="0">
      <sharedItems containsString="0" containsBlank="1" containsNumber="1" containsInteger="1" minValue="0" maxValue="0"/>
    </cacheField>
    <cacheField name="Qty Shipped" numFmtId="0">
      <sharedItems containsString="0" containsBlank="1" containsNumber="1" containsInteger="1" minValue="0" maxValue="0"/>
    </cacheField>
    <cacheField name="Quantity Invoiced" numFmtId="0">
      <sharedItems containsString="0" containsBlank="1" containsNumber="1" containsInteger="1" minValue="0" maxValue="0"/>
    </cacheField>
    <cacheField name="Qty Open" numFmtId="0">
      <sharedItems containsString="0" containsBlank="1" containsNumber="1" containsInteger="1" minValue="100" maxValue="25000"/>
    </cacheField>
    <cacheField name="Price" numFmtId="0">
      <sharedItems containsString="0" containsBlank="1" containsNumber="1" minValue="0.26688000000000001" maxValue="4627.26"/>
    </cacheField>
    <cacheField name="Total Line" numFmtId="0">
      <sharedItems containsString="0" containsBlank="1" containsNumber="1" minValue="2668.8" maxValue="1850904"/>
    </cacheField>
    <cacheField name="Currency" numFmtId="0">
      <sharedItems containsBlank="1"/>
    </cacheField>
    <cacheField name="Actual Exchange Rate" numFmtId="0">
      <sharedItems containsString="0" containsBlank="1" containsNumber="1" minValue="1" maxValue="84.033609999999996"/>
    </cacheField>
    <cacheField name="Base Currency Amount" numFmtId="0">
      <sharedItems containsSemiMixedTypes="0" containsString="0" containsNumber="1" minValue="1992.1004020891166" maxValue="167403388.27000001"/>
    </cacheField>
    <cacheField name="Category" numFmtId="0">
      <sharedItems containsBlank="1"/>
    </cacheField>
    <cacheField name="Modified Date" numFmtId="0">
      <sharedItems containsNonDate="0" containsDate="1" containsString="0" containsBlank="1" minDate="2024-06-04T00:00:00" maxDate="2024-09-24T00:00:00"/>
    </cacheField>
    <cacheField name="Quarters" numFmtId="0" databaseField="0">
      <fieldGroup base="18">
        <rangePr groupBy="quarters" startDate="2024-10-04T00:00:00" endDate="2049-10-05T00:00:00"/>
        <groupItems count="6">
          <s v="&lt;04-10-2024"/>
          <s v="Qtr1"/>
          <s v="Qtr2"/>
          <s v="Qtr3"/>
          <s v="Qtr4"/>
          <s v="&gt;05-10-2049"/>
        </groupItems>
      </fieldGroup>
    </cacheField>
    <cacheField name="Years" numFmtId="0" databaseField="0">
      <fieldGroup base="18">
        <rangePr groupBy="years" startDate="2024-10-04T00:00:00" endDate="2049-10-05T00:00:00"/>
        <groupItems count="28">
          <s v="&lt;04-10-2024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&gt;05-10-204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-G, Sreenath" refreshedDate="45775.723296296295" createdVersion="6" refreshedVersion="6" minRefreshableVersion="3" recordCount="120" xr:uid="{00000000-000A-0000-FFFF-FFFF01000000}">
  <cacheSource type="worksheet">
    <worksheetSource ref="A2:G1048576" sheet="May plan" r:id="rId2"/>
  </cacheSource>
  <cacheFields count="7">
    <cacheField name="HPL" numFmtId="0">
      <sharedItems containsBlank="1"/>
    </cacheField>
    <cacheField name="Item Group" numFmtId="0">
      <sharedItems containsBlank="1" count="31">
        <s v="346PB+RH"/>
        <s v="346PB+VR"/>
        <s v="352ACIPC"/>
        <s v="355BK100"/>
        <s v="355BK300"/>
        <s v="355BK50C"/>
        <s v="355BRKCA"/>
        <s v="355METCA"/>
        <s v="355TSLCA"/>
        <s v="355TT2CA"/>
        <s v="356ACICB"/>
        <s v="356MC54I"/>
        <s v="356ORV3E"/>
        <s v="356ORV3I"/>
        <s v="356ORVM2"/>
        <s v="5031ASM"/>
        <s v="503BKACC"/>
        <s v="519BBINC"/>
        <s v="519BK25"/>
        <s v="519BK350"/>
        <s v="520ET30H"/>
        <s v="520ORv3 "/>
        <s v="520RLKT"/>
        <s v="552PB+RH"/>
        <s v="552PB+VR"/>
        <s v="552PBRAH"/>
        <s v="552PBRAR"/>
        <s v="552PWBVR"/>
        <s v="612ET20H"/>
        <s v="612FIT30"/>
        <m/>
      </sharedItems>
    </cacheField>
    <cacheField name="Row Labels" numFmtId="0">
      <sharedItems containsBlank="1"/>
    </cacheField>
    <cacheField name="Quantity" numFmtId="177">
      <sharedItems containsString="0" containsBlank="1" containsNumber="1" containsInteger="1" minValue="0" maxValue="240000"/>
    </cacheField>
    <cacheField name="Value" numFmtId="177">
      <sharedItems containsString="0" containsBlank="1" containsNumber="1" minValue="0" maxValue="7230.8795083896739"/>
    </cacheField>
    <cacheField name="Additional FG to be considered" numFmtId="0">
      <sharedItems containsString="0" containsBlank="1" containsNumber="1" containsInteger="1" minValue="489" maxValue="50000"/>
    </cacheField>
    <cacheField name="Remarks" numFmtId="177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s v="49560"/>
    <s v="ET105455"/>
    <s v="1"/>
    <s v="EACA05"/>
    <s v="EACA0503"/>
    <s v="AVNET ASIA PTE Ltd"/>
    <s v="EACA05"/>
    <s v="6208662616"/>
    <d v="2024-07-11T00:00:00"/>
    <x v="0"/>
    <s v="10162405-1S2009LF"/>
    <s v="EA"/>
    <x v="0"/>
    <s v="355"/>
    <s v="20GF"/>
    <s v="503BRKCA"/>
    <d v="2024-10-04T00:00:00"/>
    <d v="2024-10-04T00:00:00"/>
    <x v="0"/>
    <n v="0"/>
    <n v="4400"/>
    <n v="3308"/>
    <n v="0"/>
    <n v="15000"/>
    <n v="0"/>
    <n v="0"/>
    <n v="0"/>
    <n v="0"/>
    <n v="15000"/>
    <n v="10.86"/>
    <n v="162900"/>
    <s v="USD"/>
    <n v="84.033609999999996"/>
    <n v="13574999.460000001"/>
    <s v=""/>
    <d v="2024-07-11T00:00:00"/>
  </r>
  <r>
    <s v="49560"/>
    <s v="ET105395"/>
    <s v="2"/>
    <s v="EACA05"/>
    <s v="EACA0503"/>
    <s v="AVNET ASIA PTE Ltd"/>
    <s v="EACA05"/>
    <s v="6208588520"/>
    <d v="2024-06-04T00:00:00"/>
    <x v="0"/>
    <s v="10162405-1S2009LF"/>
    <s v="EA"/>
    <x v="0"/>
    <s v="355"/>
    <s v="20GF"/>
    <s v="503BRKCA"/>
    <d v="2024-10-04T00:00:00"/>
    <d v="2024-10-04T00:00:00"/>
    <x v="0"/>
    <n v="0"/>
    <n v="4400"/>
    <n v="3308"/>
    <n v="0"/>
    <n v="10000"/>
    <n v="0"/>
    <n v="0"/>
    <n v="0"/>
    <n v="0"/>
    <n v="10000"/>
    <n v="10.86"/>
    <n v="108600"/>
    <s v="USD"/>
    <n v="84.033609999999996"/>
    <n v="9049999.6400000006"/>
    <s v=""/>
    <d v="2024-06-04T00:00:00"/>
  </r>
  <r>
    <s v="49560"/>
    <s v="EF101973"/>
    <s v="1"/>
    <s v="US10"/>
    <s v="314601"/>
    <s v="FCI USA LLC"/>
    <s v="FCI Electronics"/>
    <s v="408701"/>
    <d v="2024-07-15T00:00:00"/>
    <x v="1"/>
    <s v="10130664-9D0355LF"/>
    <s v="EA"/>
    <x v="1"/>
    <s v="355"/>
    <s v="22EF"/>
    <s v="503BRKCA"/>
    <d v="2024-10-09T00:00:00"/>
    <d v="2024-10-09T00:00:00"/>
    <x v="1"/>
    <n v="0"/>
    <n v="0"/>
    <n v="0"/>
    <n v="0"/>
    <n v="720"/>
    <n v="0"/>
    <n v="0"/>
    <n v="0"/>
    <n v="0"/>
    <n v="720"/>
    <n v="5.6231999999999998"/>
    <n v="4048.7"/>
    <s v="USD"/>
    <n v="84.033609999999996"/>
    <n v="337391.99"/>
    <s v=""/>
    <m/>
  </r>
  <r>
    <s v="49560"/>
    <s v="EF101973"/>
    <s v="2"/>
    <s v="US10"/>
    <s v="314601"/>
    <s v="FCI USA LLC"/>
    <s v="FCI Electronics"/>
    <s v="408701"/>
    <d v="2024-07-15T00:00:00"/>
    <x v="2"/>
    <s v="10130664-9D0354LF"/>
    <s v="EA"/>
    <x v="2"/>
    <s v="355"/>
    <s v="22EF"/>
    <s v="503BRKCA"/>
    <d v="2024-10-09T00:00:00"/>
    <d v="2024-10-09T00:00:00"/>
    <x v="1"/>
    <n v="0"/>
    <n v="312"/>
    <n v="0"/>
    <n v="0"/>
    <n v="720"/>
    <n v="0"/>
    <n v="0"/>
    <n v="0"/>
    <n v="0"/>
    <n v="720"/>
    <n v="5.7816000000000001"/>
    <n v="4162.8"/>
    <s v="USD"/>
    <n v="84.033609999999996"/>
    <n v="346895.99"/>
    <s v=""/>
    <m/>
  </r>
  <r>
    <s v="49560"/>
    <s v="EF102298"/>
    <s v="1"/>
    <s v="CN43"/>
    <s v="CN43"/>
    <s v="FCI NANTONG LTD."/>
    <s v="FCI NANTONG LTD."/>
    <s v="IN56CW12"/>
    <d v="2024-08-21T00:00:00"/>
    <x v="3"/>
    <s v="10165987-101LF"/>
    <s v="EA"/>
    <x v="3"/>
    <s v="503"/>
    <s v="22ZS"/>
    <s v="5031ASM"/>
    <d v="2024-10-04T00:00:00"/>
    <d v="2024-10-11T00:00:00"/>
    <x v="2"/>
    <n v="-7"/>
    <n v="0"/>
    <n v="0"/>
    <n v="0"/>
    <n v="20000"/>
    <n v="0"/>
    <n v="0"/>
    <n v="0"/>
    <n v="0"/>
    <n v="20000"/>
    <n v="4.5704500000000001"/>
    <n v="91409"/>
    <s v="USD"/>
    <n v="84.033609999999996"/>
    <n v="7681428.2599999998"/>
    <s v=""/>
    <m/>
  </r>
  <r>
    <s v="49560"/>
    <s v="EF102263"/>
    <s v="1"/>
    <s v="CN43"/>
    <s v="CN43"/>
    <s v="FCI NANTONG LTD."/>
    <s v="FCI NANTONG LTD."/>
    <s v="IN56CX17"/>
    <d v="2024-08-15T00:00:00"/>
    <x v="4"/>
    <s v="10150562-001"/>
    <s v="EA"/>
    <x v="4"/>
    <s v="503"/>
    <s v="22ZS"/>
    <s v="503BRKCA"/>
    <d v="2024-10-11T00:00:00"/>
    <d v="2024-10-11T00:00:00"/>
    <x v="2"/>
    <n v="0"/>
    <n v="0"/>
    <n v="0"/>
    <n v="0"/>
    <n v="15000"/>
    <n v="0"/>
    <n v="0"/>
    <n v="0"/>
    <n v="0"/>
    <n v="15000"/>
    <n v="0.26688000000000001"/>
    <n v="4003.2"/>
    <s v="USD"/>
    <n v="84.033609999999996"/>
    <n v="336403.35"/>
    <s v=""/>
    <m/>
  </r>
  <r>
    <s v="49560"/>
    <s v="ET105556"/>
    <s v="1"/>
    <s v="EACV02"/>
    <s v="EACV0206"/>
    <s v="VSELL ENTERPRISE CO."/>
    <s v="EACV02"/>
    <s v="400004792"/>
    <d v="2024-08-14T00:00:00"/>
    <x v="5"/>
    <s v="10130664-9B0319HLF"/>
    <s v="EA"/>
    <x v="5"/>
    <s v="355"/>
    <s v="22EF"/>
    <s v="503BRKCA"/>
    <d v="2024-10-04T00:00:00"/>
    <d v="2024-10-11T00:00:00"/>
    <x v="2"/>
    <n v="-7"/>
    <n v="9840"/>
    <n v="2180"/>
    <n v="0"/>
    <n v="25000"/>
    <n v="0"/>
    <n v="0"/>
    <n v="0"/>
    <n v="0"/>
    <n v="25000"/>
    <n v="22.92"/>
    <n v="573000"/>
    <s v="USD"/>
    <n v="84.033609999999996"/>
    <n v="48151258.530000001"/>
    <s v=""/>
    <d v="2024-08-14T00:00:00"/>
  </r>
  <r>
    <s v="49560"/>
    <s v="EF102131"/>
    <s v="6"/>
    <s v="US10"/>
    <s v="31461"/>
    <s v="FCI USA LLC"/>
    <s v="SANMINA SCI"/>
    <s v="410017"/>
    <d v="2024-08-02T00:00:00"/>
    <x v="1"/>
    <s v="10130664-9D0355LF"/>
    <s v="EA"/>
    <x v="1"/>
    <s v="355"/>
    <s v="22EF"/>
    <s v="503BRKCA"/>
    <d v="2024-10-11T00:00:00"/>
    <d v="2024-10-11T00:00:00"/>
    <x v="2"/>
    <n v="0"/>
    <n v="0"/>
    <n v="0"/>
    <n v="0"/>
    <n v="720"/>
    <n v="0"/>
    <n v="0"/>
    <n v="0"/>
    <n v="0"/>
    <n v="720"/>
    <n v="5.6231999999999998"/>
    <n v="4048.7"/>
    <s v="USD"/>
    <n v="84.033609999999996"/>
    <n v="340227.21"/>
    <s v=""/>
    <m/>
  </r>
  <r>
    <s v="49560"/>
    <s v="ET105587"/>
    <s v="1"/>
    <s v="EACV02"/>
    <s v="EACV0203"/>
    <s v="VSELL ENTERPRISE CO."/>
    <s v="EACV02"/>
    <s v="400005117"/>
    <d v="2024-09-03T00:00:00"/>
    <x v="6"/>
    <s v="10162405-1S2009LF"/>
    <s v="EA"/>
    <x v="0"/>
    <s v="355"/>
    <s v="20GF"/>
    <s v="503BRKCA"/>
    <d v="2024-10-11T00:00:00"/>
    <d v="2024-10-18T00:00:00"/>
    <x v="3"/>
    <n v="-7"/>
    <n v="4400"/>
    <n v="3308"/>
    <n v="0"/>
    <n v="2300"/>
    <n v="0"/>
    <n v="0"/>
    <n v="0"/>
    <n v="0"/>
    <n v="2300"/>
    <n v="10.43"/>
    <n v="23989"/>
    <s v="USD"/>
    <n v="84.033609999999996"/>
    <n v="2015882.27"/>
    <s v=""/>
    <d v="2024-09-03T00:00:00"/>
  </r>
  <r>
    <s v="49560"/>
    <s v="EI33615"/>
    <s v="10"/>
    <s v="EACA05"/>
    <s v="EACA0504"/>
    <s v="AVNET ASIA PTE Ltd"/>
    <s v="Ingrasys Technology Mexi"/>
    <s v="6208763304"/>
    <d v="2024-09-02T00:00:00"/>
    <x v="7"/>
    <s v="10158287-9RF034HF"/>
    <s v="EA"/>
    <x v="6"/>
    <s v="355"/>
    <s v="22EF"/>
    <s v="503BRKCA"/>
    <d v="2024-09-26T00:00:00"/>
    <d v="2024-10-18T00:00:00"/>
    <x v="3"/>
    <n v="-22"/>
    <n v="640"/>
    <n v="700"/>
    <n v="0"/>
    <n v="10000"/>
    <n v="0"/>
    <n v="0"/>
    <n v="0"/>
    <n v="0"/>
    <n v="10000"/>
    <n v="14.11"/>
    <n v="141100"/>
    <s v="USD"/>
    <n v="84.033609999999996"/>
    <n v="11857142.369999999"/>
    <s v=""/>
    <m/>
  </r>
  <r>
    <s v="49560"/>
    <s v="EF102274"/>
    <s v="3"/>
    <s v="US10"/>
    <s v="314601"/>
    <s v="FCI USA LLC"/>
    <s v="FCI Electronics"/>
    <s v="410896"/>
    <d v="2024-08-17T00:00:00"/>
    <x v="2"/>
    <s v="10130664-9D0354LF"/>
    <s v="EA"/>
    <x v="2"/>
    <s v="355"/>
    <s v="22EF"/>
    <s v="503BRKCA"/>
    <d v="2024-10-18T00:00:00"/>
    <d v="2024-10-18T00:00:00"/>
    <x v="3"/>
    <n v="0"/>
    <n v="312"/>
    <n v="0"/>
    <n v="0"/>
    <n v="2160"/>
    <n v="0"/>
    <n v="0"/>
    <n v="0"/>
    <n v="0"/>
    <n v="2160"/>
    <n v="5.7816000000000001"/>
    <n v="12488"/>
    <s v="USD"/>
    <n v="84.033609999999996"/>
    <n v="1049433.23"/>
    <s v=""/>
    <m/>
  </r>
  <r>
    <s v="49560"/>
    <s v="EI32990"/>
    <s v="10"/>
    <s v="EACA05"/>
    <s v="EACA0503"/>
    <s v="AVNET ASIA PTE Ltd"/>
    <s v="EACA05"/>
    <s v="6208716672"/>
    <d v="2024-08-13T00:00:00"/>
    <x v="8"/>
    <s v="10158287-9RF034HF"/>
    <s v="EA"/>
    <x v="6"/>
    <s v="355"/>
    <s v="22EF"/>
    <s v="503BRKCA"/>
    <d v="2024-09-12T00:00:00"/>
    <d v="2024-10-18T00:00:00"/>
    <x v="3"/>
    <n v="-36"/>
    <n v="640"/>
    <n v="700"/>
    <n v="0"/>
    <n v="10000"/>
    <n v="0"/>
    <n v="0"/>
    <n v="0"/>
    <n v="0"/>
    <n v="10000"/>
    <n v="14.11"/>
    <n v="141100"/>
    <s v="USD"/>
    <n v="84.033609999999996"/>
    <n v="11857142.369999999"/>
    <s v=""/>
    <m/>
  </r>
  <r>
    <s v="49560"/>
    <s v="ET105456"/>
    <s v="1"/>
    <s v="EACA05"/>
    <s v="EACA0503"/>
    <s v="AVNET ASIA PTE Ltd"/>
    <s v="EACA05"/>
    <s v="6208662618"/>
    <d v="2024-07-11T00:00:00"/>
    <x v="0"/>
    <s v="10162405-1S2009LF"/>
    <s v="EA"/>
    <x v="0"/>
    <s v="355"/>
    <s v="20GF"/>
    <s v="503BRKCA"/>
    <d v="2024-10-18T00:00:00"/>
    <d v="2024-10-18T00:00:00"/>
    <x v="3"/>
    <n v="0"/>
    <n v="4400"/>
    <n v="3308"/>
    <n v="0"/>
    <n v="10000"/>
    <n v="0"/>
    <n v="0"/>
    <n v="0"/>
    <n v="0"/>
    <n v="10000"/>
    <n v="10.86"/>
    <n v="108600"/>
    <s v="USD"/>
    <n v="84.033609999999996"/>
    <n v="9049999.6400000006"/>
    <s v=""/>
    <d v="2024-07-11T00:00:00"/>
  </r>
  <r>
    <s v="49560"/>
    <s v="EI34065"/>
    <s v="10"/>
    <s v="EACA05"/>
    <s v="EACA0503"/>
    <s v="AVNET ASIA PTE Ltd"/>
    <s v="EACA05"/>
    <s v="6208794006"/>
    <d v="2024-09-19T00:00:00"/>
    <x v="9"/>
    <s v="10130664-1RF474HF"/>
    <s v="EA"/>
    <x v="7"/>
    <s v="355"/>
    <s v="22EF"/>
    <s v="355BRKCA"/>
    <d v="2024-09-26T00:00:00"/>
    <d v="2024-10-25T00:00:00"/>
    <x v="4"/>
    <n v="-29"/>
    <n v="60"/>
    <n v="0"/>
    <n v="0"/>
    <n v="1620"/>
    <n v="0"/>
    <n v="0"/>
    <n v="0"/>
    <n v="0"/>
    <n v="1620"/>
    <n v="30.37"/>
    <n v="49199"/>
    <s v="USD"/>
    <n v="84.033609999999996"/>
    <n v="4134403.19"/>
    <s v=""/>
    <m/>
  </r>
  <r>
    <s v="49560"/>
    <s v="EF102131"/>
    <s v="7"/>
    <s v="US10"/>
    <s v="31461"/>
    <s v="FCI USA LLC"/>
    <s v="SANMINA SCI"/>
    <s v="410017"/>
    <d v="2024-08-02T00:00:00"/>
    <x v="10"/>
    <s v="10130664-9D0356LF"/>
    <s v="EA"/>
    <x v="8"/>
    <s v="355"/>
    <s v="22EF"/>
    <s v="503BRKCA"/>
    <d v="2024-10-25T00:00:00"/>
    <d v="2024-10-25T00:00:00"/>
    <x v="4"/>
    <n v="0"/>
    <n v="0"/>
    <n v="96"/>
    <n v="0"/>
    <n v="720"/>
    <n v="0"/>
    <n v="0"/>
    <n v="0"/>
    <n v="0"/>
    <n v="720"/>
    <n v="5.4"/>
    <n v="3888"/>
    <s v="USD"/>
    <n v="84.033609999999996"/>
    <n v="326722.68"/>
    <s v=""/>
    <m/>
  </r>
  <r>
    <s v="49560"/>
    <s v="ET105497"/>
    <s v="1"/>
    <s v="EUCF02"/>
    <s v="EUCF0201"/>
    <s v="FLEXTRONICS INTERNATIONA"/>
    <s v="EUCF02"/>
    <s v="269P18095"/>
    <d v="2024-07-29T00:00:00"/>
    <x v="11"/>
    <s v="10130664-1RF474HF"/>
    <s v="EA"/>
    <x v="7"/>
    <s v="355"/>
    <s v="22EF"/>
    <s v="355BRKCA"/>
    <d v="2024-10-25T00:00:00"/>
    <d v="2024-10-25T00:00:00"/>
    <x v="4"/>
    <n v="0"/>
    <n v="60"/>
    <n v="0"/>
    <n v="0"/>
    <n v="1000"/>
    <n v="0"/>
    <n v="0"/>
    <n v="0"/>
    <n v="0"/>
    <n v="1000"/>
    <n v="34.93"/>
    <n v="34930"/>
    <s v="USD"/>
    <n v="84.033609999999996"/>
    <n v="2910833.22"/>
    <s v=""/>
    <d v="2024-07-29T00:00:00"/>
  </r>
  <r>
    <s v="49560"/>
    <s v="EI32675"/>
    <s v="10"/>
    <s v="EACA05"/>
    <s v="EACA0503"/>
    <s v="AVNET ASIA PTE Ltd"/>
    <s v="EACA05"/>
    <s v="6208691032"/>
    <d v="2024-07-26T00:00:00"/>
    <x v="12"/>
    <s v="10162405-1S2009LF"/>
    <s v="EA"/>
    <x v="0"/>
    <s v="355"/>
    <s v="20GF"/>
    <s v="503BRKCA"/>
    <d v="2024-10-25T00:00:00"/>
    <d v="2024-10-25T00:00:00"/>
    <x v="4"/>
    <n v="0"/>
    <n v="4400"/>
    <n v="3308"/>
    <n v="0"/>
    <n v="15000"/>
    <n v="0"/>
    <n v="0"/>
    <n v="0"/>
    <n v="0"/>
    <n v="15000"/>
    <n v="10.86"/>
    <n v="162900"/>
    <s v="USD"/>
    <n v="84.033609999999996"/>
    <n v="13574999.460000001"/>
    <s v=""/>
    <m/>
  </r>
  <r>
    <s v="49560"/>
    <s v="ET105478"/>
    <s v="10"/>
    <s v="EUCF02"/>
    <s v="EUCF0201"/>
    <s v="FLEXTRONICS INTERNATIONA"/>
    <s v="EUCF02"/>
    <s v="269P18066"/>
    <d v="2024-07-22T00:00:00"/>
    <x v="11"/>
    <s v="10130664-1RF474HF"/>
    <s v="EA"/>
    <x v="7"/>
    <s v="355"/>
    <s v="22EF"/>
    <s v="355BRKCA"/>
    <d v="2024-10-25T00:00:00"/>
    <d v="2024-10-25T00:00:00"/>
    <x v="4"/>
    <n v="0"/>
    <n v="60"/>
    <n v="0"/>
    <n v="0"/>
    <n v="1000"/>
    <n v="0"/>
    <n v="0"/>
    <n v="0"/>
    <n v="0"/>
    <n v="1000"/>
    <n v="34.93"/>
    <n v="34930"/>
    <s v="USD"/>
    <n v="84.033609999999996"/>
    <n v="2910833.22"/>
    <s v=""/>
    <d v="2024-07-22T00:00:00"/>
  </r>
  <r>
    <s v="49560"/>
    <s v="EF100293"/>
    <s v="4"/>
    <s v="TW00"/>
    <s v="460010"/>
    <s v="FCI TAIWAN"/>
    <s v="QUADREP ELECTRONICS LTD"/>
    <s v="N6Q41167"/>
    <d v="2024-01-17T00:00:00"/>
    <x v="13"/>
    <s v="10158287-9RF034HF"/>
    <s v="EA"/>
    <x v="6"/>
    <s v="355"/>
    <s v="22EF"/>
    <s v="503BRKCA"/>
    <d v="2024-10-25T00:00:00"/>
    <d v="2024-10-25T00:00:00"/>
    <x v="4"/>
    <n v="0"/>
    <n v="640"/>
    <n v="700"/>
    <n v="0"/>
    <n v="15000"/>
    <n v="0"/>
    <n v="0"/>
    <n v="0"/>
    <n v="0"/>
    <n v="15000"/>
    <n v="14.845470000000001"/>
    <n v="222682"/>
    <s v="USD"/>
    <n v="84.033609999999996"/>
    <n v="18556836.760000002"/>
    <s v=""/>
    <m/>
  </r>
  <r>
    <s v="49560"/>
    <s v="DISP0067"/>
    <s v="1"/>
    <s v="IBCA51"/>
    <s v="IBCA5102"/>
    <s v="Avnet India Pvt. Ltd"/>
    <s v="AVNET INDIA PVT LTD"/>
    <s v="6208790310"/>
    <d v="2024-09-23T00:00:00"/>
    <x v="14"/>
    <s v="10130664-9SF463LF"/>
    <s v="EA"/>
    <x v="9"/>
    <s v="355"/>
    <s v="22EF"/>
    <s v="355BRKCA"/>
    <d v="2024-10-04T00:00:00"/>
    <d v="2049-10-04T00:00:00"/>
    <x v="5"/>
    <n v="-9131"/>
    <n v="0"/>
    <n v="0"/>
    <n v="0"/>
    <n v="100"/>
    <n v="0"/>
    <n v="0"/>
    <n v="0"/>
    <n v="0"/>
    <n v="100"/>
    <n v="4627.26"/>
    <n v="462726"/>
    <s v="INR"/>
    <n v="1"/>
    <n v="462726"/>
    <s v=""/>
    <d v="2024-09-23T00:00:00"/>
  </r>
  <r>
    <s v="49560"/>
    <s v="DISP0066"/>
    <s v="1"/>
    <s v="IBCA51"/>
    <s v="IBCA5102"/>
    <s v="Avnet India Pvt. Ltd"/>
    <s v="AVNET INDIA PVT LTD"/>
    <s v="6208790311"/>
    <d v="2024-09-23T00:00:00"/>
    <x v="14"/>
    <s v="10130664-9SF463LF"/>
    <s v="EA"/>
    <x v="9"/>
    <s v="355"/>
    <s v="22EF"/>
    <s v="355BRKCA"/>
    <d v="2024-10-04T00:00:00"/>
    <d v="2049-10-04T00:00:00"/>
    <x v="5"/>
    <n v="-9131"/>
    <n v="0"/>
    <n v="0"/>
    <n v="0"/>
    <n v="400"/>
    <n v="0"/>
    <n v="0"/>
    <n v="0"/>
    <n v="0"/>
    <n v="400"/>
    <n v="4627.26"/>
    <n v="1850904"/>
    <s v="INR"/>
    <n v="1"/>
    <n v="1850904"/>
    <s v=""/>
    <d v="2024-09-23T00:00:00"/>
  </r>
  <r>
    <s v="49560"/>
    <s v="ET105546"/>
    <s v="1"/>
    <s v="EACV03"/>
    <s v="EACV0301"/>
    <s v="VSELL ENTERPRISE CO."/>
    <s v="EACV03"/>
    <s v="400004677"/>
    <d v="2024-08-05T00:00:00"/>
    <x v="15"/>
    <s v="10130664-9B0319HLF"/>
    <s v="EA"/>
    <x v="5"/>
    <s v="355"/>
    <s v="22EF"/>
    <s v="503BRKCA"/>
    <d v="2024-11-01T00:00:00"/>
    <d v="2024-11-01T00:00:00"/>
    <x v="6"/>
    <n v="0"/>
    <n v="10080"/>
    <n v="1940"/>
    <n v="0"/>
    <n v="2200"/>
    <n v="0"/>
    <n v="0"/>
    <n v="0"/>
    <n v="0"/>
    <n v="2200"/>
    <n v="22.92"/>
    <n v="50424"/>
    <s v="USD"/>
    <n v="84.033609999999996"/>
    <n v="4237310.75"/>
    <s v=""/>
    <d v="2024-08-05T00:00:00"/>
  </r>
  <r>
    <s v="49560"/>
    <s v="EF102491"/>
    <s v="2"/>
    <s v="CN43"/>
    <s v="CN43"/>
    <s v="FCI NANTONG LTD."/>
    <s v="FCI NANTONG LTD."/>
    <s v="IN24CT01"/>
    <d v="2024-09-07T00:00:00"/>
    <x v="4"/>
    <s v="10150562-001"/>
    <s v="EA"/>
    <x v="4"/>
    <s v="503"/>
    <s v="22ZS"/>
    <s v="503BRKCA"/>
    <d v="2024-11-08T00:00:00"/>
    <d v="2024-11-08T00:00:00"/>
    <x v="7"/>
    <n v="0"/>
    <n v="0"/>
    <n v="0"/>
    <n v="0"/>
    <n v="10000"/>
    <n v="0"/>
    <n v="0"/>
    <n v="0"/>
    <n v="0"/>
    <n v="10000"/>
    <n v="0.26688000000000001"/>
    <n v="2668.8"/>
    <s v="USD"/>
    <n v="84.033609999999996"/>
    <n v="224268.9"/>
    <s v=""/>
    <m/>
  </r>
  <r>
    <s v="49560"/>
    <s v="EF102491"/>
    <s v="1"/>
    <s v="CN43"/>
    <s v="CN43"/>
    <s v="FCI NANTONG LTD."/>
    <s v="FCI NANTONG LTD."/>
    <s v="IN24CT01"/>
    <d v="2024-09-07T00:00:00"/>
    <x v="4"/>
    <s v="10150562-001"/>
    <s v="EA"/>
    <x v="4"/>
    <s v="503"/>
    <s v="22ZS"/>
    <s v="503BRKCA"/>
    <d v="2024-11-01T00:00:00"/>
    <d v="2024-11-08T00:00:00"/>
    <x v="7"/>
    <n v="-7"/>
    <n v="0"/>
    <n v="0"/>
    <n v="0"/>
    <n v="10000"/>
    <n v="0"/>
    <n v="0"/>
    <n v="0"/>
    <n v="0"/>
    <n v="10000"/>
    <n v="0.26688000000000001"/>
    <n v="2668.8"/>
    <s v="USD"/>
    <n v="84.033609999999996"/>
    <n v="224268.9"/>
    <s v=""/>
    <m/>
  </r>
  <r>
    <s v="49560"/>
    <s v="EF102274"/>
    <s v="4"/>
    <s v="US10"/>
    <s v="314601"/>
    <s v="FCI USA LLC"/>
    <s v="FCI Electronics"/>
    <s v="410896"/>
    <d v="2024-08-17T00:00:00"/>
    <x v="1"/>
    <s v="10130664-9D0355LF"/>
    <s v="EA"/>
    <x v="1"/>
    <s v="355"/>
    <s v="22EF"/>
    <s v="503BRKCA"/>
    <d v="2024-11-08T00:00:00"/>
    <d v="2024-11-08T00:00:00"/>
    <x v="7"/>
    <n v="0"/>
    <n v="0"/>
    <n v="0"/>
    <n v="0"/>
    <n v="2880"/>
    <n v="0"/>
    <n v="0"/>
    <n v="0"/>
    <n v="0"/>
    <n v="2880"/>
    <n v="5.6231999999999998"/>
    <n v="16195"/>
    <s v="USD"/>
    <n v="84.033609999999996"/>
    <n v="1360908.85"/>
    <s v=""/>
    <m/>
  </r>
  <r>
    <s v="49560"/>
    <s v="EF102274"/>
    <s v="5"/>
    <s v="US10"/>
    <s v="314601"/>
    <s v="FCI USA LLC"/>
    <s v="FCI Electronics"/>
    <s v="410896"/>
    <d v="2024-08-17T00:00:00"/>
    <x v="10"/>
    <s v="10130664-9D0356LF"/>
    <s v="EA"/>
    <x v="8"/>
    <s v="355"/>
    <s v="22EF"/>
    <s v="503BRKCA"/>
    <d v="2024-11-08T00:00:00"/>
    <d v="2024-11-08T00:00:00"/>
    <x v="7"/>
    <n v="0"/>
    <n v="0"/>
    <n v="96"/>
    <n v="0"/>
    <n v="2160"/>
    <n v="0"/>
    <n v="0"/>
    <n v="0"/>
    <n v="0"/>
    <n v="2160"/>
    <n v="5.4"/>
    <n v="11664"/>
    <s v="USD"/>
    <n v="84.033609999999996"/>
    <n v="980168.03"/>
    <s v=""/>
    <m/>
  </r>
  <r>
    <m/>
    <m/>
    <m/>
    <m/>
    <m/>
    <m/>
    <m/>
    <m/>
    <m/>
    <x v="16"/>
    <m/>
    <m/>
    <x v="10"/>
    <m/>
    <m/>
    <m/>
    <m/>
    <m/>
    <x v="8"/>
    <m/>
    <m/>
    <m/>
    <m/>
    <m/>
    <m/>
    <m/>
    <m/>
    <m/>
    <m/>
    <m/>
    <m/>
    <m/>
    <m/>
    <n v="167403388.27000001"/>
    <m/>
    <m/>
  </r>
  <r>
    <m/>
    <m/>
    <m/>
    <m/>
    <m/>
    <m/>
    <m/>
    <m/>
    <m/>
    <x v="16"/>
    <m/>
    <m/>
    <x v="10"/>
    <m/>
    <m/>
    <m/>
    <m/>
    <m/>
    <x v="8"/>
    <m/>
    <m/>
    <m/>
    <m/>
    <m/>
    <m/>
    <m/>
    <m/>
    <m/>
    <m/>
    <m/>
    <m/>
    <m/>
    <m/>
    <n v="1992.100402089116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">
  <r>
    <s v="346"/>
    <x v="0"/>
    <s v="10106124-8005003LF"/>
    <n v="40000"/>
    <n v="56"/>
    <n v="40000"/>
    <m/>
  </r>
  <r>
    <s v="346"/>
    <x v="0"/>
    <s v="10106124-E008001LF"/>
    <n v="10032"/>
    <n v="14.862558007662834"/>
    <m/>
    <m/>
  </r>
  <r>
    <s v="346"/>
    <x v="0"/>
    <s v="10106262-0G02K01LF"/>
    <n v="2178"/>
    <n v="10.517236551724139"/>
    <m/>
    <m/>
  </r>
  <r>
    <s v="346"/>
    <x v="0"/>
    <s v="10106124-7007001LF"/>
    <n v="660"/>
    <n v="2.6133055172413795"/>
    <m/>
    <m/>
  </r>
  <r>
    <s v="346"/>
    <x v="0"/>
    <s v="10106116-8008K01LF"/>
    <n v="1056"/>
    <n v="1.9235403380662612"/>
    <m/>
    <m/>
  </r>
  <r>
    <s v="346"/>
    <x v="0"/>
    <s v="10106124-C006001LF"/>
    <n v="660"/>
    <n v="1.8581675862068967"/>
    <m/>
    <m/>
  </r>
  <r>
    <s v="346"/>
    <x v="0"/>
    <s v="10106262-0G02A01LF"/>
    <n v="396"/>
    <n v="1.8455420689655173"/>
    <m/>
    <m/>
  </r>
  <r>
    <s v="346"/>
    <x v="0"/>
    <s v="10106262-0009K01LF"/>
    <n v="924"/>
    <n v="1.6848421839080463"/>
    <m/>
    <m/>
  </r>
  <r>
    <s v="346"/>
    <x v="1"/>
    <s v="10106268-0017101LF"/>
    <n v="2016"/>
    <n v="4.2561866666666672"/>
    <m/>
    <m/>
  </r>
  <r>
    <s v="346"/>
    <x v="1"/>
    <s v="10106139-4027101LF"/>
    <n v="720"/>
    <n v="2.4197715927750409"/>
    <m/>
    <m/>
  </r>
  <r>
    <s v="346"/>
    <x v="1"/>
    <s v="10106131-4004001LF"/>
    <n v="2160"/>
    <n v="2.306569885057471"/>
    <m/>
    <m/>
  </r>
  <r>
    <s v="346"/>
    <x v="1"/>
    <s v="10106268-2002008LF"/>
    <n v="1050"/>
    <n v="2.2550398850574713"/>
    <m/>
    <m/>
  </r>
  <r>
    <s v="346"/>
    <x v="1"/>
    <s v="10106131-2202001LF"/>
    <n v="2592"/>
    <n v="2.0459760919540226"/>
    <m/>
    <m/>
  </r>
  <r>
    <s v="346"/>
    <x v="1"/>
    <s v="10106122-8008K01LF"/>
    <n v="1056"/>
    <n v="1.9741600000000001"/>
    <m/>
    <m/>
  </r>
  <r>
    <s v="346"/>
    <x v="1"/>
    <s v="10106268-0527101LF"/>
    <n v="432"/>
    <n v="1.4407597701149426"/>
    <m/>
    <m/>
  </r>
  <r>
    <s v="346"/>
    <x v="1"/>
    <s v="10106131-9014001LF"/>
    <n v="528"/>
    <n v="1.3568929442970823"/>
    <m/>
    <m/>
  </r>
  <r>
    <s v="346"/>
    <x v="1"/>
    <s v="10106268-0402005LF"/>
    <n v="1100"/>
    <n v="1.3436880459770115"/>
    <m/>
    <m/>
  </r>
  <r>
    <s v="346"/>
    <x v="1"/>
    <s v="10106122-C009001LF"/>
    <n v="288"/>
    <n v="0.91230494252873562"/>
    <m/>
    <m/>
  </r>
  <r>
    <s v="346"/>
    <x v="1"/>
    <s v="10106269-5203001LF"/>
    <n v="216"/>
    <n v="0.51698034482758626"/>
    <m/>
    <m/>
  </r>
  <r>
    <s v="346"/>
    <x v="1"/>
    <s v="10106131-4006005LF"/>
    <n v="288"/>
    <n v="0.45297785440613025"/>
    <m/>
    <m/>
  </r>
  <r>
    <s v="352"/>
    <x v="2"/>
    <s v="10170775-170502"/>
    <n v="1344"/>
    <n v="14.721466781609196"/>
    <m/>
    <m/>
  </r>
  <r>
    <s v="352"/>
    <x v="2"/>
    <s v="10170775-170501"/>
    <n v="1120"/>
    <n v="11.77674724137931"/>
    <m/>
    <m/>
  </r>
  <r>
    <s v="355"/>
    <x v="3"/>
    <s v="10146534-NTC002LF"/>
    <n v="58000"/>
    <n v="220.51280641975308"/>
    <m/>
    <m/>
  </r>
  <r>
    <s v="355"/>
    <x v="4"/>
    <s v="10158287-1RF057HF"/>
    <n v="56140"/>
    <n v="754.51386642204329"/>
    <m/>
    <m/>
  </r>
  <r>
    <s v="355"/>
    <x v="4"/>
    <s v="10158287-9RF034HF"/>
    <n v="13860"/>
    <n v="190.08339131109634"/>
    <m/>
    <m/>
  </r>
  <r>
    <s v="355"/>
    <x v="5"/>
    <s v="10162405-1S2009LF"/>
    <n v="27650"/>
    <n v="294.57420318484401"/>
    <m/>
    <m/>
  </r>
  <r>
    <s v="355"/>
    <x v="6"/>
    <s v="10130664-9RF438LF"/>
    <n v="20120"/>
    <n v="254.37209725694336"/>
    <m/>
    <m/>
  </r>
  <r>
    <s v="355"/>
    <x v="6"/>
    <s v="10130664-9C0151QLF"/>
    <n v="8600"/>
    <n v="60.484888510219598"/>
    <m/>
    <m/>
  </r>
  <r>
    <s v="355"/>
    <x v="6"/>
    <s v="10165116-001"/>
    <n v="10584"/>
    <n v="3.971157308534778"/>
    <m/>
    <m/>
  </r>
  <r>
    <s v="355"/>
    <x v="6"/>
    <s v="10165117-001"/>
    <n v="42500"/>
    <n v="2.9089054022988505"/>
    <m/>
    <m/>
  </r>
  <r>
    <s v="355"/>
    <x v="6"/>
    <s v="10130664-3B0287LF"/>
    <n v="0"/>
    <n v="0"/>
    <n v="489"/>
    <m/>
  </r>
  <r>
    <s v="355"/>
    <x v="7"/>
    <s v="10130664-9B0319HLF"/>
    <n v="3710"/>
    <n v="85"/>
    <n v="1000"/>
    <s v="Early June"/>
  </r>
  <r>
    <s v="355"/>
    <x v="8"/>
    <s v="10130664-9D0356LF"/>
    <n v="12680"/>
    <n v="68.58963346864104"/>
    <m/>
    <m/>
  </r>
  <r>
    <s v="355"/>
    <x v="8"/>
    <s v="10130664-9D0354LF"/>
    <n v="6480"/>
    <n v="37.673450371352786"/>
    <m/>
    <m/>
  </r>
  <r>
    <s v="355"/>
    <x v="8"/>
    <s v="10130664-9D0355LF"/>
    <n v="2880"/>
    <n v="16.314512781609196"/>
    <m/>
    <m/>
  </r>
  <r>
    <s v="355"/>
    <x v="9"/>
    <s v="10170425-1RF023LF"/>
    <n v="40000"/>
    <n v="2059.2024661605765"/>
    <m/>
    <m/>
  </r>
  <r>
    <s v="356"/>
    <x v="10"/>
    <s v="10170827-07P003"/>
    <n v="6000"/>
    <n v="142.21369467980296"/>
    <m/>
    <m/>
  </r>
  <r>
    <s v="356"/>
    <x v="10"/>
    <s v="10170827-07P002"/>
    <n v="4000"/>
    <n v="93.038469149425282"/>
    <m/>
    <m/>
  </r>
  <r>
    <s v="356"/>
    <x v="11"/>
    <s v="10180353-004C"/>
    <n v="5150"/>
    <n v="2.1453156350270093"/>
    <m/>
    <m/>
  </r>
  <r>
    <s v="356"/>
    <x v="12"/>
    <s v="10178160-C7A301"/>
    <n v="3364"/>
    <n v="399.703348321786"/>
    <m/>
    <m/>
  </r>
  <r>
    <s v="356"/>
    <x v="12"/>
    <s v="10178161-C7A303"/>
    <n v="2748"/>
    <n v="322.80026802629999"/>
    <n v="1000"/>
    <s v="Expecting new booking"/>
  </r>
  <r>
    <s v="356"/>
    <x v="12"/>
    <s v="10180876-E7C01"/>
    <n v="195"/>
    <n v="43.504475057471268"/>
    <m/>
    <m/>
  </r>
  <r>
    <s v="356"/>
    <x v="12"/>
    <s v="10178161-C7A301"/>
    <n v="75"/>
    <n v="9.5394924137931039"/>
    <m/>
    <m/>
  </r>
  <r>
    <s v="356"/>
    <x v="12"/>
    <s v="10178161-C7A302"/>
    <n v="15"/>
    <n v="2.1897434482758622"/>
    <m/>
    <m/>
  </r>
  <r>
    <s v="356"/>
    <x v="12"/>
    <s v="10181065-K70003"/>
    <n v="28"/>
    <n v="1.4428293103448275"/>
    <m/>
    <m/>
  </r>
  <r>
    <s v="356"/>
    <x v="12"/>
    <s v="10181065-K70004"/>
    <n v="2"/>
    <n v="0.11335804597701149"/>
    <m/>
    <m/>
  </r>
  <r>
    <s v="356"/>
    <x v="12"/>
    <s v="10181065-K70009"/>
    <n v="0"/>
    <n v="0"/>
    <n v="5285"/>
    <s v="ON HOLD. Need to plan manning"/>
  </r>
  <r>
    <s v="356"/>
    <x v="12"/>
    <s v="10171694-07R003"/>
    <n v="0"/>
    <n v="0"/>
    <n v="4000"/>
    <s v="Carry forward from April"/>
  </r>
  <r>
    <s v="356"/>
    <x v="13"/>
    <s v="10182476-71A801"/>
    <n v="3000"/>
    <n v="115.02062335928809"/>
    <m/>
    <m/>
  </r>
  <r>
    <s v="356"/>
    <x v="14"/>
    <s v="10182948-Q50001"/>
    <n v="2901"/>
    <n v="189.48052390804597"/>
    <m/>
    <m/>
  </r>
  <r>
    <s v="503"/>
    <x v="15"/>
    <s v="10165987-101LF"/>
    <n v="80000"/>
    <n v="325.95852079606402"/>
    <n v="50000"/>
    <s v="Check to expedite components"/>
  </r>
  <r>
    <s v="503"/>
    <x v="16"/>
    <s v="10150562-002"/>
    <n v="240000"/>
    <n v="70.825873398214853"/>
    <m/>
    <m/>
  </r>
  <r>
    <s v="503"/>
    <x v="16"/>
    <s v="10150562-001"/>
    <n v="60000"/>
    <n v="15.518183829771862"/>
    <m/>
    <m/>
  </r>
  <r>
    <s v="519"/>
    <x v="17"/>
    <s v="10157266-001LF"/>
    <n v="122000"/>
    <n v="205.56074978809914"/>
    <m/>
    <m/>
  </r>
  <r>
    <s v="519"/>
    <x v="18"/>
    <s v="10172541-001LF"/>
    <n v="17280"/>
    <n v="64.169709258098223"/>
    <m/>
    <m/>
  </r>
  <r>
    <s v="519"/>
    <x v="19"/>
    <s v="RPS0112002"/>
    <n v="215520"/>
    <n v="367.55889367315467"/>
    <m/>
    <m/>
  </r>
  <r>
    <s v="519"/>
    <x v="19"/>
    <s v="RPS0112004"/>
    <n v="6720"/>
    <n v="11.223105632183907"/>
    <m/>
    <m/>
  </r>
  <r>
    <s v="520"/>
    <x v="20"/>
    <s v="10174780-001LF"/>
    <n v="11700"/>
    <n v="11.831748456983629"/>
    <m/>
    <m/>
  </r>
  <r>
    <s v="520"/>
    <x v="20"/>
    <s v="10174781-001LF"/>
    <n v="1950"/>
    <n v="2.8810117964213768"/>
    <m/>
    <m/>
  </r>
  <r>
    <s v="520"/>
    <x v="21"/>
    <s v="RPS0700749-004"/>
    <n v="0"/>
    <n v="0"/>
    <n v="4820"/>
    <s v="Early June"/>
  </r>
  <r>
    <s v="520"/>
    <x v="22"/>
    <s v="10168675-001LF"/>
    <n v="101750"/>
    <n v="180.20846885057472"/>
    <m/>
    <m/>
  </r>
  <r>
    <s v="520"/>
    <x v="22"/>
    <s v="10166013-101LF"/>
    <n v="20000"/>
    <n v="31.532565057471267"/>
    <m/>
    <m/>
  </r>
  <r>
    <s v="552"/>
    <x v="23"/>
    <s v="10106262-0527102LF"/>
    <n v="1848"/>
    <n v="8.2240350574712657"/>
    <m/>
    <m/>
  </r>
  <r>
    <s v="552"/>
    <x v="23"/>
    <s v="10106124-4006005LF"/>
    <n v="1848"/>
    <n v="3.0359048275862066"/>
    <m/>
    <m/>
  </r>
  <r>
    <s v="552"/>
    <x v="24"/>
    <s v="10106268-9001001LF"/>
    <n v="2376"/>
    <n v="7.5409960385878501"/>
    <m/>
    <m/>
  </r>
  <r>
    <s v="552"/>
    <x v="24"/>
    <s v="10106269-3606001LF"/>
    <n v="864"/>
    <n v="2.8569225287356321"/>
    <m/>
    <m/>
  </r>
  <r>
    <s v="552"/>
    <x v="24"/>
    <s v="10106269-B010001LF"/>
    <n v="288"/>
    <n v="1.2021981609195402"/>
    <m/>
    <m/>
  </r>
  <r>
    <s v="552"/>
    <x v="24"/>
    <s v="10106269-1C03005LF"/>
    <n v="0"/>
    <n v="0"/>
    <n v="46000"/>
    <s v="Waiting for order"/>
  </r>
  <r>
    <s v="552"/>
    <x v="25"/>
    <s v="51939-163LF"/>
    <n v="30000"/>
    <n v="35.495606209886994"/>
    <n v="30000"/>
    <m/>
  </r>
  <r>
    <s v="552"/>
    <x v="25"/>
    <s v="51939-834LF"/>
    <n v="14256"/>
    <n v="31.828723103448269"/>
    <m/>
    <m/>
  </r>
  <r>
    <s v="552"/>
    <x v="25"/>
    <s v="51939-234LF"/>
    <n v="23760"/>
    <n v="29.628101034482754"/>
    <m/>
    <m/>
  </r>
  <r>
    <s v="552"/>
    <x v="25"/>
    <s v="51730-145LF"/>
    <n v="7392"/>
    <n v="18.472921451905624"/>
    <m/>
    <m/>
  </r>
  <r>
    <s v="552"/>
    <x v="25"/>
    <s v="51939-1222LHLF"/>
    <n v="9636"/>
    <n v="13.302069540229885"/>
    <m/>
    <m/>
  </r>
  <r>
    <s v="552"/>
    <x v="25"/>
    <s v="51939-927LF"/>
    <n v="6600"/>
    <n v="7.9596021346469623"/>
    <m/>
    <m/>
  </r>
  <r>
    <s v="552"/>
    <x v="25"/>
    <s v="51721-10002406AALF"/>
    <n v="2574"/>
    <n v="5.860178300060495"/>
    <m/>
    <m/>
  </r>
  <r>
    <s v="552"/>
    <x v="25"/>
    <s v="51939-137LF"/>
    <n v="2508"/>
    <n v="5.072324942528736"/>
    <m/>
    <m/>
  </r>
  <r>
    <s v="552"/>
    <x v="25"/>
    <s v="51812-10900000AALF"/>
    <n v="1320"/>
    <n v="3.913804022988506"/>
    <m/>
    <m/>
  </r>
  <r>
    <s v="552"/>
    <x v="25"/>
    <s v="51939-178LF"/>
    <n v="1980"/>
    <n v="2.8640239080459771"/>
    <m/>
    <m/>
  </r>
  <r>
    <s v="552"/>
    <x v="25"/>
    <s v="51939-211LF"/>
    <n v="792"/>
    <n v="2.4326045977011495"/>
    <m/>
    <m/>
  </r>
  <r>
    <s v="552"/>
    <x v="25"/>
    <s v="51732-007LF"/>
    <n v="2640"/>
    <n v="2.4023248275862068"/>
    <m/>
    <m/>
  </r>
  <r>
    <s v="552"/>
    <x v="25"/>
    <s v="51731-080LF"/>
    <n v="528"/>
    <n v="2.2764794252873561"/>
    <m/>
    <m/>
  </r>
  <r>
    <s v="552"/>
    <x v="25"/>
    <s v="51939-030LF"/>
    <n v="990"/>
    <n v="1.8910686206896552"/>
    <m/>
    <m/>
  </r>
  <r>
    <s v="552"/>
    <x v="25"/>
    <s v="51939-389LF"/>
    <n v="1848"/>
    <n v="1.8885797701149423"/>
    <m/>
    <m/>
  </r>
  <r>
    <s v="552"/>
    <x v="25"/>
    <s v="51721-10000802AALF"/>
    <n v="924"/>
    <n v="1.5754929885057474"/>
    <m/>
    <m/>
  </r>
  <r>
    <s v="552"/>
    <x v="25"/>
    <s v="51939-907LF"/>
    <n v="660"/>
    <n v="1.5247756321839081"/>
    <m/>
    <m/>
  </r>
  <r>
    <s v="552"/>
    <x v="25"/>
    <s v="51966-10003200AALF"/>
    <n v="792"/>
    <n v="1.4092771264367816"/>
    <m/>
    <m/>
  </r>
  <r>
    <s v="552"/>
    <x v="25"/>
    <s v="51720-10602405AALF"/>
    <n v="264"/>
    <n v="1.3366552873563218"/>
    <m/>
    <m/>
  </r>
  <r>
    <s v="552"/>
    <x v="25"/>
    <s v="51939-784LF"/>
    <n v="448"/>
    <n v="1.0435485057471265"/>
    <m/>
    <m/>
  </r>
  <r>
    <s v="552"/>
    <x v="25"/>
    <s v="51939-564LF"/>
    <n v="594"/>
    <n v="1.0063267816091954"/>
    <m/>
    <m/>
  </r>
  <r>
    <s v="552"/>
    <x v="25"/>
    <s v="51939-722LF"/>
    <n v="594"/>
    <n v="0.83863586206896557"/>
    <m/>
    <m/>
  </r>
  <r>
    <s v="552"/>
    <x v="25"/>
    <s v="51966-10014800AALF"/>
    <n v="132"/>
    <n v="0.80896931034482755"/>
    <m/>
    <m/>
  </r>
  <r>
    <s v="552"/>
    <x v="25"/>
    <s v="51939-667LF"/>
    <n v="132"/>
    <n v="0.62110402298850576"/>
    <m/>
    <m/>
  </r>
  <r>
    <s v="552"/>
    <x v="25"/>
    <s v="51939-286LF"/>
    <n v="132"/>
    <n v="0.52503034482758615"/>
    <m/>
    <m/>
  </r>
  <r>
    <s v="552"/>
    <x v="26"/>
    <s v="51921-008LF"/>
    <n v="30250"/>
    <n v="48.35479885057471"/>
    <m/>
    <s v="Need to start from 2nd May"/>
  </r>
  <r>
    <s v="552"/>
    <x v="27"/>
    <s v="51940-517PHDPLF"/>
    <n v="53730"/>
    <n v="92.803669077525072"/>
    <m/>
    <m/>
  </r>
  <r>
    <s v="552"/>
    <x v="27"/>
    <s v="51740-10202402CALF"/>
    <n v="20160"/>
    <n v="27.342829822926376"/>
    <m/>
    <m/>
  </r>
  <r>
    <s v="552"/>
    <x v="27"/>
    <s v="51940-329LF"/>
    <n v="6336"/>
    <n v="12.587122988505747"/>
    <m/>
    <m/>
  </r>
  <r>
    <s v="552"/>
    <x v="27"/>
    <s v="51751-005LF"/>
    <n v="3872"/>
    <n v="8.499723264367816"/>
    <m/>
    <m/>
  </r>
  <r>
    <s v="552"/>
    <x v="27"/>
    <s v="51750-104LF"/>
    <n v="1584"/>
    <n v="5.3196174712643671"/>
    <m/>
    <m/>
  </r>
  <r>
    <s v="552"/>
    <x v="27"/>
    <s v="51741-10002406CCLF"/>
    <n v="1848"/>
    <n v="3.8263634482758624"/>
    <m/>
    <m/>
  </r>
  <r>
    <s v="552"/>
    <x v="27"/>
    <s v="51940-728FLF"/>
    <n v="1320"/>
    <n v="3.1367711494252868"/>
    <m/>
    <m/>
  </r>
  <r>
    <s v="552"/>
    <x v="27"/>
    <s v="51940-598LF"/>
    <n v="432"/>
    <n v="2.6312232183908049"/>
    <m/>
    <m/>
  </r>
  <r>
    <s v="552"/>
    <x v="27"/>
    <s v="51740-11102003AALF"/>
    <n v="528"/>
    <n v="2.3877120689655174"/>
    <m/>
    <m/>
  </r>
  <r>
    <s v="552"/>
    <x v="27"/>
    <s v="51740-10202402AALF"/>
    <n v="704"/>
    <n v="1.8455283908045976"/>
    <m/>
    <m/>
  </r>
  <r>
    <s v="552"/>
    <x v="27"/>
    <s v="51940-421LF"/>
    <n v="1440"/>
    <n v="1.8130614942528736"/>
    <m/>
    <m/>
  </r>
  <r>
    <s v="552"/>
    <x v="27"/>
    <s v="51740-10202402CCLF"/>
    <n v="1056"/>
    <n v="1.5694877011494253"/>
    <m/>
    <m/>
  </r>
  <r>
    <s v="552"/>
    <x v="27"/>
    <s v="51940-202LF"/>
    <n v="704"/>
    <n v="1.5566526436781609"/>
    <m/>
    <m/>
  </r>
  <r>
    <s v="552"/>
    <x v="27"/>
    <s v="51751-011LF"/>
    <n v="528"/>
    <n v="1.4018298850574713"/>
    <m/>
    <m/>
  </r>
  <r>
    <s v="552"/>
    <x v="27"/>
    <s v="51940-117LF"/>
    <n v="528"/>
    <n v="1.3098678160919541"/>
    <m/>
    <m/>
  </r>
  <r>
    <s v="552"/>
    <x v="27"/>
    <s v="51940-387LF"/>
    <n v="576"/>
    <n v="1.1978221839080461"/>
    <m/>
    <m/>
  </r>
  <r>
    <s v="552"/>
    <x v="27"/>
    <s v="51940-473LF"/>
    <n v="256"/>
    <n v="1.1359493103448275"/>
    <m/>
    <m/>
  </r>
  <r>
    <s v="552"/>
    <x v="27"/>
    <s v="51940-535LF"/>
    <n v="360"/>
    <n v="0.53005191570881227"/>
    <m/>
    <m/>
  </r>
  <r>
    <s v="552"/>
    <x v="27"/>
    <s v="51940-466LF"/>
    <n v="288"/>
    <n v="0.35625068965517248"/>
    <m/>
    <m/>
  </r>
  <r>
    <s v="552"/>
    <x v="27"/>
    <s v="51940-280LF"/>
    <n v="176"/>
    <n v="0.2923693103448276"/>
    <m/>
    <m/>
  </r>
  <r>
    <s v="612"/>
    <x v="28"/>
    <s v="PWRMRA028"/>
    <n v="0"/>
    <n v="0"/>
    <n v="36000"/>
    <m/>
  </r>
  <r>
    <s v="612"/>
    <x v="29"/>
    <s v="PWRFST027"/>
    <n v="2200"/>
    <n v="11.121962183908048"/>
    <m/>
    <m/>
  </r>
  <r>
    <s v="612"/>
    <x v="29"/>
    <s v="PWRFST026"/>
    <n v="480"/>
    <n v="3.7199784865900383"/>
    <m/>
    <m/>
  </r>
  <r>
    <s v="612"/>
    <x v="29"/>
    <s v="PWRFST017"/>
    <n v="300"/>
    <n v="1.5535158620689655"/>
    <m/>
    <m/>
  </r>
  <r>
    <m/>
    <x v="30"/>
    <m/>
    <m/>
    <n v="7230.8795083896739"/>
    <m/>
    <m/>
  </r>
  <r>
    <m/>
    <x v="3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4"/>
        <item x="5"/>
        <item x="2"/>
        <item x="1"/>
        <item x="10"/>
        <item x="4"/>
        <item x="13"/>
        <item x="0"/>
        <item x="6"/>
        <item x="3"/>
        <item x="7"/>
        <item x="11"/>
        <item x="15"/>
        <item x="9"/>
        <item x="8"/>
        <item x="12"/>
        <item x="16"/>
        <item t="default"/>
      </items>
    </pivotField>
    <pivotField showAll="0"/>
    <pivotField showAll="0"/>
    <pivotField axis="axisRow" showAll="0">
      <items count="12">
        <item x="7"/>
        <item x="5"/>
        <item x="2"/>
        <item x="1"/>
        <item x="8"/>
        <item x="9"/>
        <item x="4"/>
        <item x="6"/>
        <item x="0"/>
        <item x="3"/>
        <item x="1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x="4"/>
        <item sd="0" x="5"/>
      </items>
    </pivotField>
    <pivotField showAll="0" defaultSubtotal="0">
      <items count="28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Qty Open" fld="28" baseField="9" baseItem="6"/>
  </dataFields>
  <formats count="16">
    <format dxfId="24">
      <pivotArea collapsedLevelsAreSubtotals="1" fieldPosition="0">
        <references count="1">
          <reference field="12" count="1">
            <x v="7"/>
          </reference>
        </references>
      </pivotArea>
    </format>
    <format dxfId="23">
      <pivotArea dataOnly="0" labelOnly="1" fieldPosition="0">
        <references count="1">
          <reference field="12" count="1">
            <x v="7"/>
          </reference>
        </references>
      </pivotArea>
    </format>
    <format dxfId="22">
      <pivotArea collapsedLevelsAreSubtotals="1" fieldPosition="0">
        <references count="1">
          <reference field="12" count="1">
            <x v="1"/>
          </reference>
        </references>
      </pivotArea>
    </format>
    <format dxfId="21">
      <pivotArea dataOnly="0" labelOnly="1" fieldPosition="0">
        <references count="1">
          <reference field="12" count="1">
            <x v="1"/>
          </reference>
        </references>
      </pivotArea>
    </format>
    <format dxfId="20">
      <pivotArea collapsedLevelsAreSubtotals="1" fieldPosition="0">
        <references count="1">
          <reference field="12" count="1">
            <x v="8"/>
          </reference>
        </references>
      </pivotArea>
    </format>
    <format dxfId="19">
      <pivotArea dataOnly="0" labelOnly="1" fieldPosition="0">
        <references count="1">
          <reference field="12" count="1">
            <x v="8"/>
          </reference>
        </references>
      </pivotArea>
    </format>
    <format dxfId="18">
      <pivotArea collapsedLevelsAreSubtotals="1" fieldPosition="0">
        <references count="1">
          <reference field="12" count="1">
            <x v="9"/>
          </reference>
        </references>
      </pivotArea>
    </format>
    <format dxfId="17">
      <pivotArea dataOnly="0" labelOnly="1" fieldPosition="0">
        <references count="1">
          <reference field="12" count="1">
            <x v="9"/>
          </reference>
        </references>
      </pivotArea>
    </format>
    <format dxfId="16">
      <pivotArea collapsedLevelsAreSubtotals="1" fieldPosition="0">
        <references count="1">
          <reference field="12" count="3">
            <x v="2"/>
            <x v="3"/>
            <x v="4"/>
          </reference>
        </references>
      </pivotArea>
    </format>
    <format dxfId="15">
      <pivotArea dataOnly="0" labelOnly="1" fieldPosition="0">
        <references count="1">
          <reference field="12" count="3">
            <x v="2"/>
            <x v="3"/>
            <x v="4"/>
          </reference>
        </references>
      </pivotArea>
    </format>
    <format dxfId="14">
      <pivotArea collapsedLevelsAreSubtotals="1" fieldPosition="0">
        <references count="1">
          <reference field="12" count="1">
            <x v="5"/>
          </reference>
        </references>
      </pivotArea>
    </format>
    <format dxfId="13">
      <pivotArea dataOnly="0" labelOnly="1" fieldPosition="0">
        <references count="1">
          <reference field="12" count="1">
            <x v="5"/>
          </reference>
        </references>
      </pivotArea>
    </format>
    <format dxfId="12">
      <pivotArea collapsedLevelsAreSubtotals="1" fieldPosition="0">
        <references count="1">
          <reference field="12" count="1">
            <x v="6"/>
          </reference>
        </references>
      </pivotArea>
    </format>
    <format dxfId="11">
      <pivotArea dataOnly="0" labelOnly="1" fieldPosition="0">
        <references count="1">
          <reference field="12" count="1">
            <x v="6"/>
          </reference>
        </references>
      </pivotArea>
    </format>
    <format dxfId="10">
      <pivotArea collapsedLevelsAreSubtotals="1" fieldPosition="0">
        <references count="1">
          <reference field="12" count="1">
            <x v="0"/>
          </reference>
        </references>
      </pivotArea>
    </format>
    <format dxfId="9">
      <pivotArea dataOnly="0" labelOnly="1" fieldPosition="0">
        <references count="1">
          <reference field="1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" firstHeaderRow="1" firstDataRow="1" firstDataCol="1"/>
  <pivotFields count="7">
    <pivotField showAll="0"/>
    <pivotField axis="axisRow" showAll="0" includeNewItemsInFilter="1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27"/>
    </i>
    <i t="grand">
      <x/>
    </i>
  </rowItems>
  <colItems count="1">
    <i/>
  </colItems>
  <dataFields count="1">
    <dataField name="Sum of Quantity" fld="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35" firstHeaderRow="0" firstDataRow="1" firstDataCol="1"/>
  <pivotFields count="7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1" baseItem="0"/>
    <dataField name="Sum of Value" fld="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R@0.1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R@12%25" TargetMode="Externa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LR@12%25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zoomScaleNormal="100" workbookViewId="0">
      <selection activeCell="B7" sqref="B7"/>
    </sheetView>
  </sheetViews>
  <sheetFormatPr defaultColWidth="8.6328125" defaultRowHeight="10" x14ac:dyDescent="0.35"/>
  <cols>
    <col min="1" max="1" width="8.6328125" style="148"/>
    <col min="2" max="2" width="33.6328125" style="161" bestFit="1" customWidth="1"/>
    <col min="3" max="3" width="12.08984375" style="148" bestFit="1" customWidth="1"/>
    <col min="4" max="4" width="11.81640625" style="148" customWidth="1"/>
    <col min="5" max="5" width="17.453125" style="148" bestFit="1" customWidth="1"/>
    <col min="6" max="6" width="9.36328125" style="148" bestFit="1" customWidth="1"/>
    <col min="7" max="7" width="8.36328125" style="148" bestFit="1" customWidth="1"/>
    <col min="8" max="8" width="11.7265625" style="148" bestFit="1" customWidth="1"/>
    <col min="9" max="9" width="8.6328125" style="148"/>
    <col min="10" max="10" width="11.26953125" style="148" hidden="1" customWidth="1"/>
    <col min="11" max="11" width="12" style="148" hidden="1" customWidth="1"/>
    <col min="12" max="12" width="8.6328125" style="148" hidden="1" customWidth="1"/>
    <col min="13" max="13" width="11.36328125" style="148" hidden="1" customWidth="1"/>
    <col min="14" max="14" width="8.6328125" style="148" hidden="1" customWidth="1"/>
    <col min="15" max="17" width="9.36328125" style="148" bestFit="1" customWidth="1"/>
    <col min="18" max="16384" width="8.6328125" style="148"/>
  </cols>
  <sheetData>
    <row r="1" spans="1:16" ht="10.5" x14ac:dyDescent="0.35">
      <c r="A1" s="152"/>
      <c r="B1" s="316">
        <v>46204</v>
      </c>
      <c r="C1" s="152"/>
      <c r="D1" s="152"/>
    </row>
    <row r="2" spans="1:16" ht="25.5" customHeight="1" x14ac:dyDescent="0.35">
      <c r="A2" s="152"/>
      <c r="B2" s="149" t="s">
        <v>303</v>
      </c>
      <c r="C2" s="149" t="s">
        <v>854</v>
      </c>
      <c r="D2" s="149" t="s">
        <v>849</v>
      </c>
      <c r="E2" s="384" t="s">
        <v>799</v>
      </c>
      <c r="F2" s="385" t="s">
        <v>284</v>
      </c>
      <c r="G2" s="385"/>
      <c r="H2" s="385"/>
      <c r="I2" s="385"/>
    </row>
    <row r="3" spans="1:16" ht="21" x14ac:dyDescent="0.2">
      <c r="A3" s="386" t="s">
        <v>821</v>
      </c>
      <c r="B3" s="150" t="s">
        <v>846</v>
      </c>
      <c r="C3" s="151">
        <f>'PN-workout file'!Q3+'PN-workout file'!Q4+'PN-workout file'!Q5+'PN-workout file'!Q6+'PN-workout file'!Q7+'PN-workout file'!Q35+'PN-workout file'!Q37+'PN-workout file'!Q39+'PN-workout file'!Q40+'PN-workout file'!Q41+'PN-workout file'!Q42+'PN-workout file'!Q44+'PN-workout file'!Q45+'Supporting HC details'!H12</f>
        <v>1135.1669450830557</v>
      </c>
      <c r="D3" s="151">
        <f>C3*0.88</f>
        <v>998.94691167308895</v>
      </c>
      <c r="E3" s="384"/>
      <c r="F3" s="149" t="s">
        <v>222</v>
      </c>
      <c r="G3" s="149" t="s">
        <v>282</v>
      </c>
      <c r="H3" s="149" t="s">
        <v>283</v>
      </c>
      <c r="I3" s="149" t="s">
        <v>172</v>
      </c>
      <c r="J3" s="317" t="s">
        <v>281</v>
      </c>
      <c r="K3" s="306" t="s">
        <v>814</v>
      </c>
      <c r="L3" s="306" t="s">
        <v>808</v>
      </c>
      <c r="M3" s="307" t="s">
        <v>815</v>
      </c>
      <c r="N3" s="306" t="s">
        <v>816</v>
      </c>
    </row>
    <row r="4" spans="1:16" ht="15.5" customHeight="1" x14ac:dyDescent="0.2">
      <c r="A4" s="386"/>
      <c r="B4" s="150" t="s">
        <v>847</v>
      </c>
      <c r="C4" s="151">
        <f>'PN-workout file'!Q26+'PN-workout file'!Q27+'PN-workout file'!Q28+'PN-workout file'!Q30+'PN-workout file'!Q31+'PN-workout file'!Q32+'PN-workout file'!Q46+'PN-workout file'!Q47+'PN-workout file'!Q48+'PN-workout file'!Q49+'PN-workout file'!Q50+'PN-workout file'!Q51+'PN-workout file'!Q52+'PN-workout file'!Q53+'Supporting HC details'!I12</f>
        <v>528.39490892864683</v>
      </c>
      <c r="D4" s="151">
        <f t="shared" ref="D4:D7" si="0">C4*0.88</f>
        <v>464.98751985720924</v>
      </c>
      <c r="E4" s="319" t="s">
        <v>875</v>
      </c>
      <c r="F4" s="228">
        <v>2034</v>
      </c>
      <c r="G4" s="228">
        <v>275741.8255981055</v>
      </c>
      <c r="H4" s="228">
        <v>93510.47613262193</v>
      </c>
      <c r="I4" s="287">
        <f>SUM(F4:H4)</f>
        <v>371286.30173072743</v>
      </c>
      <c r="J4" s="318">
        <f>I4</f>
        <v>371286.30173072743</v>
      </c>
      <c r="K4" s="287">
        <f>J4/26/7</f>
        <v>2040.0346248941066</v>
      </c>
      <c r="L4" s="287">
        <f>K4/0.88</f>
        <v>2318.2211646523938</v>
      </c>
      <c r="M4" s="287">
        <f>(L4*0.12)+45</f>
        <v>323.18653975828727</v>
      </c>
      <c r="N4" s="287">
        <f>L4+M4</f>
        <v>2641.4077044106812</v>
      </c>
    </row>
    <row r="5" spans="1:16" ht="15.5" customHeight="1" x14ac:dyDescent="0.2">
      <c r="A5" s="386"/>
      <c r="B5" s="150" t="s">
        <v>848</v>
      </c>
      <c r="C5" s="151">
        <f>'PN-workout file'!Q8+'PN-workout file'!Q9+'PN-workout file'!Q10+'PN-workout file'!Q11+'PN-workout file'!Q12+'PN-workout file'!Q13+'PN-workout file'!Q14+'PN-workout file'!Q16+'PN-workout file'!Q17+'PN-workout file'!Q18+'PN-workout file'!Q19+'PN-workout file'!Q20+'PN-workout file'!Q21+'PN-workout file'!Q22+'PN-workout file'!Q25+'Supporting HC details'!J12+PB!M15</f>
        <v>329.31294543047215</v>
      </c>
      <c r="D5" s="151">
        <f t="shared" si="0"/>
        <v>289.79539197881547</v>
      </c>
      <c r="E5" s="153"/>
      <c r="F5" s="228"/>
      <c r="H5" s="228"/>
      <c r="I5" s="287"/>
      <c r="J5" s="318">
        <f t="shared" ref="J5" si="1">I5</f>
        <v>0</v>
      </c>
      <c r="K5" s="287">
        <f t="shared" ref="K5:K7" si="2">J5/26/7</f>
        <v>0</v>
      </c>
      <c r="L5" s="287">
        <f>K5/0.88</f>
        <v>0</v>
      </c>
      <c r="M5" s="287">
        <f>(L5*0.12)</f>
        <v>0</v>
      </c>
      <c r="N5" s="287">
        <f>SUM(L5:M5)</f>
        <v>0</v>
      </c>
    </row>
    <row r="6" spans="1:16" ht="15.5" customHeight="1" x14ac:dyDescent="0.2">
      <c r="A6" s="386"/>
      <c r="B6" s="150" t="s">
        <v>853</v>
      </c>
      <c r="C6" s="156">
        <v>50</v>
      </c>
      <c r="D6" s="151">
        <f t="shared" si="0"/>
        <v>44</v>
      </c>
      <c r="E6" s="319" t="s">
        <v>402</v>
      </c>
      <c r="F6" s="301">
        <v>1750</v>
      </c>
      <c r="G6" s="301">
        <v>32307</v>
      </c>
      <c r="H6" s="301">
        <v>6239</v>
      </c>
      <c r="I6" s="287">
        <f>SUM(F6:H6)</f>
        <v>40296</v>
      </c>
      <c r="J6" s="318">
        <f>I6</f>
        <v>40296</v>
      </c>
      <c r="K6" s="287">
        <f t="shared" si="2"/>
        <v>221.4065934065934</v>
      </c>
      <c r="L6" s="287">
        <f>K6/1</f>
        <v>221.4065934065934</v>
      </c>
      <c r="M6" s="287">
        <f>(L6*0.1)</f>
        <v>22.14065934065934</v>
      </c>
      <c r="N6" s="287">
        <f>SUM(L6:M6)</f>
        <v>243.54725274725274</v>
      </c>
    </row>
    <row r="7" spans="1:16" ht="15.5" customHeight="1" x14ac:dyDescent="0.2">
      <c r="A7" s="386"/>
      <c r="B7" s="150" t="s">
        <v>864</v>
      </c>
      <c r="C7" s="151">
        <v>199</v>
      </c>
      <c r="D7" s="151">
        <f t="shared" si="0"/>
        <v>175.12</v>
      </c>
      <c r="E7" s="319"/>
      <c r="F7" s="228"/>
      <c r="G7" s="228"/>
      <c r="H7" s="228"/>
      <c r="I7" s="287"/>
      <c r="J7" s="318">
        <f>I7</f>
        <v>0</v>
      </c>
      <c r="K7" s="287">
        <f t="shared" si="2"/>
        <v>0</v>
      </c>
      <c r="L7" s="287">
        <f>K7/0.88</f>
        <v>0</v>
      </c>
      <c r="M7" s="287">
        <f>(L7*0.12)+39</f>
        <v>39</v>
      </c>
      <c r="N7" s="287">
        <f>L7+M7</f>
        <v>39</v>
      </c>
    </row>
    <row r="8" spans="1:16" ht="15.5" customHeight="1" x14ac:dyDescent="0.35">
      <c r="A8" s="386"/>
      <c r="B8" s="310"/>
      <c r="C8" s="152"/>
      <c r="D8" s="151"/>
      <c r="E8" s="152"/>
      <c r="F8" s="229"/>
      <c r="G8" s="229"/>
      <c r="H8" s="229"/>
      <c r="I8" s="152"/>
    </row>
    <row r="9" spans="1:16" ht="14.5" customHeight="1" x14ac:dyDescent="0.35">
      <c r="A9" s="386"/>
      <c r="B9" s="310" t="s">
        <v>826</v>
      </c>
      <c r="C9" s="321">
        <f>SUM(C3:C7)</f>
        <v>2241.8747994421747</v>
      </c>
      <c r="D9" s="151">
        <f>SUM(D3:D8)</f>
        <v>1972.8498235091138</v>
      </c>
      <c r="E9" s="302" t="s">
        <v>281</v>
      </c>
      <c r="F9" s="230">
        <f>SUM(F4:F8)</f>
        <v>3784</v>
      </c>
      <c r="G9" s="230">
        <f>SUM(G4:G8)</f>
        <v>308048.8255981055</v>
      </c>
      <c r="H9" s="230">
        <f>SUM(H4:H8)</f>
        <v>99749.47613262193</v>
      </c>
      <c r="I9" s="152"/>
      <c r="N9" s="303"/>
      <c r="O9" s="157"/>
    </row>
    <row r="10" spans="1:16" ht="14.5" customHeight="1" x14ac:dyDescent="0.35">
      <c r="A10" s="323"/>
      <c r="B10" s="325" t="s">
        <v>892</v>
      </c>
      <c r="C10" s="151">
        <v>2103</v>
      </c>
      <c r="D10" s="324">
        <v>1860</v>
      </c>
      <c r="E10" s="302"/>
      <c r="F10" s="387">
        <f>F9+G9+H9</f>
        <v>411582.30173072743</v>
      </c>
      <c r="G10" s="388"/>
      <c r="H10" s="389"/>
      <c r="I10" s="152"/>
      <c r="N10" s="303"/>
      <c r="O10" s="157"/>
    </row>
    <row r="11" spans="1:16" ht="14.5" customHeight="1" x14ac:dyDescent="0.35">
      <c r="A11" s="320"/>
      <c r="B11" s="310" t="s">
        <v>838</v>
      </c>
      <c r="C11" s="322">
        <f>C10-C9</f>
        <v>-138.87479944217466</v>
      </c>
      <c r="D11" s="322">
        <f>D10-D9</f>
        <v>-112.84982350911378</v>
      </c>
      <c r="E11" s="302"/>
      <c r="F11" s="230"/>
      <c r="G11" s="230"/>
      <c r="H11" s="230"/>
      <c r="I11" s="152"/>
      <c r="N11" s="303"/>
      <c r="P11" s="162"/>
    </row>
    <row r="12" spans="1:16" ht="14" customHeight="1" x14ac:dyDescent="0.35">
      <c r="A12" s="302" t="s">
        <v>749</v>
      </c>
      <c r="B12" s="310" t="s">
        <v>823</v>
      </c>
      <c r="C12" s="152">
        <v>102</v>
      </c>
      <c r="D12" s="311"/>
      <c r="E12" s="302"/>
      <c r="F12" s="230">
        <f>SUM(F9:H9)</f>
        <v>411582.30173072743</v>
      </c>
      <c r="G12" s="230"/>
      <c r="H12" s="230"/>
      <c r="I12" s="152"/>
      <c r="K12" s="303"/>
    </row>
    <row r="13" spans="1:16" ht="10.5" x14ac:dyDescent="0.35">
      <c r="A13" s="302" t="s">
        <v>824</v>
      </c>
      <c r="B13" s="310" t="s">
        <v>825</v>
      </c>
      <c r="C13" s="152">
        <v>156</v>
      </c>
      <c r="D13" s="311"/>
      <c r="E13" s="152"/>
      <c r="F13" s="152"/>
      <c r="G13" s="152"/>
      <c r="H13" s="152"/>
      <c r="I13" s="152"/>
      <c r="J13" s="154"/>
      <c r="N13" s="303"/>
    </row>
    <row r="14" spans="1:16" ht="10.5" x14ac:dyDescent="0.25">
      <c r="A14" s="152"/>
      <c r="B14" s="281" t="s">
        <v>887</v>
      </c>
      <c r="C14" s="282">
        <f>SUM(C3:C7)+C12+C13</f>
        <v>2499.8747994421747</v>
      </c>
      <c r="D14" s="312"/>
      <c r="E14" s="152"/>
      <c r="F14" s="152"/>
      <c r="G14" s="152"/>
      <c r="H14" s="152"/>
      <c r="I14" s="152"/>
    </row>
    <row r="15" spans="1:16" ht="10.5" x14ac:dyDescent="0.35">
      <c r="A15" s="152"/>
      <c r="B15" s="325" t="s">
        <v>888</v>
      </c>
      <c r="C15" s="151">
        <v>2103</v>
      </c>
      <c r="D15" s="152"/>
      <c r="E15" s="158" t="s">
        <v>303</v>
      </c>
      <c r="F15" s="159">
        <v>46199</v>
      </c>
      <c r="G15" s="159">
        <v>46229</v>
      </c>
      <c r="H15" s="158" t="s">
        <v>332</v>
      </c>
      <c r="I15" s="152"/>
      <c r="N15" s="303"/>
    </row>
    <row r="16" spans="1:16" ht="10.5" x14ac:dyDescent="0.25">
      <c r="A16" s="152"/>
      <c r="B16" s="155" t="s">
        <v>889</v>
      </c>
      <c r="C16" s="156">
        <f>C10-C9</f>
        <v>-138.87479944217466</v>
      </c>
      <c r="D16" s="152"/>
      <c r="E16" s="344" t="s">
        <v>893</v>
      </c>
      <c r="F16" s="152">
        <v>35200</v>
      </c>
      <c r="G16" s="152">
        <v>42211</v>
      </c>
      <c r="H16" s="160">
        <f>(G16-F16)/G16</f>
        <v>0.16609414607566747</v>
      </c>
      <c r="I16" s="152"/>
      <c r="O16" s="345"/>
      <c r="P16" s="345"/>
    </row>
    <row r="17" spans="1:17" ht="10.5" x14ac:dyDescent="0.25">
      <c r="A17" s="152"/>
      <c r="B17" s="253" t="s">
        <v>890</v>
      </c>
      <c r="C17" s="254" t="s">
        <v>891</v>
      </c>
      <c r="D17" s="152"/>
      <c r="E17" s="344" t="s">
        <v>280</v>
      </c>
      <c r="F17" s="151">
        <v>2012.0434398640921</v>
      </c>
      <c r="G17" s="151">
        <f>C9</f>
        <v>2241.8747994421747</v>
      </c>
      <c r="H17" s="160">
        <f t="shared" ref="H17:H18" si="3">(G17-F17)/G17</f>
        <v>0.10251748208029701</v>
      </c>
      <c r="I17" s="152"/>
      <c r="O17" s="345"/>
      <c r="P17" s="345"/>
    </row>
    <row r="18" spans="1:17" x14ac:dyDescent="0.35">
      <c r="E18" s="344" t="s">
        <v>894</v>
      </c>
      <c r="F18" s="379">
        <f>F16/F17</f>
        <v>17.494652104716817</v>
      </c>
      <c r="G18" s="379">
        <f>G16/G17</f>
        <v>18.828437703346761</v>
      </c>
      <c r="H18" s="160">
        <f t="shared" si="3"/>
        <v>7.0838888475216591E-2</v>
      </c>
      <c r="I18" s="152"/>
      <c r="O18" s="157"/>
      <c r="P18" s="157"/>
      <c r="Q18" s="157"/>
    </row>
    <row r="19" spans="1:17" x14ac:dyDescent="0.35">
      <c r="Q19" s="157"/>
    </row>
    <row r="20" spans="1:17" x14ac:dyDescent="0.35">
      <c r="D20" s="315"/>
      <c r="H20" s="154"/>
      <c r="J20" s="162"/>
      <c r="M20" s="162"/>
    </row>
    <row r="21" spans="1:17" x14ac:dyDescent="0.35">
      <c r="H21" s="157"/>
    </row>
    <row r="22" spans="1:17" x14ac:dyDescent="0.35">
      <c r="C22" s="157"/>
      <c r="E22" s="162"/>
      <c r="H22" s="154"/>
    </row>
    <row r="24" spans="1:17" x14ac:dyDescent="0.35">
      <c r="C24" s="157"/>
    </row>
  </sheetData>
  <mergeCells count="4">
    <mergeCell ref="E2:E3"/>
    <mergeCell ref="F2:I2"/>
    <mergeCell ref="A3:A9"/>
    <mergeCell ref="F10:H10"/>
  </mergeCells>
  <hyperlinks>
    <hyperlink ref="M3" r:id="rId1" xr:uid="{CCC2E348-C93F-4C55-A9B9-AEC52738D597}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E145-60E3-4629-A055-23A6A6323394}">
  <dimension ref="E4:F8"/>
  <sheetViews>
    <sheetView workbookViewId="0">
      <selection activeCell="E4" sqref="E4:F8"/>
    </sheetView>
  </sheetViews>
  <sheetFormatPr defaultRowHeight="14.5" x14ac:dyDescent="0.35"/>
  <cols>
    <col min="5" max="5" width="13.36328125" bestFit="1" customWidth="1"/>
    <col min="6" max="6" width="13.1796875" bestFit="1" customWidth="1"/>
  </cols>
  <sheetData>
    <row r="4" spans="5:6" x14ac:dyDescent="0.35">
      <c r="E4" s="390" t="s">
        <v>871</v>
      </c>
      <c r="F4" s="390"/>
    </row>
    <row r="5" spans="5:6" x14ac:dyDescent="0.35">
      <c r="E5" s="245" t="s">
        <v>872</v>
      </c>
      <c r="F5" s="102" t="s">
        <v>873</v>
      </c>
    </row>
    <row r="6" spans="5:6" x14ac:dyDescent="0.35">
      <c r="E6" s="42" t="s">
        <v>868</v>
      </c>
      <c r="F6" s="42">
        <v>32</v>
      </c>
    </row>
    <row r="7" spans="5:6" x14ac:dyDescent="0.35">
      <c r="E7" s="42" t="s">
        <v>869</v>
      </c>
      <c r="F7" s="288">
        <f>(3600/F6)*7*0.85/8</f>
        <v>83.671875</v>
      </c>
    </row>
    <row r="8" spans="5:6" x14ac:dyDescent="0.35">
      <c r="E8" s="42" t="s">
        <v>870</v>
      </c>
      <c r="F8" s="288">
        <f>F7*3</f>
        <v>251.015625</v>
      </c>
    </row>
  </sheetData>
  <mergeCells count="1"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5"/>
  <sheetViews>
    <sheetView workbookViewId="0">
      <selection activeCell="B12" sqref="B12"/>
    </sheetView>
  </sheetViews>
  <sheetFormatPr defaultRowHeight="14.5" x14ac:dyDescent="0.35"/>
  <cols>
    <col min="1" max="1" width="48.54296875" customWidth="1"/>
    <col min="2" max="2" width="15.453125" customWidth="1"/>
    <col min="3" max="3" width="43.26953125" customWidth="1"/>
    <col min="4" max="4" width="4.7265625" customWidth="1"/>
    <col min="5" max="6" width="10.81640625" bestFit="1" customWidth="1"/>
    <col min="7" max="9" width="9.90625" bestFit="1" customWidth="1"/>
    <col min="10" max="10" width="6.453125" bestFit="1" customWidth="1"/>
    <col min="11" max="11" width="10.81640625" bestFit="1" customWidth="1"/>
  </cols>
  <sheetData>
    <row r="3" spans="1:3" x14ac:dyDescent="0.35">
      <c r="A3" s="28" t="s">
        <v>157</v>
      </c>
      <c r="B3" t="s">
        <v>160</v>
      </c>
      <c r="C3" t="s">
        <v>161</v>
      </c>
    </row>
    <row r="4" spans="1:3" s="34" customFormat="1" x14ac:dyDescent="0.35">
      <c r="A4" s="33" t="s">
        <v>115</v>
      </c>
      <c r="B4" s="34">
        <v>3620</v>
      </c>
      <c r="C4" s="35">
        <v>45560</v>
      </c>
    </row>
    <row r="5" spans="1:3" s="34" customFormat="1" x14ac:dyDescent="0.35">
      <c r="A5" s="33" t="s">
        <v>85</v>
      </c>
      <c r="B5" s="34">
        <v>27200</v>
      </c>
      <c r="C5" s="34" t="s">
        <v>162</v>
      </c>
    </row>
    <row r="6" spans="1:3" s="34" customFormat="1" x14ac:dyDescent="0.35">
      <c r="A6" s="33" t="s">
        <v>70</v>
      </c>
      <c r="B6" s="34">
        <v>2880</v>
      </c>
      <c r="C6" s="34" t="s">
        <v>163</v>
      </c>
    </row>
    <row r="7" spans="1:3" s="34" customFormat="1" x14ac:dyDescent="0.35">
      <c r="A7" s="33" t="s">
        <v>67</v>
      </c>
      <c r="B7" s="34">
        <v>4320</v>
      </c>
      <c r="C7" s="34" t="s">
        <v>164</v>
      </c>
    </row>
    <row r="8" spans="1:3" s="34" customFormat="1" x14ac:dyDescent="0.35">
      <c r="A8" s="33" t="s">
        <v>119</v>
      </c>
      <c r="B8" s="34">
        <v>2880</v>
      </c>
      <c r="C8" s="34" t="s">
        <v>165</v>
      </c>
    </row>
    <row r="9" spans="1:3" s="34" customFormat="1" x14ac:dyDescent="0.35">
      <c r="A9" s="33" t="s">
        <v>145</v>
      </c>
      <c r="B9" s="34">
        <v>500</v>
      </c>
    </row>
    <row r="10" spans="1:3" s="34" customFormat="1" x14ac:dyDescent="0.35">
      <c r="A10" s="33" t="s">
        <v>42</v>
      </c>
      <c r="B10" s="34">
        <v>35000</v>
      </c>
    </row>
    <row r="11" spans="1:3" s="34" customFormat="1" x14ac:dyDescent="0.35">
      <c r="A11" s="33" t="s">
        <v>102</v>
      </c>
      <c r="B11" s="34">
        <v>35000</v>
      </c>
      <c r="C11" s="34" t="s">
        <v>166</v>
      </c>
    </row>
    <row r="12" spans="1:3" s="34" customFormat="1" x14ac:dyDescent="0.35">
      <c r="A12" s="33" t="s">
        <v>54</v>
      </c>
      <c r="B12" s="34">
        <v>52300</v>
      </c>
      <c r="C12" s="34" t="s">
        <v>167</v>
      </c>
    </row>
    <row r="13" spans="1:3" s="34" customFormat="1" x14ac:dyDescent="0.35">
      <c r="A13" s="33" t="s">
        <v>74</v>
      </c>
      <c r="B13" s="34">
        <v>20000</v>
      </c>
    </row>
    <row r="14" spans="1:3" x14ac:dyDescent="0.35">
      <c r="A14" s="29" t="s">
        <v>158</v>
      </c>
    </row>
    <row r="15" spans="1:3" x14ac:dyDescent="0.35">
      <c r="A15" s="29" t="s">
        <v>159</v>
      </c>
      <c r="B15">
        <v>183700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/>
  </sheetPr>
  <dimension ref="A1:AJ29"/>
  <sheetViews>
    <sheetView topLeftCell="L1" workbookViewId="0">
      <selection activeCell="AC11" sqref="AC11:AC20"/>
    </sheetView>
  </sheetViews>
  <sheetFormatPr defaultColWidth="9.1796875" defaultRowHeight="14.5" x14ac:dyDescent="0.35"/>
  <cols>
    <col min="1" max="1" width="5.81640625" bestFit="1" customWidth="1"/>
    <col min="2" max="2" width="8.1796875" bestFit="1" customWidth="1"/>
    <col min="3" max="3" width="6.1796875" bestFit="1" customWidth="1"/>
    <col min="4" max="5" width="8.54296875" bestFit="1" customWidth="1"/>
    <col min="6" max="6" width="24" bestFit="1" customWidth="1"/>
    <col min="7" max="7" width="23.54296875" bestFit="1" customWidth="1"/>
    <col min="8" max="8" width="13.81640625" bestFit="1" customWidth="1"/>
    <col min="9" max="9" width="8.453125" bestFit="1" customWidth="1"/>
    <col min="10" max="10" width="26.453125" bestFit="1" customWidth="1"/>
    <col min="11" max="11" width="16.54296875" bestFit="1" customWidth="1"/>
    <col min="12" max="12" width="5.7265625" bestFit="1" customWidth="1"/>
    <col min="13" max="13" width="41.1796875" bestFit="1" customWidth="1"/>
    <col min="14" max="14" width="6.26953125" bestFit="1" customWidth="1"/>
    <col min="15" max="15" width="11.08984375" customWidth="1"/>
    <col min="16" max="16" width="10.7265625" bestFit="1" customWidth="1"/>
    <col min="17" max="17" width="10.81640625" bestFit="1" customWidth="1"/>
    <col min="18" max="18" width="8.1796875" bestFit="1" customWidth="1"/>
    <col min="19" max="19" width="14.26953125" bestFit="1" customWidth="1"/>
    <col min="20" max="20" width="8.1796875" bestFit="1" customWidth="1"/>
    <col min="21" max="21" width="16.54296875" hidden="1" customWidth="1"/>
    <col min="22" max="22" width="11" hidden="1" customWidth="1"/>
    <col min="23" max="23" width="16.1796875" hidden="1" customWidth="1"/>
    <col min="24" max="24" width="9.1796875" bestFit="1" customWidth="1"/>
    <col min="25" max="25" width="13.453125" hidden="1" customWidth="1"/>
    <col min="26" max="26" width="11.7265625" hidden="1" customWidth="1"/>
    <col min="27" max="27" width="9.26953125" hidden="1" customWidth="1"/>
    <col min="28" max="28" width="12.81640625" hidden="1" customWidth="1"/>
    <col min="29" max="30" width="7.453125" bestFit="1" customWidth="1"/>
    <col min="31" max="31" width="8.26953125" bestFit="1" customWidth="1"/>
    <col min="32" max="32" width="9.26953125" bestFit="1" customWidth="1"/>
    <col min="33" max="33" width="16.453125" bestFit="1" customWidth="1"/>
    <col min="34" max="34" width="16.54296875" bestFit="1" customWidth="1"/>
    <col min="35" max="35" width="10" bestFit="1" customWidth="1"/>
    <col min="36" max="36" width="10.453125" bestFit="1" customWidth="1"/>
  </cols>
  <sheetData>
    <row r="1" spans="1:36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2" t="s">
        <v>35</v>
      </c>
    </row>
    <row r="2" spans="1:36" hidden="1" x14ac:dyDescent="0.35">
      <c r="A2" s="15" t="s">
        <v>36</v>
      </c>
      <c r="B2" s="15" t="s">
        <v>48</v>
      </c>
      <c r="C2" s="16" t="s">
        <v>37</v>
      </c>
      <c r="D2" s="15" t="s">
        <v>49</v>
      </c>
      <c r="E2" s="15" t="s">
        <v>50</v>
      </c>
      <c r="F2" s="16" t="s">
        <v>51</v>
      </c>
      <c r="G2" s="16" t="s">
        <v>49</v>
      </c>
      <c r="H2" s="15" t="s">
        <v>52</v>
      </c>
      <c r="I2" s="17">
        <v>45484</v>
      </c>
      <c r="J2" s="16" t="s">
        <v>53</v>
      </c>
      <c r="K2" s="15" t="s">
        <v>53</v>
      </c>
      <c r="L2" s="15" t="s">
        <v>41</v>
      </c>
      <c r="M2" s="16" t="s">
        <v>54</v>
      </c>
      <c r="N2" s="16" t="s">
        <v>55</v>
      </c>
      <c r="O2" s="16" t="s">
        <v>56</v>
      </c>
      <c r="P2" s="16" t="s">
        <v>45</v>
      </c>
      <c r="Q2" s="17">
        <v>45569</v>
      </c>
      <c r="R2" s="17">
        <v>45569</v>
      </c>
      <c r="S2" s="17">
        <v>45569</v>
      </c>
      <c r="T2" s="18">
        <v>0</v>
      </c>
      <c r="U2" s="19">
        <v>4400</v>
      </c>
      <c r="V2" s="19">
        <v>3308</v>
      </c>
      <c r="W2" s="20">
        <v>0</v>
      </c>
      <c r="X2" s="21">
        <v>15000</v>
      </c>
      <c r="Y2" s="21">
        <v>0</v>
      </c>
      <c r="Z2" s="21">
        <v>0</v>
      </c>
      <c r="AA2" s="21">
        <v>0</v>
      </c>
      <c r="AB2" s="21">
        <v>0</v>
      </c>
      <c r="AC2" s="22">
        <v>15000</v>
      </c>
      <c r="AD2" s="23">
        <v>10.86</v>
      </c>
      <c r="AE2" s="24">
        <v>162900</v>
      </c>
      <c r="AF2" s="15" t="s">
        <v>46</v>
      </c>
      <c r="AG2" s="25">
        <v>84.033609999999996</v>
      </c>
      <c r="AH2" s="26">
        <v>13574999.460000001</v>
      </c>
      <c r="AI2" s="16" t="s">
        <v>47</v>
      </c>
      <c r="AJ2" s="17">
        <v>45484</v>
      </c>
    </row>
    <row r="3" spans="1:36" hidden="1" x14ac:dyDescent="0.35">
      <c r="A3" s="3" t="s">
        <v>36</v>
      </c>
      <c r="B3" s="3" t="s">
        <v>57</v>
      </c>
      <c r="C3" s="4" t="s">
        <v>58</v>
      </c>
      <c r="D3" s="3" t="s">
        <v>49</v>
      </c>
      <c r="E3" s="3" t="s">
        <v>50</v>
      </c>
      <c r="F3" s="4" t="s">
        <v>51</v>
      </c>
      <c r="G3" s="4" t="s">
        <v>49</v>
      </c>
      <c r="H3" s="3" t="s">
        <v>59</v>
      </c>
      <c r="I3" s="5">
        <v>45447</v>
      </c>
      <c r="J3" s="4" t="s">
        <v>53</v>
      </c>
      <c r="K3" s="3" t="s">
        <v>53</v>
      </c>
      <c r="L3" s="3" t="s">
        <v>41</v>
      </c>
      <c r="M3" s="4" t="s">
        <v>54</v>
      </c>
      <c r="N3" s="4" t="s">
        <v>55</v>
      </c>
      <c r="O3" s="4" t="s">
        <v>56</v>
      </c>
      <c r="P3" s="4" t="s">
        <v>45</v>
      </c>
      <c r="Q3" s="5">
        <v>45569</v>
      </c>
      <c r="R3" s="5">
        <v>45569</v>
      </c>
      <c r="S3" s="5">
        <v>45569</v>
      </c>
      <c r="T3" s="6">
        <v>0</v>
      </c>
      <c r="U3" s="7">
        <v>4400</v>
      </c>
      <c r="V3" s="7">
        <v>3308</v>
      </c>
      <c r="W3" s="8">
        <v>0</v>
      </c>
      <c r="X3" s="9">
        <v>10000</v>
      </c>
      <c r="Y3" s="9">
        <v>0</v>
      </c>
      <c r="Z3" s="9">
        <v>0</v>
      </c>
      <c r="AA3" s="9">
        <v>0</v>
      </c>
      <c r="AB3" s="9">
        <v>0</v>
      </c>
      <c r="AC3" s="10">
        <v>10000</v>
      </c>
      <c r="AD3" s="11">
        <v>10.86</v>
      </c>
      <c r="AE3" s="12">
        <v>108600</v>
      </c>
      <c r="AF3" s="3" t="s">
        <v>46</v>
      </c>
      <c r="AG3" s="13">
        <v>84.033609999999996</v>
      </c>
      <c r="AH3" s="14">
        <v>9049999.6400000006</v>
      </c>
      <c r="AI3" s="4" t="s">
        <v>47</v>
      </c>
      <c r="AJ3" s="5">
        <v>45447</v>
      </c>
    </row>
    <row r="4" spans="1:36" hidden="1" x14ac:dyDescent="0.35">
      <c r="A4" s="15" t="s">
        <v>36</v>
      </c>
      <c r="B4" s="15" t="s">
        <v>60</v>
      </c>
      <c r="C4" s="16" t="s">
        <v>37</v>
      </c>
      <c r="D4" s="15" t="s">
        <v>61</v>
      </c>
      <c r="E4" s="15" t="s">
        <v>62</v>
      </c>
      <c r="F4" s="16" t="s">
        <v>63</v>
      </c>
      <c r="G4" s="16" t="s">
        <v>64</v>
      </c>
      <c r="H4" s="15" t="s">
        <v>65</v>
      </c>
      <c r="I4" s="17">
        <v>45488</v>
      </c>
      <c r="J4" s="16" t="s">
        <v>66</v>
      </c>
      <c r="K4" s="15" t="s">
        <v>66</v>
      </c>
      <c r="L4" s="15" t="s">
        <v>41</v>
      </c>
      <c r="M4" s="16" t="s">
        <v>67</v>
      </c>
      <c r="N4" s="16" t="s">
        <v>55</v>
      </c>
      <c r="O4" s="16" t="s">
        <v>68</v>
      </c>
      <c r="P4" s="16" t="s">
        <v>45</v>
      </c>
      <c r="Q4" s="17">
        <v>45574</v>
      </c>
      <c r="R4" s="17">
        <v>45574</v>
      </c>
      <c r="S4" s="17">
        <v>45574</v>
      </c>
      <c r="T4" s="18">
        <v>0</v>
      </c>
      <c r="U4" s="19">
        <v>0</v>
      </c>
      <c r="V4" s="19">
        <v>0</v>
      </c>
      <c r="W4" s="20">
        <v>0</v>
      </c>
      <c r="X4" s="21">
        <v>720</v>
      </c>
      <c r="Y4" s="21">
        <v>0</v>
      </c>
      <c r="Z4" s="21">
        <v>0</v>
      </c>
      <c r="AA4" s="21">
        <v>0</v>
      </c>
      <c r="AB4" s="21">
        <v>0</v>
      </c>
      <c r="AC4" s="22">
        <v>720</v>
      </c>
      <c r="AD4" s="23">
        <v>5.6231999999999998</v>
      </c>
      <c r="AE4" s="24">
        <v>4048.7</v>
      </c>
      <c r="AF4" s="15" t="s">
        <v>46</v>
      </c>
      <c r="AG4" s="25">
        <v>84.033609999999996</v>
      </c>
      <c r="AH4" s="26">
        <v>337391.99</v>
      </c>
      <c r="AI4" s="16" t="s">
        <v>47</v>
      </c>
      <c r="AJ4" s="17"/>
    </row>
    <row r="5" spans="1:36" hidden="1" x14ac:dyDescent="0.35">
      <c r="A5" s="3" t="s">
        <v>36</v>
      </c>
      <c r="B5" s="3" t="s">
        <v>60</v>
      </c>
      <c r="C5" s="4" t="s">
        <v>58</v>
      </c>
      <c r="D5" s="3" t="s">
        <v>61</v>
      </c>
      <c r="E5" s="3" t="s">
        <v>62</v>
      </c>
      <c r="F5" s="4" t="s">
        <v>63</v>
      </c>
      <c r="G5" s="4" t="s">
        <v>64</v>
      </c>
      <c r="H5" s="3" t="s">
        <v>65</v>
      </c>
      <c r="I5" s="5">
        <v>45488</v>
      </c>
      <c r="J5" s="4" t="s">
        <v>69</v>
      </c>
      <c r="K5" s="3" t="s">
        <v>69</v>
      </c>
      <c r="L5" s="3" t="s">
        <v>41</v>
      </c>
      <c r="M5" s="4" t="s">
        <v>70</v>
      </c>
      <c r="N5" s="4" t="s">
        <v>55</v>
      </c>
      <c r="O5" s="4" t="s">
        <v>68</v>
      </c>
      <c r="P5" s="4" t="s">
        <v>45</v>
      </c>
      <c r="Q5" s="5">
        <v>45574</v>
      </c>
      <c r="R5" s="5">
        <v>45574</v>
      </c>
      <c r="S5" s="5">
        <v>45574</v>
      </c>
      <c r="T5" s="6">
        <v>0</v>
      </c>
      <c r="U5" s="7">
        <v>312</v>
      </c>
      <c r="V5" s="7">
        <v>0</v>
      </c>
      <c r="W5" s="8">
        <v>0</v>
      </c>
      <c r="X5" s="9">
        <v>720</v>
      </c>
      <c r="Y5" s="9">
        <v>0</v>
      </c>
      <c r="Z5" s="9">
        <v>0</v>
      </c>
      <c r="AA5" s="9">
        <v>0</v>
      </c>
      <c r="AB5" s="9">
        <v>0</v>
      </c>
      <c r="AC5" s="10">
        <v>720</v>
      </c>
      <c r="AD5" s="11">
        <v>5.7816000000000001</v>
      </c>
      <c r="AE5" s="12">
        <v>4162.8</v>
      </c>
      <c r="AF5" s="3" t="s">
        <v>46</v>
      </c>
      <c r="AG5" s="13">
        <v>84.033609999999996</v>
      </c>
      <c r="AH5" s="14">
        <v>346895.99</v>
      </c>
      <c r="AI5" s="4" t="s">
        <v>47</v>
      </c>
      <c r="AJ5" s="5"/>
    </row>
    <row r="6" spans="1:36" hidden="1" x14ac:dyDescent="0.35">
      <c r="A6" s="15" t="s">
        <v>36</v>
      </c>
      <c r="B6" s="15" t="s">
        <v>71</v>
      </c>
      <c r="C6" s="16" t="s">
        <v>37</v>
      </c>
      <c r="D6" s="15" t="s">
        <v>38</v>
      </c>
      <c r="E6" s="15" t="s">
        <v>38</v>
      </c>
      <c r="F6" s="16" t="s">
        <v>39</v>
      </c>
      <c r="G6" s="16" t="s">
        <v>39</v>
      </c>
      <c r="H6" s="15" t="s">
        <v>72</v>
      </c>
      <c r="I6" s="17">
        <v>45525</v>
      </c>
      <c r="J6" s="16" t="s">
        <v>73</v>
      </c>
      <c r="K6" s="15" t="s">
        <v>73</v>
      </c>
      <c r="L6" s="15" t="s">
        <v>41</v>
      </c>
      <c r="M6" s="16" t="s">
        <v>74</v>
      </c>
      <c r="N6" s="16" t="s">
        <v>43</v>
      </c>
      <c r="O6" s="16" t="s">
        <v>44</v>
      </c>
      <c r="P6" s="16" t="s">
        <v>75</v>
      </c>
      <c r="Q6" s="17">
        <v>45569</v>
      </c>
      <c r="R6" s="17">
        <v>45576</v>
      </c>
      <c r="S6" s="17">
        <v>45576</v>
      </c>
      <c r="T6" s="18">
        <v>-7</v>
      </c>
      <c r="U6" s="19">
        <v>0</v>
      </c>
      <c r="V6" s="19">
        <v>0</v>
      </c>
      <c r="W6" s="20">
        <v>0</v>
      </c>
      <c r="X6" s="21">
        <v>20000</v>
      </c>
      <c r="Y6" s="21">
        <v>0</v>
      </c>
      <c r="Z6" s="21">
        <v>0</v>
      </c>
      <c r="AA6" s="21">
        <v>0</v>
      </c>
      <c r="AB6" s="21">
        <v>0</v>
      </c>
      <c r="AC6" s="22">
        <v>20000</v>
      </c>
      <c r="AD6" s="23">
        <v>4.5704500000000001</v>
      </c>
      <c r="AE6" s="24">
        <v>91409</v>
      </c>
      <c r="AF6" s="15" t="s">
        <v>46</v>
      </c>
      <c r="AG6" s="25">
        <v>84.033609999999996</v>
      </c>
      <c r="AH6" s="26">
        <v>7681428.2599999998</v>
      </c>
      <c r="AI6" s="16" t="s">
        <v>47</v>
      </c>
      <c r="AJ6" s="17"/>
    </row>
    <row r="7" spans="1:36" hidden="1" x14ac:dyDescent="0.35">
      <c r="A7" s="3" t="s">
        <v>36</v>
      </c>
      <c r="B7" s="3" t="s">
        <v>76</v>
      </c>
      <c r="C7" s="4" t="s">
        <v>37</v>
      </c>
      <c r="D7" s="3" t="s">
        <v>38</v>
      </c>
      <c r="E7" s="3" t="s">
        <v>38</v>
      </c>
      <c r="F7" s="4" t="s">
        <v>39</v>
      </c>
      <c r="G7" s="4" t="s">
        <v>39</v>
      </c>
      <c r="H7" s="3" t="s">
        <v>77</v>
      </c>
      <c r="I7" s="5">
        <v>45519</v>
      </c>
      <c r="J7" s="4" t="s">
        <v>40</v>
      </c>
      <c r="K7" s="3" t="s">
        <v>40</v>
      </c>
      <c r="L7" s="3" t="s">
        <v>41</v>
      </c>
      <c r="M7" s="4" t="s">
        <v>42</v>
      </c>
      <c r="N7" s="4" t="s">
        <v>43</v>
      </c>
      <c r="O7" s="4" t="s">
        <v>44</v>
      </c>
      <c r="P7" s="4" t="s">
        <v>45</v>
      </c>
      <c r="Q7" s="5">
        <v>45576</v>
      </c>
      <c r="R7" s="5">
        <v>45576</v>
      </c>
      <c r="S7" s="5">
        <v>45576</v>
      </c>
      <c r="T7" s="6">
        <v>0</v>
      </c>
      <c r="U7" s="7">
        <v>0</v>
      </c>
      <c r="V7" s="7">
        <v>0</v>
      </c>
      <c r="W7" s="8">
        <v>0</v>
      </c>
      <c r="X7" s="9">
        <v>15000</v>
      </c>
      <c r="Y7" s="9">
        <v>0</v>
      </c>
      <c r="Z7" s="9">
        <v>0</v>
      </c>
      <c r="AA7" s="9">
        <v>0</v>
      </c>
      <c r="AB7" s="9">
        <v>0</v>
      </c>
      <c r="AC7" s="10">
        <v>15000</v>
      </c>
      <c r="AD7" s="11">
        <v>0.26688000000000001</v>
      </c>
      <c r="AE7" s="12">
        <v>4003.2</v>
      </c>
      <c r="AF7" s="3" t="s">
        <v>46</v>
      </c>
      <c r="AG7" s="13">
        <v>84.033609999999996</v>
      </c>
      <c r="AH7" s="14">
        <v>336403.35</v>
      </c>
      <c r="AI7" s="4" t="s">
        <v>47</v>
      </c>
      <c r="AJ7" s="5"/>
    </row>
    <row r="8" spans="1:36" hidden="1" x14ac:dyDescent="0.35">
      <c r="A8" s="15" t="s">
        <v>36</v>
      </c>
      <c r="B8" s="15" t="s">
        <v>78</v>
      </c>
      <c r="C8" s="16" t="s">
        <v>37</v>
      </c>
      <c r="D8" s="15" t="s">
        <v>79</v>
      </c>
      <c r="E8" s="15" t="s">
        <v>80</v>
      </c>
      <c r="F8" s="16" t="s">
        <v>81</v>
      </c>
      <c r="G8" s="16" t="s">
        <v>79</v>
      </c>
      <c r="H8" s="15" t="s">
        <v>82</v>
      </c>
      <c r="I8" s="17">
        <v>45518</v>
      </c>
      <c r="J8" s="16" t="s">
        <v>83</v>
      </c>
      <c r="K8" s="15" t="s">
        <v>84</v>
      </c>
      <c r="L8" s="15" t="s">
        <v>41</v>
      </c>
      <c r="M8" s="16" t="s">
        <v>85</v>
      </c>
      <c r="N8" s="16" t="s">
        <v>55</v>
      </c>
      <c r="O8" s="16" t="s">
        <v>68</v>
      </c>
      <c r="P8" s="16" t="s">
        <v>45</v>
      </c>
      <c r="Q8" s="17">
        <v>45569</v>
      </c>
      <c r="R8" s="17">
        <v>45576</v>
      </c>
      <c r="S8" s="17">
        <v>45576</v>
      </c>
      <c r="T8" s="18">
        <v>-7</v>
      </c>
      <c r="U8" s="19">
        <v>9840</v>
      </c>
      <c r="V8" s="19">
        <v>2180</v>
      </c>
      <c r="W8" s="20">
        <v>0</v>
      </c>
      <c r="X8" s="21">
        <v>25000</v>
      </c>
      <c r="Y8" s="21">
        <v>0</v>
      </c>
      <c r="Z8" s="21">
        <v>0</v>
      </c>
      <c r="AA8" s="21">
        <v>0</v>
      </c>
      <c r="AB8" s="21">
        <v>0</v>
      </c>
      <c r="AC8" s="22">
        <v>25000</v>
      </c>
      <c r="AD8" s="23">
        <v>22.92</v>
      </c>
      <c r="AE8" s="24">
        <v>573000</v>
      </c>
      <c r="AF8" s="15" t="s">
        <v>46</v>
      </c>
      <c r="AG8" s="25">
        <v>84.033609999999996</v>
      </c>
      <c r="AH8" s="26">
        <v>48151258.530000001</v>
      </c>
      <c r="AI8" s="16" t="s">
        <v>47</v>
      </c>
      <c r="AJ8" s="17">
        <v>45518</v>
      </c>
    </row>
    <row r="9" spans="1:36" hidden="1" x14ac:dyDescent="0.35">
      <c r="A9" s="3" t="s">
        <v>36</v>
      </c>
      <c r="B9" s="3" t="s">
        <v>86</v>
      </c>
      <c r="C9" s="4" t="s">
        <v>87</v>
      </c>
      <c r="D9" s="3" t="s">
        <v>61</v>
      </c>
      <c r="E9" s="3" t="s">
        <v>88</v>
      </c>
      <c r="F9" s="4" t="s">
        <v>63</v>
      </c>
      <c r="G9" s="4" t="s">
        <v>89</v>
      </c>
      <c r="H9" s="3" t="s">
        <v>90</v>
      </c>
      <c r="I9" s="5">
        <v>45506</v>
      </c>
      <c r="J9" s="4" t="s">
        <v>66</v>
      </c>
      <c r="K9" s="3" t="s">
        <v>66</v>
      </c>
      <c r="L9" s="3" t="s">
        <v>41</v>
      </c>
      <c r="M9" s="4" t="s">
        <v>67</v>
      </c>
      <c r="N9" s="4" t="s">
        <v>55</v>
      </c>
      <c r="O9" s="4" t="s">
        <v>68</v>
      </c>
      <c r="P9" s="4" t="s">
        <v>45</v>
      </c>
      <c r="Q9" s="5">
        <v>45576</v>
      </c>
      <c r="R9" s="5">
        <v>45576</v>
      </c>
      <c r="S9" s="5">
        <v>45576</v>
      </c>
      <c r="T9" s="6">
        <v>0</v>
      </c>
      <c r="U9" s="7">
        <v>0</v>
      </c>
      <c r="V9" s="7">
        <v>0</v>
      </c>
      <c r="W9" s="8">
        <v>0</v>
      </c>
      <c r="X9" s="9">
        <v>720</v>
      </c>
      <c r="Y9" s="9">
        <v>0</v>
      </c>
      <c r="Z9" s="9">
        <v>0</v>
      </c>
      <c r="AA9" s="9">
        <v>0</v>
      </c>
      <c r="AB9" s="9">
        <v>0</v>
      </c>
      <c r="AC9" s="10">
        <v>720</v>
      </c>
      <c r="AD9" s="11">
        <v>5.6231999999999998</v>
      </c>
      <c r="AE9" s="12">
        <v>4048.7</v>
      </c>
      <c r="AF9" s="3" t="s">
        <v>46</v>
      </c>
      <c r="AG9" s="13">
        <v>84.033609999999996</v>
      </c>
      <c r="AH9" s="14">
        <v>340227.21</v>
      </c>
      <c r="AI9" s="4" t="s">
        <v>47</v>
      </c>
      <c r="AJ9" s="5"/>
    </row>
    <row r="10" spans="1:36" hidden="1" x14ac:dyDescent="0.35">
      <c r="A10" s="15" t="s">
        <v>36</v>
      </c>
      <c r="B10" s="15" t="s">
        <v>91</v>
      </c>
      <c r="C10" s="16" t="s">
        <v>37</v>
      </c>
      <c r="D10" s="15" t="s">
        <v>79</v>
      </c>
      <c r="E10" s="15" t="s">
        <v>92</v>
      </c>
      <c r="F10" s="16" t="s">
        <v>81</v>
      </c>
      <c r="G10" s="16" t="s">
        <v>79</v>
      </c>
      <c r="H10" s="15" t="s">
        <v>93</v>
      </c>
      <c r="I10" s="17">
        <v>45538</v>
      </c>
      <c r="J10" s="16" t="s">
        <v>94</v>
      </c>
      <c r="K10" s="15" t="s">
        <v>53</v>
      </c>
      <c r="L10" s="15" t="s">
        <v>41</v>
      </c>
      <c r="M10" s="16" t="s">
        <v>54</v>
      </c>
      <c r="N10" s="16" t="s">
        <v>55</v>
      </c>
      <c r="O10" s="16" t="s">
        <v>56</v>
      </c>
      <c r="P10" s="16" t="s">
        <v>45</v>
      </c>
      <c r="Q10" s="17">
        <v>45576</v>
      </c>
      <c r="R10" s="17">
        <v>45583</v>
      </c>
      <c r="S10" s="17">
        <v>45583</v>
      </c>
      <c r="T10" s="18">
        <v>-7</v>
      </c>
      <c r="U10" s="19">
        <v>4400</v>
      </c>
      <c r="V10" s="19">
        <v>3308</v>
      </c>
      <c r="W10" s="20">
        <v>0</v>
      </c>
      <c r="X10" s="21">
        <v>2300</v>
      </c>
      <c r="Y10" s="21">
        <v>0</v>
      </c>
      <c r="Z10" s="21">
        <v>0</v>
      </c>
      <c r="AA10" s="21">
        <v>0</v>
      </c>
      <c r="AB10" s="21">
        <v>0</v>
      </c>
      <c r="AC10" s="22">
        <v>2300</v>
      </c>
      <c r="AD10" s="23">
        <v>10.43</v>
      </c>
      <c r="AE10" s="24">
        <v>23989</v>
      </c>
      <c r="AF10" s="15" t="s">
        <v>46</v>
      </c>
      <c r="AG10" s="25">
        <v>84.033609999999996</v>
      </c>
      <c r="AH10" s="26">
        <v>2015882.27</v>
      </c>
      <c r="AI10" s="16" t="s">
        <v>47</v>
      </c>
      <c r="AJ10" s="17">
        <v>45538</v>
      </c>
    </row>
    <row r="11" spans="1:36" x14ac:dyDescent="0.35">
      <c r="A11" s="3" t="s">
        <v>36</v>
      </c>
      <c r="B11" s="3" t="s">
        <v>95</v>
      </c>
      <c r="C11" s="4" t="s">
        <v>96</v>
      </c>
      <c r="D11" s="3" t="s">
        <v>49</v>
      </c>
      <c r="E11" s="3" t="s">
        <v>97</v>
      </c>
      <c r="F11" s="4" t="s">
        <v>51</v>
      </c>
      <c r="G11" s="4" t="s">
        <v>98</v>
      </c>
      <c r="H11" s="3" t="s">
        <v>99</v>
      </c>
      <c r="I11" s="5">
        <v>45537</v>
      </c>
      <c r="J11" s="4" t="s">
        <v>100</v>
      </c>
      <c r="K11" s="3" t="s">
        <v>101</v>
      </c>
      <c r="L11" s="3" t="s">
        <v>41</v>
      </c>
      <c r="M11" s="4" t="s">
        <v>102</v>
      </c>
      <c r="N11" s="4" t="s">
        <v>55</v>
      </c>
      <c r="O11" s="4" t="s">
        <v>68</v>
      </c>
      <c r="P11" s="4" t="s">
        <v>45</v>
      </c>
      <c r="Q11" s="5">
        <v>45561</v>
      </c>
      <c r="R11" s="5">
        <v>45583</v>
      </c>
      <c r="S11" s="5">
        <v>45583</v>
      </c>
      <c r="T11" s="6">
        <v>-22</v>
      </c>
      <c r="U11" s="7">
        <v>640</v>
      </c>
      <c r="V11" s="7">
        <v>700</v>
      </c>
      <c r="W11" s="8">
        <v>0</v>
      </c>
      <c r="X11" s="9">
        <v>10000</v>
      </c>
      <c r="Y11" s="9">
        <v>0</v>
      </c>
      <c r="Z11" s="9">
        <v>0</v>
      </c>
      <c r="AA11" s="9">
        <v>0</v>
      </c>
      <c r="AB11" s="9">
        <v>0</v>
      </c>
      <c r="AC11" s="10">
        <v>10000</v>
      </c>
      <c r="AD11" s="11">
        <v>14.11</v>
      </c>
      <c r="AE11" s="12">
        <v>141100</v>
      </c>
      <c r="AF11" s="3" t="s">
        <v>46</v>
      </c>
      <c r="AG11" s="13">
        <v>84.033609999999996</v>
      </c>
      <c r="AH11" s="14">
        <v>11857142.369999999</v>
      </c>
      <c r="AI11" s="4" t="s">
        <v>47</v>
      </c>
      <c r="AJ11" s="5"/>
    </row>
    <row r="12" spans="1:36" hidden="1" x14ac:dyDescent="0.35">
      <c r="A12" s="15" t="s">
        <v>36</v>
      </c>
      <c r="B12" s="15" t="s">
        <v>103</v>
      </c>
      <c r="C12" s="16" t="s">
        <v>104</v>
      </c>
      <c r="D12" s="15" t="s">
        <v>61</v>
      </c>
      <c r="E12" s="15" t="s">
        <v>62</v>
      </c>
      <c r="F12" s="16" t="s">
        <v>63</v>
      </c>
      <c r="G12" s="16" t="s">
        <v>64</v>
      </c>
      <c r="H12" s="15" t="s">
        <v>105</v>
      </c>
      <c r="I12" s="17">
        <v>45521</v>
      </c>
      <c r="J12" s="16" t="s">
        <v>69</v>
      </c>
      <c r="K12" s="15" t="s">
        <v>69</v>
      </c>
      <c r="L12" s="15" t="s">
        <v>41</v>
      </c>
      <c r="M12" s="16" t="s">
        <v>70</v>
      </c>
      <c r="N12" s="16" t="s">
        <v>55</v>
      </c>
      <c r="O12" s="16" t="s">
        <v>68</v>
      </c>
      <c r="P12" s="16" t="s">
        <v>45</v>
      </c>
      <c r="Q12" s="17">
        <v>45583</v>
      </c>
      <c r="R12" s="17">
        <v>45583</v>
      </c>
      <c r="S12" s="17">
        <v>45583</v>
      </c>
      <c r="T12" s="18">
        <v>0</v>
      </c>
      <c r="U12" s="19">
        <v>312</v>
      </c>
      <c r="V12" s="19">
        <v>0</v>
      </c>
      <c r="W12" s="20">
        <v>0</v>
      </c>
      <c r="X12" s="21">
        <v>2160</v>
      </c>
      <c r="Y12" s="21">
        <v>0</v>
      </c>
      <c r="Z12" s="21">
        <v>0</v>
      </c>
      <c r="AA12" s="21">
        <v>0</v>
      </c>
      <c r="AB12" s="21">
        <v>0</v>
      </c>
      <c r="AC12" s="22">
        <v>2160</v>
      </c>
      <c r="AD12" s="23">
        <v>5.7816000000000001</v>
      </c>
      <c r="AE12" s="24">
        <v>12488</v>
      </c>
      <c r="AF12" s="15" t="s">
        <v>46</v>
      </c>
      <c r="AG12" s="25">
        <v>84.033609999999996</v>
      </c>
      <c r="AH12" s="26">
        <v>1049433.23</v>
      </c>
      <c r="AI12" s="16" t="s">
        <v>47</v>
      </c>
      <c r="AJ12" s="17"/>
    </row>
    <row r="13" spans="1:36" x14ac:dyDescent="0.35">
      <c r="A13" s="3" t="s">
        <v>36</v>
      </c>
      <c r="B13" s="3" t="s">
        <v>106</v>
      </c>
      <c r="C13" s="4" t="s">
        <v>96</v>
      </c>
      <c r="D13" s="3" t="s">
        <v>49</v>
      </c>
      <c r="E13" s="3" t="s">
        <v>50</v>
      </c>
      <c r="F13" s="4" t="s">
        <v>51</v>
      </c>
      <c r="G13" s="4" t="s">
        <v>49</v>
      </c>
      <c r="H13" s="3" t="s">
        <v>107</v>
      </c>
      <c r="I13" s="5">
        <v>45517</v>
      </c>
      <c r="J13" s="4" t="s">
        <v>108</v>
      </c>
      <c r="K13" s="3" t="s">
        <v>101</v>
      </c>
      <c r="L13" s="3" t="s">
        <v>41</v>
      </c>
      <c r="M13" s="4" t="s">
        <v>102</v>
      </c>
      <c r="N13" s="4" t="s">
        <v>55</v>
      </c>
      <c r="O13" s="4" t="s">
        <v>68</v>
      </c>
      <c r="P13" s="4" t="s">
        <v>45</v>
      </c>
      <c r="Q13" s="5">
        <v>45547</v>
      </c>
      <c r="R13" s="5">
        <v>45583</v>
      </c>
      <c r="S13" s="5">
        <v>45583</v>
      </c>
      <c r="T13" s="6">
        <v>-36</v>
      </c>
      <c r="U13" s="7">
        <v>640</v>
      </c>
      <c r="V13" s="7">
        <v>700</v>
      </c>
      <c r="W13" s="8">
        <v>0</v>
      </c>
      <c r="X13" s="9">
        <v>10000</v>
      </c>
      <c r="Y13" s="9">
        <v>0</v>
      </c>
      <c r="Z13" s="9">
        <v>0</v>
      </c>
      <c r="AA13" s="9">
        <v>0</v>
      </c>
      <c r="AB13" s="9">
        <v>0</v>
      </c>
      <c r="AC13" s="10">
        <v>10000</v>
      </c>
      <c r="AD13" s="11">
        <v>14.11</v>
      </c>
      <c r="AE13" s="12">
        <v>141100</v>
      </c>
      <c r="AF13" s="3" t="s">
        <v>46</v>
      </c>
      <c r="AG13" s="13">
        <v>84.033609999999996</v>
      </c>
      <c r="AH13" s="14">
        <v>11857142.369999999</v>
      </c>
      <c r="AI13" s="4" t="s">
        <v>47</v>
      </c>
      <c r="AJ13" s="5"/>
    </row>
    <row r="14" spans="1:36" hidden="1" x14ac:dyDescent="0.35">
      <c r="A14" s="15" t="s">
        <v>36</v>
      </c>
      <c r="B14" s="15" t="s">
        <v>109</v>
      </c>
      <c r="C14" s="16" t="s">
        <v>37</v>
      </c>
      <c r="D14" s="15" t="s">
        <v>49</v>
      </c>
      <c r="E14" s="15" t="s">
        <v>50</v>
      </c>
      <c r="F14" s="16" t="s">
        <v>51</v>
      </c>
      <c r="G14" s="16" t="s">
        <v>49</v>
      </c>
      <c r="H14" s="15" t="s">
        <v>110</v>
      </c>
      <c r="I14" s="17">
        <v>45484</v>
      </c>
      <c r="J14" s="16" t="s">
        <v>53</v>
      </c>
      <c r="K14" s="15" t="s">
        <v>53</v>
      </c>
      <c r="L14" s="15" t="s">
        <v>41</v>
      </c>
      <c r="M14" s="16" t="s">
        <v>54</v>
      </c>
      <c r="N14" s="16" t="s">
        <v>55</v>
      </c>
      <c r="O14" s="16" t="s">
        <v>56</v>
      </c>
      <c r="P14" s="16" t="s">
        <v>45</v>
      </c>
      <c r="Q14" s="17">
        <v>45583</v>
      </c>
      <c r="R14" s="17">
        <v>45583</v>
      </c>
      <c r="S14" s="17">
        <v>45583</v>
      </c>
      <c r="T14" s="18">
        <v>0</v>
      </c>
      <c r="U14" s="19">
        <v>4400</v>
      </c>
      <c r="V14" s="19">
        <v>3308</v>
      </c>
      <c r="W14" s="20">
        <v>0</v>
      </c>
      <c r="X14" s="21">
        <v>10000</v>
      </c>
      <c r="Y14" s="21">
        <v>0</v>
      </c>
      <c r="Z14" s="21">
        <v>0</v>
      </c>
      <c r="AA14" s="21">
        <v>0</v>
      </c>
      <c r="AB14" s="21">
        <v>0</v>
      </c>
      <c r="AC14" s="22">
        <v>10000</v>
      </c>
      <c r="AD14" s="23">
        <v>10.86</v>
      </c>
      <c r="AE14" s="24">
        <v>108600</v>
      </c>
      <c r="AF14" s="15" t="s">
        <v>46</v>
      </c>
      <c r="AG14" s="25">
        <v>84.033609999999996</v>
      </c>
      <c r="AH14" s="26">
        <v>9049999.6400000006</v>
      </c>
      <c r="AI14" s="16" t="s">
        <v>47</v>
      </c>
      <c r="AJ14" s="17">
        <v>45484</v>
      </c>
    </row>
    <row r="15" spans="1:36" hidden="1" x14ac:dyDescent="0.35">
      <c r="A15" s="3" t="s">
        <v>36</v>
      </c>
      <c r="B15" s="3" t="s">
        <v>111</v>
      </c>
      <c r="C15" s="4" t="s">
        <v>96</v>
      </c>
      <c r="D15" s="3" t="s">
        <v>49</v>
      </c>
      <c r="E15" s="3" t="s">
        <v>50</v>
      </c>
      <c r="F15" s="4" t="s">
        <v>51</v>
      </c>
      <c r="G15" s="4" t="s">
        <v>49</v>
      </c>
      <c r="H15" s="3" t="s">
        <v>112</v>
      </c>
      <c r="I15" s="5">
        <v>45554</v>
      </c>
      <c r="J15" s="4" t="s">
        <v>113</v>
      </c>
      <c r="K15" s="3" t="s">
        <v>114</v>
      </c>
      <c r="L15" s="3" t="s">
        <v>41</v>
      </c>
      <c r="M15" s="4" t="s">
        <v>115</v>
      </c>
      <c r="N15" s="4" t="s">
        <v>55</v>
      </c>
      <c r="O15" s="4" t="s">
        <v>68</v>
      </c>
      <c r="P15" s="4" t="s">
        <v>116</v>
      </c>
      <c r="Q15" s="5">
        <v>45561</v>
      </c>
      <c r="R15" s="5">
        <v>45590</v>
      </c>
      <c r="S15" s="5">
        <v>45590</v>
      </c>
      <c r="T15" s="6">
        <v>-29</v>
      </c>
      <c r="U15" s="7">
        <v>60</v>
      </c>
      <c r="V15" s="7">
        <v>0</v>
      </c>
      <c r="W15" s="8">
        <v>0</v>
      </c>
      <c r="X15" s="9">
        <v>1620</v>
      </c>
      <c r="Y15" s="9">
        <v>0</v>
      </c>
      <c r="Z15" s="9">
        <v>0</v>
      </c>
      <c r="AA15" s="9">
        <v>0</v>
      </c>
      <c r="AB15" s="9">
        <v>0</v>
      </c>
      <c r="AC15" s="10">
        <v>1620</v>
      </c>
      <c r="AD15" s="11">
        <v>30.37</v>
      </c>
      <c r="AE15" s="12">
        <v>49199</v>
      </c>
      <c r="AF15" s="3" t="s">
        <v>46</v>
      </c>
      <c r="AG15" s="13">
        <v>84.033609999999996</v>
      </c>
      <c r="AH15" s="14">
        <v>4134403.19</v>
      </c>
      <c r="AI15" s="4" t="s">
        <v>47</v>
      </c>
      <c r="AJ15" s="5"/>
    </row>
    <row r="16" spans="1:36" hidden="1" x14ac:dyDescent="0.35">
      <c r="A16" s="15" t="s">
        <v>36</v>
      </c>
      <c r="B16" s="15" t="s">
        <v>86</v>
      </c>
      <c r="C16" s="16" t="s">
        <v>117</v>
      </c>
      <c r="D16" s="15" t="s">
        <v>61</v>
      </c>
      <c r="E16" s="15" t="s">
        <v>88</v>
      </c>
      <c r="F16" s="16" t="s">
        <v>63</v>
      </c>
      <c r="G16" s="16" t="s">
        <v>89</v>
      </c>
      <c r="H16" s="15" t="s">
        <v>90</v>
      </c>
      <c r="I16" s="17">
        <v>45506</v>
      </c>
      <c r="J16" s="16" t="s">
        <v>118</v>
      </c>
      <c r="K16" s="15" t="s">
        <v>118</v>
      </c>
      <c r="L16" s="15" t="s">
        <v>41</v>
      </c>
      <c r="M16" s="16" t="s">
        <v>119</v>
      </c>
      <c r="N16" s="16" t="s">
        <v>55</v>
      </c>
      <c r="O16" s="16" t="s">
        <v>68</v>
      </c>
      <c r="P16" s="16" t="s">
        <v>45</v>
      </c>
      <c r="Q16" s="17">
        <v>45590</v>
      </c>
      <c r="R16" s="17">
        <v>45590</v>
      </c>
      <c r="S16" s="17">
        <v>45590</v>
      </c>
      <c r="T16" s="18">
        <v>0</v>
      </c>
      <c r="U16" s="19">
        <v>0</v>
      </c>
      <c r="V16" s="19">
        <v>96</v>
      </c>
      <c r="W16" s="20">
        <v>0</v>
      </c>
      <c r="X16" s="21">
        <v>720</v>
      </c>
      <c r="Y16" s="21">
        <v>0</v>
      </c>
      <c r="Z16" s="21">
        <v>0</v>
      </c>
      <c r="AA16" s="21">
        <v>0</v>
      </c>
      <c r="AB16" s="21">
        <v>0</v>
      </c>
      <c r="AC16" s="22">
        <v>720</v>
      </c>
      <c r="AD16" s="23">
        <v>5.4</v>
      </c>
      <c r="AE16" s="24">
        <v>3888</v>
      </c>
      <c r="AF16" s="15" t="s">
        <v>46</v>
      </c>
      <c r="AG16" s="25">
        <v>84.033609999999996</v>
      </c>
      <c r="AH16" s="26">
        <v>326722.68</v>
      </c>
      <c r="AI16" s="16" t="s">
        <v>47</v>
      </c>
      <c r="AJ16" s="17"/>
    </row>
    <row r="17" spans="1:36" hidden="1" x14ac:dyDescent="0.35">
      <c r="A17" s="3" t="s">
        <v>36</v>
      </c>
      <c r="B17" s="3" t="s">
        <v>120</v>
      </c>
      <c r="C17" s="4" t="s">
        <v>37</v>
      </c>
      <c r="D17" s="3" t="s">
        <v>121</v>
      </c>
      <c r="E17" s="3" t="s">
        <v>122</v>
      </c>
      <c r="F17" s="4" t="s">
        <v>123</v>
      </c>
      <c r="G17" s="4" t="s">
        <v>121</v>
      </c>
      <c r="H17" s="3" t="s">
        <v>124</v>
      </c>
      <c r="I17" s="5">
        <v>45502</v>
      </c>
      <c r="J17" s="4" t="s">
        <v>125</v>
      </c>
      <c r="K17" s="3" t="s">
        <v>114</v>
      </c>
      <c r="L17" s="3" t="s">
        <v>41</v>
      </c>
      <c r="M17" s="4" t="s">
        <v>115</v>
      </c>
      <c r="N17" s="4" t="s">
        <v>55</v>
      </c>
      <c r="O17" s="4" t="s">
        <v>68</v>
      </c>
      <c r="P17" s="4" t="s">
        <v>116</v>
      </c>
      <c r="Q17" s="5">
        <v>45590</v>
      </c>
      <c r="R17" s="5">
        <v>45590</v>
      </c>
      <c r="S17" s="5">
        <v>45590</v>
      </c>
      <c r="T17" s="6">
        <v>0</v>
      </c>
      <c r="U17" s="7">
        <v>60</v>
      </c>
      <c r="V17" s="7">
        <v>0</v>
      </c>
      <c r="W17" s="8">
        <v>0</v>
      </c>
      <c r="X17" s="9">
        <v>1000</v>
      </c>
      <c r="Y17" s="9">
        <v>0</v>
      </c>
      <c r="Z17" s="9">
        <v>0</v>
      </c>
      <c r="AA17" s="9">
        <v>0</v>
      </c>
      <c r="AB17" s="9">
        <v>0</v>
      </c>
      <c r="AC17" s="10">
        <v>1000</v>
      </c>
      <c r="AD17" s="11">
        <v>34.93</v>
      </c>
      <c r="AE17" s="12">
        <v>34930</v>
      </c>
      <c r="AF17" s="3" t="s">
        <v>46</v>
      </c>
      <c r="AG17" s="13">
        <v>84.033609999999996</v>
      </c>
      <c r="AH17" s="14">
        <v>2910833.22</v>
      </c>
      <c r="AI17" s="4" t="s">
        <v>47</v>
      </c>
      <c r="AJ17" s="5">
        <v>45502</v>
      </c>
    </row>
    <row r="18" spans="1:36" hidden="1" x14ac:dyDescent="0.35">
      <c r="A18" s="15" t="s">
        <v>36</v>
      </c>
      <c r="B18" s="15" t="s">
        <v>126</v>
      </c>
      <c r="C18" s="16" t="s">
        <v>96</v>
      </c>
      <c r="D18" s="15" t="s">
        <v>49</v>
      </c>
      <c r="E18" s="15" t="s">
        <v>50</v>
      </c>
      <c r="F18" s="16" t="s">
        <v>51</v>
      </c>
      <c r="G18" s="16" t="s">
        <v>49</v>
      </c>
      <c r="H18" s="15" t="s">
        <v>127</v>
      </c>
      <c r="I18" s="17">
        <v>45499</v>
      </c>
      <c r="J18" s="16" t="s">
        <v>128</v>
      </c>
      <c r="K18" s="15" t="s">
        <v>53</v>
      </c>
      <c r="L18" s="15" t="s">
        <v>41</v>
      </c>
      <c r="M18" s="16" t="s">
        <v>54</v>
      </c>
      <c r="N18" s="16" t="s">
        <v>55</v>
      </c>
      <c r="O18" s="16" t="s">
        <v>56</v>
      </c>
      <c r="P18" s="16" t="s">
        <v>45</v>
      </c>
      <c r="Q18" s="17">
        <v>45590</v>
      </c>
      <c r="R18" s="17">
        <v>45590</v>
      </c>
      <c r="S18" s="17">
        <v>45590</v>
      </c>
      <c r="T18" s="18">
        <v>0</v>
      </c>
      <c r="U18" s="19">
        <v>4400</v>
      </c>
      <c r="V18" s="19">
        <v>3308</v>
      </c>
      <c r="W18" s="20">
        <v>0</v>
      </c>
      <c r="X18" s="21">
        <v>15000</v>
      </c>
      <c r="Y18" s="21">
        <v>0</v>
      </c>
      <c r="Z18" s="21">
        <v>0</v>
      </c>
      <c r="AA18" s="21">
        <v>0</v>
      </c>
      <c r="AB18" s="21">
        <v>0</v>
      </c>
      <c r="AC18" s="22">
        <v>15000</v>
      </c>
      <c r="AD18" s="23">
        <v>10.86</v>
      </c>
      <c r="AE18" s="24">
        <v>162900</v>
      </c>
      <c r="AF18" s="15" t="s">
        <v>46</v>
      </c>
      <c r="AG18" s="25">
        <v>84.033609999999996</v>
      </c>
      <c r="AH18" s="26">
        <v>13574999.460000001</v>
      </c>
      <c r="AI18" s="16" t="s">
        <v>47</v>
      </c>
      <c r="AJ18" s="17"/>
    </row>
    <row r="19" spans="1:36" hidden="1" x14ac:dyDescent="0.35">
      <c r="A19" s="3" t="s">
        <v>36</v>
      </c>
      <c r="B19" s="3" t="s">
        <v>129</v>
      </c>
      <c r="C19" s="4" t="s">
        <v>96</v>
      </c>
      <c r="D19" s="3" t="s">
        <v>121</v>
      </c>
      <c r="E19" s="3" t="s">
        <v>122</v>
      </c>
      <c r="F19" s="4" t="s">
        <v>123</v>
      </c>
      <c r="G19" s="4" t="s">
        <v>121</v>
      </c>
      <c r="H19" s="3" t="s">
        <v>130</v>
      </c>
      <c r="I19" s="5">
        <v>45495</v>
      </c>
      <c r="J19" s="4" t="s">
        <v>125</v>
      </c>
      <c r="K19" s="3" t="s">
        <v>114</v>
      </c>
      <c r="L19" s="3" t="s">
        <v>41</v>
      </c>
      <c r="M19" s="4" t="s">
        <v>115</v>
      </c>
      <c r="N19" s="4" t="s">
        <v>55</v>
      </c>
      <c r="O19" s="4" t="s">
        <v>68</v>
      </c>
      <c r="P19" s="4" t="s">
        <v>116</v>
      </c>
      <c r="Q19" s="5">
        <v>45590</v>
      </c>
      <c r="R19" s="5">
        <v>45590</v>
      </c>
      <c r="S19" s="5">
        <v>45590</v>
      </c>
      <c r="T19" s="6">
        <v>0</v>
      </c>
      <c r="U19" s="7">
        <v>60</v>
      </c>
      <c r="V19" s="7">
        <v>0</v>
      </c>
      <c r="W19" s="8">
        <v>0</v>
      </c>
      <c r="X19" s="9">
        <v>1000</v>
      </c>
      <c r="Y19" s="9">
        <v>0</v>
      </c>
      <c r="Z19" s="9">
        <v>0</v>
      </c>
      <c r="AA19" s="9">
        <v>0</v>
      </c>
      <c r="AB19" s="9">
        <v>0</v>
      </c>
      <c r="AC19" s="10">
        <v>1000</v>
      </c>
      <c r="AD19" s="11">
        <v>34.93</v>
      </c>
      <c r="AE19" s="12">
        <v>34930</v>
      </c>
      <c r="AF19" s="3" t="s">
        <v>46</v>
      </c>
      <c r="AG19" s="13">
        <v>84.033609999999996</v>
      </c>
      <c r="AH19" s="14">
        <v>2910833.22</v>
      </c>
      <c r="AI19" s="4" t="s">
        <v>47</v>
      </c>
      <c r="AJ19" s="5">
        <v>45495</v>
      </c>
    </row>
    <row r="20" spans="1:36" x14ac:dyDescent="0.35">
      <c r="A20" s="15" t="s">
        <v>36</v>
      </c>
      <c r="B20" s="15" t="s">
        <v>131</v>
      </c>
      <c r="C20" s="16" t="s">
        <v>132</v>
      </c>
      <c r="D20" s="15" t="s">
        <v>133</v>
      </c>
      <c r="E20" s="15" t="s">
        <v>134</v>
      </c>
      <c r="F20" s="16" t="s">
        <v>135</v>
      </c>
      <c r="G20" s="16" t="s">
        <v>136</v>
      </c>
      <c r="H20" s="15" t="s">
        <v>137</v>
      </c>
      <c r="I20" s="17">
        <v>45308</v>
      </c>
      <c r="J20" s="16" t="s">
        <v>101</v>
      </c>
      <c r="K20" s="15" t="s">
        <v>101</v>
      </c>
      <c r="L20" s="15" t="s">
        <v>41</v>
      </c>
      <c r="M20" s="16" t="s">
        <v>102</v>
      </c>
      <c r="N20" s="16" t="s">
        <v>55</v>
      </c>
      <c r="O20" s="16" t="s">
        <v>68</v>
      </c>
      <c r="P20" s="16" t="s">
        <v>45</v>
      </c>
      <c r="Q20" s="17">
        <v>45590</v>
      </c>
      <c r="R20" s="17">
        <v>45590</v>
      </c>
      <c r="S20" s="17">
        <v>45590</v>
      </c>
      <c r="T20" s="18">
        <v>0</v>
      </c>
      <c r="U20" s="19">
        <v>640</v>
      </c>
      <c r="V20" s="19">
        <v>700</v>
      </c>
      <c r="W20" s="20">
        <v>0</v>
      </c>
      <c r="X20" s="21">
        <v>15000</v>
      </c>
      <c r="Y20" s="21">
        <v>0</v>
      </c>
      <c r="Z20" s="21">
        <v>0</v>
      </c>
      <c r="AA20" s="21">
        <v>0</v>
      </c>
      <c r="AB20" s="21">
        <v>0</v>
      </c>
      <c r="AC20" s="22">
        <v>15000</v>
      </c>
      <c r="AD20" s="23">
        <v>14.845470000000001</v>
      </c>
      <c r="AE20" s="24">
        <v>222682</v>
      </c>
      <c r="AF20" s="15" t="s">
        <v>46</v>
      </c>
      <c r="AG20" s="25">
        <v>84.033609999999996</v>
      </c>
      <c r="AH20" s="26">
        <v>18556836.760000002</v>
      </c>
      <c r="AI20" s="16" t="s">
        <v>47</v>
      </c>
      <c r="AJ20" s="17"/>
    </row>
    <row r="21" spans="1:36" hidden="1" x14ac:dyDescent="0.35">
      <c r="A21" s="3" t="s">
        <v>36</v>
      </c>
      <c r="B21" s="3" t="s">
        <v>138</v>
      </c>
      <c r="C21" s="4" t="s">
        <v>37</v>
      </c>
      <c r="D21" s="3" t="s">
        <v>139</v>
      </c>
      <c r="E21" s="3" t="s">
        <v>140</v>
      </c>
      <c r="F21" s="4" t="s">
        <v>141</v>
      </c>
      <c r="G21" s="4" t="s">
        <v>142</v>
      </c>
      <c r="H21" s="3" t="s">
        <v>143</v>
      </c>
      <c r="I21" s="5">
        <v>45558</v>
      </c>
      <c r="J21" s="4" t="s">
        <v>47</v>
      </c>
      <c r="K21" s="3" t="s">
        <v>144</v>
      </c>
      <c r="L21" s="3" t="s">
        <v>41</v>
      </c>
      <c r="M21" s="4" t="s">
        <v>145</v>
      </c>
      <c r="N21" s="4" t="s">
        <v>55</v>
      </c>
      <c r="O21" s="4" t="s">
        <v>68</v>
      </c>
      <c r="P21" s="4" t="s">
        <v>116</v>
      </c>
      <c r="Q21" s="5">
        <v>45569</v>
      </c>
      <c r="R21" s="5">
        <v>54700</v>
      </c>
      <c r="S21" s="5">
        <v>54700</v>
      </c>
      <c r="T21" s="6">
        <v>-9131</v>
      </c>
      <c r="U21" s="7">
        <v>0</v>
      </c>
      <c r="V21" s="7">
        <v>0</v>
      </c>
      <c r="W21" s="8">
        <v>0</v>
      </c>
      <c r="X21" s="9">
        <v>100</v>
      </c>
      <c r="Y21" s="9">
        <v>0</v>
      </c>
      <c r="Z21" s="9">
        <v>0</v>
      </c>
      <c r="AA21" s="9">
        <v>0</v>
      </c>
      <c r="AB21" s="9">
        <v>0</v>
      </c>
      <c r="AC21" s="10">
        <v>100</v>
      </c>
      <c r="AD21" s="11">
        <v>4627.26</v>
      </c>
      <c r="AE21" s="12">
        <v>462726</v>
      </c>
      <c r="AF21" s="3" t="s">
        <v>146</v>
      </c>
      <c r="AG21" s="13">
        <v>1</v>
      </c>
      <c r="AH21" s="14">
        <v>462726</v>
      </c>
      <c r="AI21" s="4" t="s">
        <v>47</v>
      </c>
      <c r="AJ21" s="5">
        <v>45558</v>
      </c>
    </row>
    <row r="22" spans="1:36" hidden="1" x14ac:dyDescent="0.35">
      <c r="A22" s="15" t="s">
        <v>36</v>
      </c>
      <c r="B22" s="15" t="s">
        <v>147</v>
      </c>
      <c r="C22" s="16" t="s">
        <v>37</v>
      </c>
      <c r="D22" s="15" t="s">
        <v>139</v>
      </c>
      <c r="E22" s="15" t="s">
        <v>140</v>
      </c>
      <c r="F22" s="16" t="s">
        <v>141</v>
      </c>
      <c r="G22" s="16" t="s">
        <v>142</v>
      </c>
      <c r="H22" s="15" t="s">
        <v>148</v>
      </c>
      <c r="I22" s="17">
        <v>45558</v>
      </c>
      <c r="J22" s="16" t="s">
        <v>47</v>
      </c>
      <c r="K22" s="15" t="s">
        <v>144</v>
      </c>
      <c r="L22" s="15" t="s">
        <v>41</v>
      </c>
      <c r="M22" s="16" t="s">
        <v>145</v>
      </c>
      <c r="N22" s="16" t="s">
        <v>55</v>
      </c>
      <c r="O22" s="16" t="s">
        <v>68</v>
      </c>
      <c r="P22" s="16" t="s">
        <v>116</v>
      </c>
      <c r="Q22" s="17">
        <v>45569</v>
      </c>
      <c r="R22" s="17">
        <v>54700</v>
      </c>
      <c r="S22" s="17">
        <v>54700</v>
      </c>
      <c r="T22" s="18">
        <v>-9131</v>
      </c>
      <c r="U22" s="19">
        <v>0</v>
      </c>
      <c r="V22" s="19">
        <v>0</v>
      </c>
      <c r="W22" s="20">
        <v>0</v>
      </c>
      <c r="X22" s="21">
        <v>400</v>
      </c>
      <c r="Y22" s="21">
        <v>0</v>
      </c>
      <c r="Z22" s="21">
        <v>0</v>
      </c>
      <c r="AA22" s="21">
        <v>0</v>
      </c>
      <c r="AB22" s="21">
        <v>0</v>
      </c>
      <c r="AC22" s="22">
        <v>400</v>
      </c>
      <c r="AD22" s="23">
        <v>4627.26</v>
      </c>
      <c r="AE22" s="24">
        <v>1850904</v>
      </c>
      <c r="AF22" s="15" t="s">
        <v>146</v>
      </c>
      <c r="AG22" s="25">
        <v>1</v>
      </c>
      <c r="AH22" s="26">
        <v>1850904</v>
      </c>
      <c r="AI22" s="16" t="s">
        <v>47</v>
      </c>
      <c r="AJ22" s="17">
        <v>45558</v>
      </c>
    </row>
    <row r="23" spans="1:36" hidden="1" x14ac:dyDescent="0.35">
      <c r="A23" s="15" t="s">
        <v>36</v>
      </c>
      <c r="B23" s="15" t="s">
        <v>152</v>
      </c>
      <c r="C23" s="16" t="s">
        <v>37</v>
      </c>
      <c r="D23" s="15" t="s">
        <v>153</v>
      </c>
      <c r="E23" s="15" t="s">
        <v>154</v>
      </c>
      <c r="F23" s="16" t="s">
        <v>81</v>
      </c>
      <c r="G23" s="16" t="s">
        <v>153</v>
      </c>
      <c r="H23" s="15" t="s">
        <v>155</v>
      </c>
      <c r="I23" s="17">
        <v>45509</v>
      </c>
      <c r="J23" s="16" t="s">
        <v>156</v>
      </c>
      <c r="K23" s="15" t="s">
        <v>84</v>
      </c>
      <c r="L23" s="15" t="s">
        <v>41</v>
      </c>
      <c r="M23" s="16" t="s">
        <v>85</v>
      </c>
      <c r="N23" s="16" t="s">
        <v>55</v>
      </c>
      <c r="O23" s="16" t="s">
        <v>68</v>
      </c>
      <c r="P23" s="16" t="s">
        <v>45</v>
      </c>
      <c r="Q23" s="17">
        <v>45597</v>
      </c>
      <c r="R23" s="17">
        <v>45597</v>
      </c>
      <c r="S23" s="17">
        <v>45597</v>
      </c>
      <c r="T23" s="18">
        <v>0</v>
      </c>
      <c r="U23" s="19">
        <v>10080</v>
      </c>
      <c r="V23" s="19">
        <v>1940</v>
      </c>
      <c r="W23" s="20">
        <v>0</v>
      </c>
      <c r="X23" s="21">
        <v>2200</v>
      </c>
      <c r="Y23" s="21">
        <v>0</v>
      </c>
      <c r="Z23" s="21">
        <v>0</v>
      </c>
      <c r="AA23" s="21">
        <v>0</v>
      </c>
      <c r="AB23" s="21">
        <v>0</v>
      </c>
      <c r="AC23" s="22">
        <v>2200</v>
      </c>
      <c r="AD23" s="23">
        <v>22.92</v>
      </c>
      <c r="AE23" s="24">
        <v>50424</v>
      </c>
      <c r="AF23" s="15" t="s">
        <v>46</v>
      </c>
      <c r="AG23" s="25">
        <v>84.033609999999996</v>
      </c>
      <c r="AH23" s="26">
        <v>4237310.75</v>
      </c>
      <c r="AI23" s="16" t="s">
        <v>47</v>
      </c>
      <c r="AJ23" s="17">
        <v>45509</v>
      </c>
    </row>
    <row r="24" spans="1:36" hidden="1" x14ac:dyDescent="0.35">
      <c r="A24" s="3" t="s">
        <v>36</v>
      </c>
      <c r="B24" s="3" t="s">
        <v>149</v>
      </c>
      <c r="C24" s="4" t="s">
        <v>58</v>
      </c>
      <c r="D24" s="3" t="s">
        <v>38</v>
      </c>
      <c r="E24" s="3" t="s">
        <v>38</v>
      </c>
      <c r="F24" s="4" t="s">
        <v>39</v>
      </c>
      <c r="G24" s="4" t="s">
        <v>39</v>
      </c>
      <c r="H24" s="3" t="s">
        <v>150</v>
      </c>
      <c r="I24" s="5">
        <v>45542</v>
      </c>
      <c r="J24" s="4" t="s">
        <v>40</v>
      </c>
      <c r="K24" s="3" t="s">
        <v>40</v>
      </c>
      <c r="L24" s="3" t="s">
        <v>41</v>
      </c>
      <c r="M24" s="4" t="s">
        <v>42</v>
      </c>
      <c r="N24" s="4" t="s">
        <v>43</v>
      </c>
      <c r="O24" s="4" t="s">
        <v>44</v>
      </c>
      <c r="P24" s="4" t="s">
        <v>45</v>
      </c>
      <c r="Q24" s="5">
        <v>45604</v>
      </c>
      <c r="R24" s="5">
        <v>45604</v>
      </c>
      <c r="S24" s="5">
        <v>45604</v>
      </c>
      <c r="T24" s="6">
        <v>0</v>
      </c>
      <c r="U24" s="7">
        <v>0</v>
      </c>
      <c r="V24" s="7">
        <v>0</v>
      </c>
      <c r="W24" s="8">
        <v>0</v>
      </c>
      <c r="X24" s="9">
        <v>10000</v>
      </c>
      <c r="Y24" s="9">
        <v>0</v>
      </c>
      <c r="Z24" s="9">
        <v>0</v>
      </c>
      <c r="AA24" s="9">
        <v>0</v>
      </c>
      <c r="AB24" s="9">
        <v>0</v>
      </c>
      <c r="AC24" s="10">
        <v>10000</v>
      </c>
      <c r="AD24" s="11">
        <v>0.26688000000000001</v>
      </c>
      <c r="AE24" s="12">
        <v>2668.8</v>
      </c>
      <c r="AF24" s="3" t="s">
        <v>46</v>
      </c>
      <c r="AG24" s="13">
        <v>84.033609999999996</v>
      </c>
      <c r="AH24" s="14">
        <v>224268.9</v>
      </c>
      <c r="AI24" s="4" t="s">
        <v>47</v>
      </c>
      <c r="AJ24" s="5"/>
    </row>
    <row r="25" spans="1:36" hidden="1" x14ac:dyDescent="0.35">
      <c r="A25" s="15" t="s">
        <v>36</v>
      </c>
      <c r="B25" s="15" t="s">
        <v>149</v>
      </c>
      <c r="C25" s="16" t="s">
        <v>37</v>
      </c>
      <c r="D25" s="15" t="s">
        <v>38</v>
      </c>
      <c r="E25" s="15" t="s">
        <v>38</v>
      </c>
      <c r="F25" s="16" t="s">
        <v>39</v>
      </c>
      <c r="G25" s="16" t="s">
        <v>39</v>
      </c>
      <c r="H25" s="15" t="s">
        <v>150</v>
      </c>
      <c r="I25" s="17">
        <v>45542</v>
      </c>
      <c r="J25" s="16" t="s">
        <v>40</v>
      </c>
      <c r="K25" s="15" t="s">
        <v>40</v>
      </c>
      <c r="L25" s="15" t="s">
        <v>41</v>
      </c>
      <c r="M25" s="16" t="s">
        <v>42</v>
      </c>
      <c r="N25" s="16" t="s">
        <v>43</v>
      </c>
      <c r="O25" s="16" t="s">
        <v>44</v>
      </c>
      <c r="P25" s="16" t="s">
        <v>45</v>
      </c>
      <c r="Q25" s="17">
        <v>45597</v>
      </c>
      <c r="R25" s="17">
        <v>45604</v>
      </c>
      <c r="S25" s="17">
        <v>45604</v>
      </c>
      <c r="T25" s="18">
        <v>-7</v>
      </c>
      <c r="U25" s="19">
        <v>0</v>
      </c>
      <c r="V25" s="19">
        <v>0</v>
      </c>
      <c r="W25" s="20">
        <v>0</v>
      </c>
      <c r="X25" s="21">
        <v>10000</v>
      </c>
      <c r="Y25" s="21">
        <v>0</v>
      </c>
      <c r="Z25" s="21">
        <v>0</v>
      </c>
      <c r="AA25" s="21">
        <v>0</v>
      </c>
      <c r="AB25" s="21">
        <v>0</v>
      </c>
      <c r="AC25" s="22">
        <v>10000</v>
      </c>
      <c r="AD25" s="23">
        <v>0.26688000000000001</v>
      </c>
      <c r="AE25" s="24">
        <v>2668.8</v>
      </c>
      <c r="AF25" s="15" t="s">
        <v>46</v>
      </c>
      <c r="AG25" s="25">
        <v>84.033609999999996</v>
      </c>
      <c r="AH25" s="26">
        <v>224268.9</v>
      </c>
      <c r="AI25" s="16" t="s">
        <v>47</v>
      </c>
      <c r="AJ25" s="17"/>
    </row>
    <row r="26" spans="1:36" hidden="1" x14ac:dyDescent="0.35">
      <c r="A26" s="3" t="s">
        <v>36</v>
      </c>
      <c r="B26" s="3" t="s">
        <v>103</v>
      </c>
      <c r="C26" s="4" t="s">
        <v>132</v>
      </c>
      <c r="D26" s="3" t="s">
        <v>61</v>
      </c>
      <c r="E26" s="3" t="s">
        <v>62</v>
      </c>
      <c r="F26" s="4" t="s">
        <v>63</v>
      </c>
      <c r="G26" s="4" t="s">
        <v>64</v>
      </c>
      <c r="H26" s="3" t="s">
        <v>105</v>
      </c>
      <c r="I26" s="5">
        <v>45521</v>
      </c>
      <c r="J26" s="4" t="s">
        <v>66</v>
      </c>
      <c r="K26" s="3" t="s">
        <v>66</v>
      </c>
      <c r="L26" s="3" t="s">
        <v>41</v>
      </c>
      <c r="M26" s="4" t="s">
        <v>67</v>
      </c>
      <c r="N26" s="4" t="s">
        <v>55</v>
      </c>
      <c r="O26" s="4" t="s">
        <v>68</v>
      </c>
      <c r="P26" s="4" t="s">
        <v>45</v>
      </c>
      <c r="Q26" s="5">
        <v>45604</v>
      </c>
      <c r="R26" s="5">
        <v>45604</v>
      </c>
      <c r="S26" s="5">
        <v>45604</v>
      </c>
      <c r="T26" s="6">
        <v>0</v>
      </c>
      <c r="U26" s="7">
        <v>0</v>
      </c>
      <c r="V26" s="7">
        <v>0</v>
      </c>
      <c r="W26" s="8">
        <v>0</v>
      </c>
      <c r="X26" s="9">
        <v>2880</v>
      </c>
      <c r="Y26" s="9">
        <v>0</v>
      </c>
      <c r="Z26" s="9">
        <v>0</v>
      </c>
      <c r="AA26" s="9">
        <v>0</v>
      </c>
      <c r="AB26" s="9">
        <v>0</v>
      </c>
      <c r="AC26" s="10">
        <v>2880</v>
      </c>
      <c r="AD26" s="11">
        <v>5.6231999999999998</v>
      </c>
      <c r="AE26" s="12">
        <v>16195</v>
      </c>
      <c r="AF26" s="3" t="s">
        <v>46</v>
      </c>
      <c r="AG26" s="13">
        <v>84.033609999999996</v>
      </c>
      <c r="AH26" s="14">
        <v>1360908.85</v>
      </c>
      <c r="AI26" s="4" t="s">
        <v>47</v>
      </c>
      <c r="AJ26" s="5"/>
    </row>
    <row r="27" spans="1:36" hidden="1" x14ac:dyDescent="0.35">
      <c r="A27" s="15" t="s">
        <v>36</v>
      </c>
      <c r="B27" s="15" t="s">
        <v>103</v>
      </c>
      <c r="C27" s="16" t="s">
        <v>151</v>
      </c>
      <c r="D27" s="15" t="s">
        <v>61</v>
      </c>
      <c r="E27" s="15" t="s">
        <v>62</v>
      </c>
      <c r="F27" s="16" t="s">
        <v>63</v>
      </c>
      <c r="G27" s="16" t="s">
        <v>64</v>
      </c>
      <c r="H27" s="15" t="s">
        <v>105</v>
      </c>
      <c r="I27" s="17">
        <v>45521</v>
      </c>
      <c r="J27" s="16" t="s">
        <v>118</v>
      </c>
      <c r="K27" s="15" t="s">
        <v>118</v>
      </c>
      <c r="L27" s="15" t="s">
        <v>41</v>
      </c>
      <c r="M27" s="16" t="s">
        <v>119</v>
      </c>
      <c r="N27" s="16" t="s">
        <v>55</v>
      </c>
      <c r="O27" s="16" t="s">
        <v>68</v>
      </c>
      <c r="P27" s="16" t="s">
        <v>45</v>
      </c>
      <c r="Q27" s="17">
        <v>45604</v>
      </c>
      <c r="R27" s="17">
        <v>45604</v>
      </c>
      <c r="S27" s="17">
        <v>45604</v>
      </c>
      <c r="T27" s="18">
        <v>0</v>
      </c>
      <c r="U27" s="19">
        <v>0</v>
      </c>
      <c r="V27" s="19">
        <v>96</v>
      </c>
      <c r="W27" s="20">
        <v>0</v>
      </c>
      <c r="X27" s="21">
        <v>2160</v>
      </c>
      <c r="Y27" s="21">
        <v>0</v>
      </c>
      <c r="Z27" s="21">
        <v>0</v>
      </c>
      <c r="AA27" s="21">
        <v>0</v>
      </c>
      <c r="AB27" s="21">
        <v>0</v>
      </c>
      <c r="AC27" s="22">
        <v>2160</v>
      </c>
      <c r="AD27" s="23">
        <v>5.4</v>
      </c>
      <c r="AE27" s="24">
        <v>11664</v>
      </c>
      <c r="AF27" s="15" t="s">
        <v>46</v>
      </c>
      <c r="AG27" s="25">
        <v>84.033609999999996</v>
      </c>
      <c r="AH27" s="26">
        <v>980168.03</v>
      </c>
      <c r="AI27" s="16" t="s">
        <v>47</v>
      </c>
      <c r="AJ27" s="17"/>
    </row>
    <row r="28" spans="1:36" hidden="1" x14ac:dyDescent="0.35">
      <c r="AH28" s="27">
        <f>SUM(AH2:AH27)</f>
        <v>167403388.27000001</v>
      </c>
    </row>
    <row r="29" spans="1:36" hidden="1" x14ac:dyDescent="0.35">
      <c r="AH29">
        <f>AH28/(84.03361*1000)</f>
        <v>1992.1004020891166</v>
      </c>
    </row>
  </sheetData>
  <autoFilter ref="A1:AJ29" xr:uid="{00000000-0009-0000-0000-000002000000}">
    <filterColumn colId="12">
      <filters>
        <filter val="10158287-9RF034HF       BK 300 CABLE ASSY"/>
      </filters>
    </filterColumn>
  </autoFilter>
  <pageMargins left="0.7" right="0.7" top="0.75" bottom="0.75" header="0.3" footer="0.3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68"/>
  <sheetViews>
    <sheetView showGridLines="0" topLeftCell="B1" zoomScale="90" zoomScaleNormal="90" workbookViewId="0">
      <pane ySplit="2" topLeftCell="A3" activePane="bottomLeft" state="frozen"/>
      <selection activeCell="B17" sqref="B17"/>
      <selection pane="bottomLeft" activeCell="Y12" sqref="Y12"/>
    </sheetView>
  </sheetViews>
  <sheetFormatPr defaultColWidth="8.6328125" defaultRowHeight="12.5" x14ac:dyDescent="0.35"/>
  <cols>
    <col min="1" max="1" width="8.6328125" style="146"/>
    <col min="2" max="2" width="32.81640625" style="146" bestFit="1" customWidth="1"/>
    <col min="3" max="3" width="22.1796875" style="146" bestFit="1" customWidth="1"/>
    <col min="4" max="4" width="10.08984375" style="165" bestFit="1" customWidth="1"/>
    <col min="5" max="5" width="6.6328125" style="165" bestFit="1" customWidth="1"/>
    <col min="6" max="6" width="7.81640625" style="165" hidden="1" customWidth="1"/>
    <col min="7" max="7" width="7.6328125" style="165" bestFit="1" customWidth="1"/>
    <col min="8" max="8" width="6" style="163" bestFit="1" customWidth="1"/>
    <col min="9" max="9" width="8.26953125" style="163" bestFit="1" customWidth="1"/>
    <col min="10" max="10" width="7.36328125" style="163" bestFit="1" customWidth="1"/>
    <col min="11" max="11" width="7.81640625" style="163" bestFit="1" customWidth="1"/>
    <col min="12" max="12" width="7.81640625" style="163" hidden="1" customWidth="1"/>
    <col min="13" max="13" width="9.453125" style="163" bestFit="1" customWidth="1"/>
    <col min="14" max="14" width="11.90625" style="163" bestFit="1" customWidth="1"/>
    <col min="15" max="15" width="10.7265625" style="211" customWidth="1"/>
    <col min="16" max="16" width="9.26953125" style="163" bestFit="1" customWidth="1"/>
    <col min="17" max="17" width="9.26953125" style="163" customWidth="1"/>
    <col min="18" max="18" width="7.26953125" style="163" customWidth="1"/>
    <col min="19" max="19" width="9.36328125" style="163" hidden="1" customWidth="1"/>
    <col min="20" max="21" width="6.7265625" style="163" hidden="1" customWidth="1"/>
    <col min="22" max="22" width="6.7265625" style="211" hidden="1" customWidth="1"/>
    <col min="23" max="23" width="12.7265625" style="211" bestFit="1" customWidth="1"/>
    <col min="24" max="26" width="8.6328125" style="146" customWidth="1"/>
    <col min="27" max="16384" width="8.6328125" style="146"/>
  </cols>
  <sheetData>
    <row r="1" spans="1:26" ht="14.5" customHeight="1" x14ac:dyDescent="0.35">
      <c r="A1" s="394" t="s">
        <v>851</v>
      </c>
      <c r="B1" s="402" t="s">
        <v>10</v>
      </c>
      <c r="C1" s="402" t="s">
        <v>303</v>
      </c>
      <c r="D1" s="403" t="s">
        <v>395</v>
      </c>
      <c r="E1" s="404" t="s">
        <v>168</v>
      </c>
      <c r="F1" s="404"/>
      <c r="G1" s="404"/>
      <c r="H1" s="404"/>
      <c r="I1" s="404" t="s">
        <v>174</v>
      </c>
      <c r="J1" s="404"/>
      <c r="K1" s="404"/>
      <c r="L1" s="213"/>
      <c r="M1" s="213"/>
      <c r="N1" s="396" t="s">
        <v>175</v>
      </c>
      <c r="O1" s="398" t="s">
        <v>812</v>
      </c>
      <c r="P1" s="396" t="s">
        <v>176</v>
      </c>
      <c r="Q1" s="169"/>
      <c r="R1" s="397" t="s">
        <v>169</v>
      </c>
      <c r="S1" s="170"/>
      <c r="T1" s="170"/>
      <c r="U1" s="170"/>
      <c r="V1" s="223"/>
      <c r="W1" s="223"/>
    </row>
    <row r="2" spans="1:26" ht="27" customHeight="1" x14ac:dyDescent="0.35">
      <c r="A2" s="394"/>
      <c r="B2" s="402"/>
      <c r="C2" s="402"/>
      <c r="D2" s="403"/>
      <c r="E2" s="353" t="s">
        <v>170</v>
      </c>
      <c r="F2" s="355" t="s">
        <v>170</v>
      </c>
      <c r="G2" s="353" t="s">
        <v>171</v>
      </c>
      <c r="H2" s="354" t="s">
        <v>172</v>
      </c>
      <c r="I2" s="354" t="s">
        <v>170</v>
      </c>
      <c r="J2" s="354" t="s">
        <v>171</v>
      </c>
      <c r="K2" s="354" t="s">
        <v>172</v>
      </c>
      <c r="L2" s="213"/>
      <c r="M2" s="213" t="s">
        <v>310</v>
      </c>
      <c r="N2" s="396"/>
      <c r="O2" s="398"/>
      <c r="P2" s="396"/>
      <c r="Q2" s="169" t="s">
        <v>418</v>
      </c>
      <c r="R2" s="397"/>
      <c r="S2" s="170" t="s">
        <v>423</v>
      </c>
      <c r="T2" s="170" t="s">
        <v>320</v>
      </c>
      <c r="U2" s="170" t="s">
        <v>424</v>
      </c>
      <c r="V2" s="223" t="s">
        <v>425</v>
      </c>
      <c r="W2" s="223"/>
    </row>
    <row r="3" spans="1:26" ht="14.5" customHeight="1" x14ac:dyDescent="0.35">
      <c r="A3" s="393" t="s">
        <v>795</v>
      </c>
      <c r="B3" s="356" t="s">
        <v>304</v>
      </c>
      <c r="C3" s="357" t="s">
        <v>333</v>
      </c>
      <c r="D3" s="358">
        <v>79720</v>
      </c>
      <c r="E3" s="359">
        <f>0.15-(V3)</f>
        <v>0.12083333333333332</v>
      </c>
      <c r="F3" s="359">
        <v>0.21</v>
      </c>
      <c r="G3" s="359">
        <v>3.125E-2</v>
      </c>
      <c r="H3" s="360">
        <f>E3+G3</f>
        <v>0.15208333333333332</v>
      </c>
      <c r="I3" s="361">
        <f>F3*D3</f>
        <v>16741.2</v>
      </c>
      <c r="J3" s="361">
        <f t="shared" ref="J3:J44" si="0">G3*D3</f>
        <v>2491.25</v>
      </c>
      <c r="K3" s="362">
        <f t="shared" ref="K3:K18" si="1">SUM(I3:J3)</f>
        <v>19232.45</v>
      </c>
      <c r="L3" s="169"/>
      <c r="M3" s="174">
        <f t="shared" ref="M3:M44" si="2">D3/$X$5</f>
        <v>2952.5925925925926</v>
      </c>
      <c r="N3" s="169">
        <f>D3*H3/$X$5/7.05/$X$4</f>
        <v>70.77070503653114</v>
      </c>
      <c r="O3" s="207"/>
      <c r="P3" s="169">
        <f>N3*0.12</f>
        <v>8.492484604383737</v>
      </c>
      <c r="Q3" s="169">
        <f>N3+O3+P3</f>
        <v>79.263189640914874</v>
      </c>
      <c r="R3" s="178"/>
      <c r="S3" s="215">
        <f>20/3600</f>
        <v>5.5555555555555558E-3</v>
      </c>
      <c r="T3" s="215">
        <f>20/3600</f>
        <v>5.5555555555555558E-3</v>
      </c>
      <c r="U3" s="215">
        <f>65/3600</f>
        <v>1.8055555555555554E-2</v>
      </c>
      <c r="V3" s="221">
        <f>SUM(S3:U3)</f>
        <v>2.9166666666666667E-2</v>
      </c>
      <c r="W3" s="350"/>
      <c r="X3" s="351"/>
    </row>
    <row r="4" spans="1:26" ht="13" x14ac:dyDescent="0.3">
      <c r="A4" s="393"/>
      <c r="B4" s="363" t="s">
        <v>469</v>
      </c>
      <c r="C4" s="357" t="s">
        <v>293</v>
      </c>
      <c r="D4" s="358">
        <v>34000</v>
      </c>
      <c r="E4" s="364">
        <f>(0.225)-(V4)</f>
        <v>0.1636111111111111</v>
      </c>
      <c r="F4" s="364">
        <f>0.225</f>
        <v>0.22500000000000001</v>
      </c>
      <c r="G4" s="364">
        <f>0.0413888*0.8</f>
        <v>3.3111040000000001E-2</v>
      </c>
      <c r="H4" s="360">
        <f t="shared" ref="H4:H5" si="3">E4+G4</f>
        <v>0.1967221511111111</v>
      </c>
      <c r="I4" s="361">
        <f>F4*D4</f>
        <v>7650</v>
      </c>
      <c r="J4" s="361">
        <f t="shared" si="0"/>
        <v>1125.7753600000001</v>
      </c>
      <c r="K4" s="362">
        <f t="shared" si="1"/>
        <v>8775.7753599999996</v>
      </c>
      <c r="L4" s="169"/>
      <c r="M4" s="174">
        <f t="shared" si="2"/>
        <v>1259.2592592592594</v>
      </c>
      <c r="N4" s="169">
        <f t="shared" ref="N4:N44" si="4">D4*H4/$X$5/7.05/$X$4</f>
        <v>39.042425577315342</v>
      </c>
      <c r="O4" s="207"/>
      <c r="P4" s="169">
        <f>N4*0.12</f>
        <v>4.6850910692778411</v>
      </c>
      <c r="Q4" s="169">
        <f t="shared" ref="Q4:Q47" si="5">N4+O4+P4</f>
        <v>43.72751664659318</v>
      </c>
      <c r="R4" s="178"/>
      <c r="S4" s="216">
        <f>31/3600</f>
        <v>8.611111111111111E-3</v>
      </c>
      <c r="T4" s="216">
        <f>10/3600</f>
        <v>2.7777777777777779E-3</v>
      </c>
      <c r="U4" s="215">
        <f>180/3600</f>
        <v>0.05</v>
      </c>
      <c r="V4" s="221">
        <f>SUM(S4:U4)</f>
        <v>6.1388888888888896E-2</v>
      </c>
      <c r="W4" s="350" t="s">
        <v>808</v>
      </c>
      <c r="X4" s="351">
        <v>0.9</v>
      </c>
    </row>
    <row r="5" spans="1:26" ht="13" x14ac:dyDescent="0.35">
      <c r="A5" s="393"/>
      <c r="B5" s="357" t="s">
        <v>53</v>
      </c>
      <c r="C5" s="357" t="s">
        <v>294</v>
      </c>
      <c r="D5" s="358">
        <v>38000</v>
      </c>
      <c r="E5" s="359">
        <v>9.9000000000000005E-2</v>
      </c>
      <c r="F5" s="359">
        <f>0.1</f>
        <v>0.1</v>
      </c>
      <c r="G5" s="359">
        <v>8.0700000000000008E-3</v>
      </c>
      <c r="H5" s="360">
        <f t="shared" si="3"/>
        <v>0.10707</v>
      </c>
      <c r="I5" s="361">
        <f>F5*D5</f>
        <v>3800</v>
      </c>
      <c r="J5" s="361">
        <f t="shared" si="0"/>
        <v>306.66000000000003</v>
      </c>
      <c r="K5" s="362">
        <f t="shared" si="1"/>
        <v>4106.66</v>
      </c>
      <c r="L5" s="169"/>
      <c r="M5" s="174">
        <f t="shared" si="2"/>
        <v>1407.4074074074074</v>
      </c>
      <c r="N5" s="169">
        <f t="shared" si="4"/>
        <v>23.749584099465896</v>
      </c>
      <c r="O5" s="207"/>
      <c r="P5" s="169">
        <f>(N5*0.12)</f>
        <v>2.8499500919359075</v>
      </c>
      <c r="Q5" s="169">
        <f t="shared" si="5"/>
        <v>26.599534191401801</v>
      </c>
      <c r="R5" s="178"/>
      <c r="S5" s="216"/>
      <c r="T5" s="216"/>
      <c r="U5" s="216"/>
      <c r="V5" s="216"/>
      <c r="W5" s="208" t="s">
        <v>299</v>
      </c>
      <c r="X5" s="351">
        <v>27</v>
      </c>
    </row>
    <row r="6" spans="1:26" x14ac:dyDescent="0.35">
      <c r="A6" s="393"/>
      <c r="B6" s="357" t="s">
        <v>69</v>
      </c>
      <c r="C6" s="357" t="s">
        <v>305</v>
      </c>
      <c r="D6" s="358">
        <v>9840</v>
      </c>
      <c r="E6" s="359">
        <f>0.17-V6</f>
        <v>0.15194444444444447</v>
      </c>
      <c r="F6" s="359">
        <v>0.17</v>
      </c>
      <c r="G6" s="359">
        <v>0.03</v>
      </c>
      <c r="H6" s="360">
        <f>E6+G6</f>
        <v>0.18194444444444446</v>
      </c>
      <c r="I6" s="361">
        <f>F6*D6</f>
        <v>1672.8000000000002</v>
      </c>
      <c r="J6" s="361">
        <f>G6*D6</f>
        <v>295.2</v>
      </c>
      <c r="K6" s="362">
        <f>SUM(I6:J6)</f>
        <v>1968.0000000000002</v>
      </c>
      <c r="L6" s="169"/>
      <c r="M6" s="174">
        <f>D6/$X$5</f>
        <v>364.44444444444446</v>
      </c>
      <c r="N6" s="169">
        <f>D6*H6/$X$5/7.05/$X$4</f>
        <v>10.45053459027717</v>
      </c>
      <c r="O6" s="207"/>
      <c r="P6" s="169">
        <f>N6*0.12</f>
        <v>1.2540641508332604</v>
      </c>
      <c r="Q6" s="169">
        <f>N6+O6+P6</f>
        <v>11.704598741110431</v>
      </c>
      <c r="R6" s="178"/>
      <c r="S6" s="221">
        <f>15/3600</f>
        <v>4.1666666666666666E-3</v>
      </c>
      <c r="T6" s="216">
        <f>10/3600</f>
        <v>2.7777777777777779E-3</v>
      </c>
      <c r="U6" s="215">
        <f>40/3600</f>
        <v>1.1111111111111112E-2</v>
      </c>
      <c r="V6" s="221">
        <f t="shared" ref="V6:V7" si="6">SUM(S6:U6)</f>
        <v>1.8055555555555554E-2</v>
      </c>
      <c r="W6" s="221"/>
    </row>
    <row r="7" spans="1:26" x14ac:dyDescent="0.3">
      <c r="A7" s="393"/>
      <c r="B7" s="365" t="s">
        <v>850</v>
      </c>
      <c r="C7" s="366" t="s">
        <v>307</v>
      </c>
      <c r="D7" s="358">
        <v>150000</v>
      </c>
      <c r="E7" s="359">
        <f>(1300/3600)-V7</f>
        <v>0.25277777777777777</v>
      </c>
      <c r="F7" s="359">
        <f>1200/3600</f>
        <v>0.33333333333333331</v>
      </c>
      <c r="G7" s="359">
        <f>150/3600</f>
        <v>4.1666666666666664E-2</v>
      </c>
      <c r="H7" s="360">
        <f>E7+G7</f>
        <v>0.29444444444444445</v>
      </c>
      <c r="I7" s="361">
        <f>F7*D7</f>
        <v>50000</v>
      </c>
      <c r="J7" s="361">
        <f>G7*D7</f>
        <v>6250</v>
      </c>
      <c r="K7" s="362">
        <f>SUM(I7:J7)</f>
        <v>56250</v>
      </c>
      <c r="L7" s="169"/>
      <c r="M7" s="174">
        <f>D7/$X$5</f>
        <v>5555.5555555555557</v>
      </c>
      <c r="N7" s="169">
        <f>D7*H7/$X$5/7.05/$X$4</f>
        <v>257.80968780706104</v>
      </c>
      <c r="O7" s="347">
        <f>N7/6</f>
        <v>42.968281301176837</v>
      </c>
      <c r="P7" s="169">
        <f>N7*0.12</f>
        <v>30.937162536847325</v>
      </c>
      <c r="Q7" s="169">
        <f>N7+O7+P7</f>
        <v>331.71513164508519</v>
      </c>
      <c r="R7" s="178"/>
      <c r="S7" s="327">
        <f>70/3600</f>
        <v>1.9444444444444445E-2</v>
      </c>
      <c r="T7" s="215">
        <f>70/3600</f>
        <v>1.9444444444444445E-2</v>
      </c>
      <c r="U7" s="215">
        <f>250/3600</f>
        <v>6.9444444444444448E-2</v>
      </c>
      <c r="V7" s="221">
        <f t="shared" si="6"/>
        <v>0.10833333333333334</v>
      </c>
      <c r="W7" s="221"/>
      <c r="Z7" s="339"/>
    </row>
    <row r="8" spans="1:26" s="147" customFormat="1" x14ac:dyDescent="0.35">
      <c r="A8" s="391" t="s">
        <v>792</v>
      </c>
      <c r="B8" s="357" t="s">
        <v>73</v>
      </c>
      <c r="C8" s="357" t="s">
        <v>865</v>
      </c>
      <c r="D8" s="358">
        <v>500000</v>
      </c>
      <c r="E8" s="359">
        <v>7.9860999999999994E-3</v>
      </c>
      <c r="F8" s="359"/>
      <c r="G8" s="364">
        <v>5.3832999999999997E-3</v>
      </c>
      <c r="H8" s="364">
        <f t="shared" ref="H8:H11" si="7">SUM(E8:G8)</f>
        <v>1.33694E-2</v>
      </c>
      <c r="I8" s="367">
        <f t="shared" ref="I8:I17" si="8">E8*D8</f>
        <v>3993.0499999999997</v>
      </c>
      <c r="J8" s="367">
        <f t="shared" si="0"/>
        <v>2691.6499999999996</v>
      </c>
      <c r="K8" s="368">
        <f t="shared" si="1"/>
        <v>6684.6999999999989</v>
      </c>
      <c r="L8" s="235"/>
      <c r="M8" s="174">
        <f t="shared" si="2"/>
        <v>18518.518518518518</v>
      </c>
      <c r="N8" s="169">
        <f t="shared" si="4"/>
        <v>39.019934039634592</v>
      </c>
      <c r="O8" s="207"/>
      <c r="P8" s="169">
        <f t="shared" ref="P8:P11" si="9">N8*0.12</f>
        <v>4.6823920847561507</v>
      </c>
      <c r="Q8" s="169">
        <f t="shared" si="5"/>
        <v>43.702326124390744</v>
      </c>
      <c r="R8" s="181"/>
      <c r="S8" s="218">
        <f>16*4</f>
        <v>64</v>
      </c>
      <c r="T8" s="218"/>
      <c r="U8" s="218"/>
      <c r="V8" s="218"/>
      <c r="W8" s="218"/>
    </row>
    <row r="9" spans="1:26" s="147" customFormat="1" x14ac:dyDescent="0.35">
      <c r="A9" s="391"/>
      <c r="B9" s="357" t="s">
        <v>483</v>
      </c>
      <c r="C9" s="357" t="s">
        <v>876</v>
      </c>
      <c r="D9" s="369">
        <v>462000</v>
      </c>
      <c r="E9" s="359">
        <v>9.0499999999999999E-4</v>
      </c>
      <c r="F9" s="359"/>
      <c r="G9" s="364">
        <v>5.3832999999999997E-3</v>
      </c>
      <c r="H9" s="364">
        <f t="shared" si="7"/>
        <v>6.2883000000000001E-3</v>
      </c>
      <c r="I9" s="367">
        <f t="shared" si="8"/>
        <v>418.11</v>
      </c>
      <c r="J9" s="367">
        <f t="shared" si="0"/>
        <v>2487.0845999999997</v>
      </c>
      <c r="K9" s="368">
        <f t="shared" si="1"/>
        <v>2905.1945999999998</v>
      </c>
      <c r="L9" s="235"/>
      <c r="M9" s="174">
        <f t="shared" si="2"/>
        <v>17111.111111111109</v>
      </c>
      <c r="N9" s="169">
        <f t="shared" si="4"/>
        <v>16.958203309692674</v>
      </c>
      <c r="O9" s="207"/>
      <c r="P9" s="169">
        <f>ROUNDUP(N9*0.12,0)</f>
        <v>3</v>
      </c>
      <c r="Q9" s="169">
        <f t="shared" si="5"/>
        <v>19.958203309692674</v>
      </c>
      <c r="R9" s="181"/>
      <c r="S9" s="218"/>
      <c r="T9" s="218"/>
      <c r="U9" s="218"/>
      <c r="V9" s="218"/>
      <c r="W9" s="218"/>
    </row>
    <row r="10" spans="1:26" s="147" customFormat="1" x14ac:dyDescent="0.35">
      <c r="A10" s="391"/>
      <c r="B10" s="357" t="s">
        <v>680</v>
      </c>
      <c r="C10" s="357" t="s">
        <v>855</v>
      </c>
      <c r="D10" s="369"/>
      <c r="E10" s="359">
        <v>7.9860999999999994E-3</v>
      </c>
      <c r="F10" s="359"/>
      <c r="G10" s="364">
        <v>5.3832999999999997E-3</v>
      </c>
      <c r="H10" s="364">
        <f t="shared" ref="H10" si="10">SUM(E10:G10)</f>
        <v>1.33694E-2</v>
      </c>
      <c r="I10" s="367">
        <f t="shared" si="8"/>
        <v>0</v>
      </c>
      <c r="J10" s="367">
        <f t="shared" ref="J10" si="11">G10*D10</f>
        <v>0</v>
      </c>
      <c r="K10" s="368">
        <f t="shared" ref="K10" si="12">SUM(I10:J10)</f>
        <v>0</v>
      </c>
      <c r="L10" s="235"/>
      <c r="M10" s="174">
        <f t="shared" ref="M10" si="13">D10/$X$5</f>
        <v>0</v>
      </c>
      <c r="N10" s="169">
        <f t="shared" ref="N10" si="14">D10*H10/$X$5/7.05/$X$4</f>
        <v>0</v>
      </c>
      <c r="O10" s="207"/>
      <c r="P10" s="169">
        <f>ROUNDUP(N10*0.12,0)</f>
        <v>0</v>
      </c>
      <c r="Q10" s="169">
        <f t="shared" si="5"/>
        <v>0</v>
      </c>
      <c r="R10" s="181"/>
      <c r="S10" s="218"/>
      <c r="T10" s="218"/>
      <c r="U10" s="218"/>
      <c r="V10" s="218"/>
      <c r="W10" s="218"/>
    </row>
    <row r="11" spans="1:26" s="147" customFormat="1" ht="14.5" x14ac:dyDescent="0.35">
      <c r="A11" s="391"/>
      <c r="B11" s="357" t="s">
        <v>173</v>
      </c>
      <c r="C11" s="357" t="s">
        <v>306</v>
      </c>
      <c r="D11" s="382">
        <v>25000</v>
      </c>
      <c r="E11" s="359">
        <v>1.8180000000000002E-2</v>
      </c>
      <c r="F11" s="359"/>
      <c r="G11" s="364">
        <v>9.6399999999999993E-3</v>
      </c>
      <c r="H11" s="364">
        <f t="shared" si="7"/>
        <v>2.7820000000000001E-2</v>
      </c>
      <c r="I11" s="367">
        <f t="shared" si="8"/>
        <v>454.50000000000006</v>
      </c>
      <c r="J11" s="367">
        <f t="shared" si="0"/>
        <v>240.99999999999997</v>
      </c>
      <c r="K11" s="368">
        <f t="shared" si="1"/>
        <v>695.5</v>
      </c>
      <c r="L11" s="235"/>
      <c r="M11" s="174">
        <f t="shared" si="2"/>
        <v>925.92592592592598</v>
      </c>
      <c r="N11" s="169">
        <f t="shared" si="4"/>
        <v>4.0597729329013807</v>
      </c>
      <c r="O11" s="207"/>
      <c r="P11" s="169">
        <f t="shared" si="9"/>
        <v>0.48717275194816567</v>
      </c>
      <c r="Q11" s="169">
        <f t="shared" si="5"/>
        <v>4.5469456848495469</v>
      </c>
      <c r="R11" s="181"/>
      <c r="S11" s="218"/>
      <c r="T11" s="218"/>
      <c r="U11" s="218"/>
      <c r="V11" s="218"/>
      <c r="W11" s="218"/>
    </row>
    <row r="12" spans="1:26" x14ac:dyDescent="0.35">
      <c r="A12" s="391"/>
      <c r="B12" s="366" t="s">
        <v>738</v>
      </c>
      <c r="C12" s="366" t="s">
        <v>617</v>
      </c>
      <c r="D12" s="358">
        <v>1500</v>
      </c>
      <c r="E12" s="364">
        <f>150/3600</f>
        <v>4.1666666666666664E-2</v>
      </c>
      <c r="F12" s="364"/>
      <c r="G12" s="367">
        <v>1.2999999999999999E-2</v>
      </c>
      <c r="H12" s="367">
        <f t="shared" ref="H12:H17" si="15">E12+G12</f>
        <v>5.4666666666666662E-2</v>
      </c>
      <c r="I12" s="361">
        <f t="shared" si="8"/>
        <v>62.5</v>
      </c>
      <c r="J12" s="361">
        <f t="shared" ref="J12:J17" si="16">G12*D12</f>
        <v>19.5</v>
      </c>
      <c r="K12" s="362">
        <f t="shared" ref="K12" si="17">SUM(I12:J12)</f>
        <v>82</v>
      </c>
      <c r="L12" s="239"/>
      <c r="M12" s="174">
        <f t="shared" ref="M12:M17" si="18">D12/$X$5</f>
        <v>55.555555555555557</v>
      </c>
      <c r="N12" s="169">
        <f t="shared" ref="N12:N17" si="19">D12*H12/$X$5/7.05/$X$4</f>
        <v>0.47865043924933603</v>
      </c>
      <c r="O12" s="207"/>
      <c r="P12" s="169">
        <f t="shared" ref="P12" si="20">N12*0.12</f>
        <v>5.743805270992032E-2</v>
      </c>
      <c r="Q12" s="169">
        <f t="shared" ref="Q12:Q17" si="21">N12+O12+P12</f>
        <v>0.53608849195925634</v>
      </c>
      <c r="R12" s="178"/>
      <c r="S12" s="178"/>
      <c r="T12" s="178"/>
      <c r="U12" s="178"/>
      <c r="V12" s="225"/>
      <c r="W12" s="216"/>
    </row>
    <row r="13" spans="1:26" x14ac:dyDescent="0.35">
      <c r="A13" s="391"/>
      <c r="B13" s="366" t="s">
        <v>408</v>
      </c>
      <c r="C13" s="366" t="s">
        <v>412</v>
      </c>
      <c r="D13" s="358">
        <v>102328</v>
      </c>
      <c r="E13" s="364">
        <f>23/3600</f>
        <v>6.3888888888888893E-3</v>
      </c>
      <c r="F13" s="364"/>
      <c r="G13" s="367">
        <v>4.7999999999999996E-3</v>
      </c>
      <c r="H13" s="367">
        <f t="shared" si="15"/>
        <v>1.1188888888888889E-2</v>
      </c>
      <c r="I13" s="361">
        <f t="shared" si="8"/>
        <v>653.76222222222225</v>
      </c>
      <c r="J13" s="361">
        <f t="shared" si="16"/>
        <v>491.17439999999993</v>
      </c>
      <c r="K13" s="362">
        <f>SUM(I13:J13)</f>
        <v>1144.9366222222222</v>
      </c>
      <c r="L13" s="239"/>
      <c r="M13" s="174">
        <f t="shared" si="18"/>
        <v>3789.9259259259261</v>
      </c>
      <c r="N13" s="169">
        <f t="shared" si="19"/>
        <v>6.6832245992599724</v>
      </c>
      <c r="O13" s="207"/>
      <c r="P13" s="169">
        <f t="shared" ref="P13" si="22">N13*0.12</f>
        <v>0.80198695191119662</v>
      </c>
      <c r="Q13" s="169">
        <f t="shared" si="21"/>
        <v>7.4852115511711688</v>
      </c>
      <c r="R13" s="263"/>
      <c r="S13" s="263"/>
      <c r="T13" s="263"/>
      <c r="U13" s="263"/>
      <c r="V13" s="264"/>
      <c r="W13" s="349"/>
      <c r="Y13" s="339"/>
    </row>
    <row r="14" spans="1:26" x14ac:dyDescent="0.35">
      <c r="A14" s="391"/>
      <c r="B14" s="357" t="s">
        <v>324</v>
      </c>
      <c r="C14" s="357" t="s">
        <v>430</v>
      </c>
      <c r="D14" s="358">
        <v>62154</v>
      </c>
      <c r="E14" s="364">
        <f>150/3600</f>
        <v>4.1666666666666664E-2</v>
      </c>
      <c r="F14" s="364"/>
      <c r="G14" s="367">
        <v>3.2000000000000001E-2</v>
      </c>
      <c r="H14" s="367">
        <f t="shared" si="15"/>
        <v>7.3666666666666658E-2</v>
      </c>
      <c r="I14" s="361">
        <f t="shared" si="8"/>
        <v>2589.75</v>
      </c>
      <c r="J14" s="361">
        <f t="shared" si="16"/>
        <v>1988.9280000000001</v>
      </c>
      <c r="K14" s="362">
        <f>SUM(I14:J14)</f>
        <v>4578.6779999999999</v>
      </c>
      <c r="L14" s="239"/>
      <c r="M14" s="174">
        <f t="shared" si="18"/>
        <v>2302</v>
      </c>
      <c r="N14" s="169">
        <f t="shared" si="19"/>
        <v>26.726661413186235</v>
      </c>
      <c r="O14" s="207"/>
      <c r="P14" s="169">
        <f>N14*0.12</f>
        <v>3.207199369582348</v>
      </c>
      <c r="Q14" s="169">
        <f t="shared" si="21"/>
        <v>29.933860782768583</v>
      </c>
      <c r="R14" s="178"/>
      <c r="S14" s="202"/>
      <c r="T14" s="202"/>
      <c r="U14" s="202"/>
      <c r="V14" s="216"/>
      <c r="W14" s="216"/>
    </row>
    <row r="15" spans="1:26" hidden="1" x14ac:dyDescent="0.35">
      <c r="A15" s="391"/>
      <c r="B15" s="357"/>
      <c r="C15" s="357"/>
      <c r="D15" s="358"/>
      <c r="E15" s="370">
        <v>3.3000000000000002E-2</v>
      </c>
      <c r="F15" s="370"/>
      <c r="G15" s="359">
        <v>8.0000000000000002E-3</v>
      </c>
      <c r="H15" s="367">
        <f t="shared" si="15"/>
        <v>4.1000000000000002E-2</v>
      </c>
      <c r="I15" s="361">
        <f t="shared" si="8"/>
        <v>0</v>
      </c>
      <c r="J15" s="361">
        <f t="shared" si="16"/>
        <v>0</v>
      </c>
      <c r="K15" s="362">
        <f t="shared" ref="K15" si="23">SUM(I15:J15)</f>
        <v>0</v>
      </c>
      <c r="L15" s="239"/>
      <c r="M15" s="174">
        <f t="shared" si="18"/>
        <v>0</v>
      </c>
      <c r="N15" s="169">
        <f t="shared" si="19"/>
        <v>0</v>
      </c>
      <c r="O15" s="207"/>
      <c r="P15" s="169">
        <f>N15*0.12</f>
        <v>0</v>
      </c>
      <c r="Q15" s="169">
        <f t="shared" si="21"/>
        <v>0</v>
      </c>
      <c r="R15" s="181"/>
      <c r="S15" s="204"/>
      <c r="T15" s="204"/>
      <c r="U15" s="204"/>
      <c r="V15" s="218"/>
      <c r="W15" s="218"/>
    </row>
    <row r="16" spans="1:26" x14ac:dyDescent="0.35">
      <c r="A16" s="391"/>
      <c r="B16" s="357" t="s">
        <v>666</v>
      </c>
      <c r="C16" s="357" t="s">
        <v>411</v>
      </c>
      <c r="D16" s="358">
        <v>2000</v>
      </c>
      <c r="E16" s="359">
        <v>4.0000000000000001E-3</v>
      </c>
      <c r="F16" s="359"/>
      <c r="G16" s="359">
        <v>2.5000000000000001E-3</v>
      </c>
      <c r="H16" s="367">
        <f t="shared" si="15"/>
        <v>6.5000000000000006E-3</v>
      </c>
      <c r="I16" s="361">
        <f t="shared" si="8"/>
        <v>8</v>
      </c>
      <c r="J16" s="361">
        <f t="shared" si="16"/>
        <v>5</v>
      </c>
      <c r="K16" s="362">
        <f t="shared" ref="K16" si="24">SUM(I16:J16)</f>
        <v>13</v>
      </c>
      <c r="L16" s="239"/>
      <c r="M16" s="174">
        <f t="shared" si="18"/>
        <v>74.074074074074076</v>
      </c>
      <c r="N16" s="169">
        <f t="shared" si="19"/>
        <v>7.5883606222455727E-2</v>
      </c>
      <c r="O16" s="207"/>
      <c r="P16" s="169">
        <f t="shared" ref="P16" si="25">N16*0.12</f>
        <v>9.106032746694687E-3</v>
      </c>
      <c r="Q16" s="169">
        <f t="shared" si="21"/>
        <v>8.4989638969150419E-2</v>
      </c>
      <c r="R16" s="181"/>
      <c r="S16" s="181"/>
      <c r="T16" s="181"/>
      <c r="U16" s="181"/>
      <c r="V16" s="224"/>
      <c r="W16" s="218"/>
    </row>
    <row r="17" spans="1:25" x14ac:dyDescent="0.3">
      <c r="A17" s="391"/>
      <c r="B17" s="371" t="s">
        <v>619</v>
      </c>
      <c r="C17" s="357" t="s">
        <v>620</v>
      </c>
      <c r="D17" s="358">
        <v>40000</v>
      </c>
      <c r="E17" s="364">
        <f>0.05225</f>
        <v>5.2249999999999998E-2</v>
      </c>
      <c r="F17" s="364"/>
      <c r="G17" s="367">
        <f>80/3600</f>
        <v>2.2222222222222223E-2</v>
      </c>
      <c r="H17" s="367">
        <f t="shared" si="15"/>
        <v>7.4472222222222217E-2</v>
      </c>
      <c r="I17" s="361">
        <f t="shared" si="8"/>
        <v>2090</v>
      </c>
      <c r="J17" s="361">
        <f t="shared" si="16"/>
        <v>888.88888888888891</v>
      </c>
      <c r="K17" s="362">
        <f t="shared" ref="K17" si="26">SUM(I17:J17)</f>
        <v>2978.8888888888887</v>
      </c>
      <c r="L17" s="239"/>
      <c r="M17" s="174">
        <f t="shared" si="18"/>
        <v>1481.4814814814815</v>
      </c>
      <c r="N17" s="169">
        <f t="shared" si="19"/>
        <v>17.388371648068699</v>
      </c>
      <c r="O17" s="207"/>
      <c r="P17" s="169">
        <f t="shared" ref="P17" si="27">N17*0.12</f>
        <v>2.0866045977682437</v>
      </c>
      <c r="Q17" s="169">
        <f t="shared" si="21"/>
        <v>19.474976245836942</v>
      </c>
      <c r="R17" s="178"/>
      <c r="Y17" s="339"/>
    </row>
    <row r="18" spans="1:25" x14ac:dyDescent="0.35">
      <c r="A18" s="391"/>
      <c r="B18" s="357" t="s">
        <v>326</v>
      </c>
      <c r="C18" s="357" t="s">
        <v>327</v>
      </c>
      <c r="D18" s="358">
        <f>18000+29110</f>
        <v>47110</v>
      </c>
      <c r="E18" s="359">
        <v>1.6E-2</v>
      </c>
      <c r="F18" s="359"/>
      <c r="G18" s="359">
        <v>5.0000000000000001E-3</v>
      </c>
      <c r="H18" s="367">
        <f t="shared" ref="H18:H44" si="28">E18+G18</f>
        <v>2.1000000000000001E-2</v>
      </c>
      <c r="I18" s="361">
        <f t="shared" ref="I18:I34" si="29">E18*D18</f>
        <v>753.76</v>
      </c>
      <c r="J18" s="361">
        <f t="shared" si="0"/>
        <v>235.55</v>
      </c>
      <c r="K18" s="362">
        <f t="shared" si="1"/>
        <v>989.31</v>
      </c>
      <c r="L18" s="239"/>
      <c r="M18" s="174">
        <f t="shared" si="2"/>
        <v>1744.8148148148148</v>
      </c>
      <c r="N18" s="169">
        <f t="shared" si="4"/>
        <v>5.7748008055336664</v>
      </c>
      <c r="O18" s="207"/>
      <c r="P18" s="169">
        <f t="shared" ref="P18:P37" si="30">N18*0.12</f>
        <v>0.69297609666403992</v>
      </c>
      <c r="Q18" s="169">
        <f t="shared" si="5"/>
        <v>6.4677769021977065</v>
      </c>
      <c r="R18" s="178"/>
      <c r="S18" s="202"/>
      <c r="T18" s="202"/>
      <c r="U18" s="202"/>
      <c r="V18" s="216"/>
      <c r="W18" s="216"/>
    </row>
    <row r="19" spans="1:25" x14ac:dyDescent="0.35">
      <c r="A19" s="391"/>
      <c r="B19" s="357"/>
      <c r="C19" s="357" t="s">
        <v>399</v>
      </c>
      <c r="D19" s="358"/>
      <c r="E19" s="359">
        <v>4.7222199999999999E-2</v>
      </c>
      <c r="F19" s="359"/>
      <c r="G19" s="359">
        <v>1.07639E-2</v>
      </c>
      <c r="H19" s="367">
        <f t="shared" si="28"/>
        <v>5.7986099999999999E-2</v>
      </c>
      <c r="I19" s="361">
        <f t="shared" si="29"/>
        <v>0</v>
      </c>
      <c r="J19" s="361">
        <f t="shared" si="0"/>
        <v>0</v>
      </c>
      <c r="K19" s="362">
        <f t="shared" ref="K19" si="31">SUM(I19:J19)</f>
        <v>0</v>
      </c>
      <c r="L19" s="239"/>
      <c r="M19" s="174">
        <f t="shared" si="2"/>
        <v>0</v>
      </c>
      <c r="N19" s="169">
        <f t="shared" si="4"/>
        <v>0</v>
      </c>
      <c r="O19" s="207"/>
      <c r="P19" s="169">
        <f t="shared" ref="P19" si="32">N19*0.12</f>
        <v>0</v>
      </c>
      <c r="Q19" s="169">
        <f t="shared" si="5"/>
        <v>0</v>
      </c>
      <c r="R19" s="178"/>
      <c r="S19" s="202"/>
      <c r="T19" s="202"/>
      <c r="U19" s="202"/>
      <c r="V19" s="216"/>
      <c r="W19" s="216"/>
    </row>
    <row r="20" spans="1:25" s="147" customFormat="1" x14ac:dyDescent="0.35">
      <c r="A20" s="391"/>
      <c r="B20" s="357" t="s">
        <v>532</v>
      </c>
      <c r="C20" s="357" t="s">
        <v>357</v>
      </c>
      <c r="D20" s="358">
        <v>66400</v>
      </c>
      <c r="E20" s="359">
        <f>70/3600</f>
        <v>1.9444444444444445E-2</v>
      </c>
      <c r="F20" s="359"/>
      <c r="G20" s="359">
        <v>7.9860999999999994E-3</v>
      </c>
      <c r="H20" s="367">
        <f t="shared" si="28"/>
        <v>2.7430544444444444E-2</v>
      </c>
      <c r="I20" s="361">
        <f t="shared" si="29"/>
        <v>1291.1111111111111</v>
      </c>
      <c r="J20" s="361">
        <f t="shared" si="0"/>
        <v>530.27703999999994</v>
      </c>
      <c r="K20" s="362">
        <f t="shared" ref="K20" si="33">SUM(I20:J20)</f>
        <v>1821.388151111111</v>
      </c>
      <c r="L20" s="239"/>
      <c r="M20" s="174">
        <f t="shared" si="2"/>
        <v>2459.2592592592591</v>
      </c>
      <c r="N20" s="169">
        <f t="shared" si="4"/>
        <v>10.631807787474017</v>
      </c>
      <c r="O20" s="298"/>
      <c r="P20" s="174">
        <f t="shared" ref="P20" si="34">N20*0.12</f>
        <v>1.2758169344968819</v>
      </c>
      <c r="Q20" s="169">
        <f t="shared" si="5"/>
        <v>11.907624721970899</v>
      </c>
      <c r="R20" s="181"/>
      <c r="S20" s="204"/>
      <c r="T20" s="204"/>
      <c r="U20" s="204"/>
      <c r="V20" s="218"/>
      <c r="W20" s="218"/>
      <c r="Y20" s="343"/>
    </row>
    <row r="21" spans="1:25" ht="13" x14ac:dyDescent="0.3">
      <c r="A21" s="391"/>
      <c r="B21" s="357"/>
      <c r="C21" s="357" t="s">
        <v>354</v>
      </c>
      <c r="D21" s="383">
        <v>136584</v>
      </c>
      <c r="E21" s="359">
        <v>1.0069399999999999E-2</v>
      </c>
      <c r="F21" s="359"/>
      <c r="G21" s="359">
        <v>4.1666999999999997E-3</v>
      </c>
      <c r="H21" s="367">
        <f t="shared" si="28"/>
        <v>1.4236099999999998E-2</v>
      </c>
      <c r="I21" s="361">
        <f t="shared" si="29"/>
        <v>1375.3189295999998</v>
      </c>
      <c r="J21" s="361">
        <f t="shared" si="0"/>
        <v>569.10455279999996</v>
      </c>
      <c r="K21" s="362">
        <f t="shared" ref="K21" si="35">SUM(I21:J21)</f>
        <v>1944.4234823999998</v>
      </c>
      <c r="L21" s="239"/>
      <c r="M21" s="174">
        <f t="shared" si="2"/>
        <v>5058.666666666667</v>
      </c>
      <c r="N21" s="169">
        <f t="shared" si="4"/>
        <v>11.349989682164434</v>
      </c>
      <c r="O21" s="207"/>
      <c r="P21" s="169">
        <f t="shared" ref="P21" si="36">N21*0.12</f>
        <v>1.361998761859732</v>
      </c>
      <c r="Q21" s="169">
        <f t="shared" si="5"/>
        <v>12.711988444024167</v>
      </c>
      <c r="R21" s="178"/>
      <c r="S21" s="202"/>
      <c r="T21" s="202"/>
      <c r="U21" s="202"/>
      <c r="V21" s="216"/>
      <c r="W21" s="216"/>
    </row>
    <row r="22" spans="1:25" x14ac:dyDescent="0.35">
      <c r="A22" s="391"/>
      <c r="B22" s="357" t="s">
        <v>287</v>
      </c>
      <c r="C22" s="357" t="s">
        <v>309</v>
      </c>
      <c r="D22" s="358">
        <v>15008</v>
      </c>
      <c r="E22" s="359">
        <f>200/3600</f>
        <v>5.5555555555555552E-2</v>
      </c>
      <c r="F22" s="359"/>
      <c r="G22" s="359">
        <v>8.9999999999999993E-3</v>
      </c>
      <c r="H22" s="367">
        <f t="shared" si="28"/>
        <v>6.4555555555555547E-2</v>
      </c>
      <c r="I22" s="361">
        <f t="shared" si="29"/>
        <v>833.77777777777771</v>
      </c>
      <c r="J22" s="361">
        <f t="shared" si="0"/>
        <v>135.072</v>
      </c>
      <c r="K22" s="362">
        <f t="shared" ref="K22:K32" si="37">SUM(I22:J22)</f>
        <v>968.84977777777772</v>
      </c>
      <c r="L22" s="272"/>
      <c r="M22" s="174">
        <f t="shared" si="2"/>
        <v>555.85185185185185</v>
      </c>
      <c r="N22" s="169">
        <f t="shared" si="4"/>
        <v>5.6553703865848162</v>
      </c>
      <c r="O22" s="207"/>
      <c r="P22" s="169">
        <f t="shared" si="30"/>
        <v>0.67864444639017796</v>
      </c>
      <c r="Q22" s="169">
        <f t="shared" si="5"/>
        <v>6.3340148329749937</v>
      </c>
      <c r="R22" s="181"/>
      <c r="S22" s="204"/>
      <c r="T22" s="204"/>
      <c r="U22" s="204"/>
      <c r="V22" s="218"/>
      <c r="W22" s="218"/>
    </row>
    <row r="23" spans="1:25" ht="12.5" hidden="1" customHeight="1" x14ac:dyDescent="0.3">
      <c r="A23" s="391"/>
      <c r="B23" s="348" t="s">
        <v>406</v>
      </c>
      <c r="C23" s="357" t="s">
        <v>429</v>
      </c>
      <c r="D23" s="358"/>
      <c r="E23" s="359">
        <v>0.56000000000000005</v>
      </c>
      <c r="F23" s="359"/>
      <c r="G23" s="359">
        <v>0.14000000000000001</v>
      </c>
      <c r="H23" s="367">
        <f t="shared" si="28"/>
        <v>0.70000000000000007</v>
      </c>
      <c r="I23" s="361">
        <f t="shared" si="29"/>
        <v>0</v>
      </c>
      <c r="J23" s="361">
        <f t="shared" si="0"/>
        <v>0</v>
      </c>
      <c r="K23" s="362">
        <f t="shared" ref="K23" si="38">SUM(I23:J23)</f>
        <v>0</v>
      </c>
      <c r="L23" s="169"/>
      <c r="M23" s="174">
        <f t="shared" si="2"/>
        <v>0</v>
      </c>
      <c r="N23" s="169">
        <f t="shared" si="4"/>
        <v>0</v>
      </c>
      <c r="O23" s="207"/>
      <c r="P23" s="169">
        <f t="shared" ref="P23" si="39">N23*0.12</f>
        <v>0</v>
      </c>
      <c r="Q23" s="169">
        <f t="shared" si="5"/>
        <v>0</v>
      </c>
      <c r="R23" s="181"/>
      <c r="S23" s="204"/>
      <c r="T23" s="204"/>
      <c r="U23" s="204"/>
      <c r="V23" s="218"/>
      <c r="W23" s="218"/>
    </row>
    <row r="24" spans="1:25" ht="12.5" hidden="1" customHeight="1" x14ac:dyDescent="0.35">
      <c r="A24" s="391"/>
      <c r="B24" s="357" t="s">
        <v>398</v>
      </c>
      <c r="C24" s="357" t="s">
        <v>295</v>
      </c>
      <c r="D24" s="358"/>
      <c r="E24" s="359">
        <f>1400/3600</f>
        <v>0.3888888888888889</v>
      </c>
      <c r="F24" s="359">
        <v>0.57999999999999996</v>
      </c>
      <c r="G24" s="359">
        <v>0.14499999999999999</v>
      </c>
      <c r="H24" s="367">
        <f t="shared" si="28"/>
        <v>0.53388888888888886</v>
      </c>
      <c r="I24" s="361">
        <f t="shared" si="29"/>
        <v>0</v>
      </c>
      <c r="J24" s="361">
        <f t="shared" si="0"/>
        <v>0</v>
      </c>
      <c r="K24" s="362">
        <f t="shared" si="37"/>
        <v>0</v>
      </c>
      <c r="L24" s="169"/>
      <c r="M24" s="174">
        <f t="shared" si="2"/>
        <v>0</v>
      </c>
      <c r="N24" s="169">
        <f t="shared" si="4"/>
        <v>0</v>
      </c>
      <c r="O24" s="207">
        <f>N24*(1/6)</f>
        <v>0</v>
      </c>
      <c r="P24" s="169">
        <f>(N24+O24)*0.12</f>
        <v>0</v>
      </c>
      <c r="Q24" s="169">
        <f t="shared" si="5"/>
        <v>0</v>
      </c>
      <c r="R24" s="178"/>
      <c r="S24" s="202"/>
      <c r="T24" s="202"/>
      <c r="U24" s="202"/>
      <c r="V24" s="216"/>
      <c r="W24" s="216"/>
    </row>
    <row r="25" spans="1:25" x14ac:dyDescent="0.35">
      <c r="A25" s="391"/>
      <c r="B25" s="357" t="s">
        <v>767</v>
      </c>
      <c r="C25" s="357" t="s">
        <v>856</v>
      </c>
      <c r="D25" s="372">
        <v>31000</v>
      </c>
      <c r="E25" s="367">
        <f>84/3600</f>
        <v>2.3333333333333334E-2</v>
      </c>
      <c r="F25" s="367"/>
      <c r="G25" s="367">
        <v>0.03</v>
      </c>
      <c r="H25" s="367">
        <f t="shared" si="28"/>
        <v>5.333333333333333E-2</v>
      </c>
      <c r="I25" s="361">
        <f t="shared" si="29"/>
        <v>723.33333333333337</v>
      </c>
      <c r="J25" s="361">
        <f t="shared" si="0"/>
        <v>930</v>
      </c>
      <c r="K25" s="362">
        <f>SUM(I25:J25)</f>
        <v>1653.3333333333335</v>
      </c>
      <c r="L25" s="239"/>
      <c r="M25" s="174">
        <f t="shared" si="2"/>
        <v>1148.148148148148</v>
      </c>
      <c r="N25" s="169">
        <f t="shared" si="4"/>
        <v>9.6508381247020605</v>
      </c>
      <c r="O25" s="207"/>
      <c r="P25" s="169">
        <f t="shared" si="30"/>
        <v>1.1581005749642472</v>
      </c>
      <c r="Q25" s="169">
        <f t="shared" si="5"/>
        <v>10.808938699666308</v>
      </c>
      <c r="R25" s="178"/>
      <c r="S25" s="202"/>
      <c r="T25" s="202"/>
      <c r="U25" s="202"/>
      <c r="V25" s="216"/>
      <c r="W25" s="216"/>
    </row>
    <row r="26" spans="1:25" x14ac:dyDescent="0.35">
      <c r="A26" s="392" t="s">
        <v>852</v>
      </c>
      <c r="B26" s="357" t="s">
        <v>401</v>
      </c>
      <c r="C26" s="357" t="s">
        <v>295</v>
      </c>
      <c r="D26" s="358">
        <v>15425</v>
      </c>
      <c r="E26" s="359">
        <f>1000/3600</f>
        <v>0.27777777777777779</v>
      </c>
      <c r="F26" s="359"/>
      <c r="G26" s="359">
        <f>300/3600</f>
        <v>8.3333333333333329E-2</v>
      </c>
      <c r="H26" s="360">
        <f>E26+G26</f>
        <v>0.3611111111111111</v>
      </c>
      <c r="I26" s="361">
        <f>E26*D26</f>
        <v>4284.7222222222226</v>
      </c>
      <c r="J26" s="361">
        <f>G26*D26</f>
        <v>1285.4166666666665</v>
      </c>
      <c r="K26" s="362">
        <f>SUM(I26:J26)</f>
        <v>5570.1388888888887</v>
      </c>
      <c r="L26" s="169"/>
      <c r="M26" s="174">
        <f>D26/$X$5</f>
        <v>571.2962962962963</v>
      </c>
      <c r="N26" s="169">
        <f>D26*H26/$X$5/7.05/$X$4</f>
        <v>32.514017388371649</v>
      </c>
      <c r="O26" s="207"/>
      <c r="P26" s="169">
        <f>N26*0.12</f>
        <v>3.9016820866045978</v>
      </c>
      <c r="Q26" s="169">
        <f>N26+O26+P26</f>
        <v>36.415699474976243</v>
      </c>
      <c r="R26" s="169"/>
      <c r="S26" s="217"/>
      <c r="T26" s="217"/>
      <c r="U26" s="217"/>
      <c r="V26" s="217"/>
      <c r="W26" s="217"/>
    </row>
    <row r="27" spans="1:25" x14ac:dyDescent="0.35">
      <c r="A27" s="392"/>
      <c r="B27" s="366" t="s">
        <v>339</v>
      </c>
      <c r="C27" s="366" t="s">
        <v>295</v>
      </c>
      <c r="D27" s="369">
        <v>25092</v>
      </c>
      <c r="E27" s="359">
        <f>1200/3600</f>
        <v>0.33333333333333331</v>
      </c>
      <c r="F27" s="359">
        <v>0.65</v>
      </c>
      <c r="G27" s="359">
        <v>0.14530000000000001</v>
      </c>
      <c r="H27" s="360">
        <f t="shared" si="28"/>
        <v>0.47863333333333336</v>
      </c>
      <c r="I27" s="361">
        <f t="shared" si="29"/>
        <v>8364</v>
      </c>
      <c r="J27" s="361">
        <f t="shared" si="0"/>
        <v>3645.8676000000005</v>
      </c>
      <c r="K27" s="362">
        <f>SUM(I27:J27)</f>
        <v>12009.867600000001</v>
      </c>
      <c r="L27" s="169"/>
      <c r="M27" s="174">
        <f t="shared" si="2"/>
        <v>929.33333333333337</v>
      </c>
      <c r="N27" s="169">
        <f t="shared" si="4"/>
        <v>70.104004903248409</v>
      </c>
      <c r="O27" s="207"/>
      <c r="P27" s="169">
        <f t="shared" si="30"/>
        <v>8.4124805883898084</v>
      </c>
      <c r="Q27" s="169">
        <f t="shared" si="5"/>
        <v>78.516485491638221</v>
      </c>
      <c r="R27" s="178"/>
      <c r="S27" s="202"/>
      <c r="T27" s="202"/>
      <c r="U27" s="202"/>
      <c r="V27" s="216"/>
      <c r="W27" s="216"/>
    </row>
    <row r="28" spans="1:25" x14ac:dyDescent="0.35">
      <c r="A28" s="392"/>
      <c r="B28" s="366" t="s">
        <v>543</v>
      </c>
      <c r="C28" s="366" t="s">
        <v>544</v>
      </c>
      <c r="D28" s="369">
        <v>1000</v>
      </c>
      <c r="E28" s="359">
        <v>0.38</v>
      </c>
      <c r="F28" s="359">
        <v>0.46</v>
      </c>
      <c r="G28" s="359">
        <f>500/3600</f>
        <v>0.1388888888888889</v>
      </c>
      <c r="H28" s="360">
        <f t="shared" si="28"/>
        <v>0.51888888888888896</v>
      </c>
      <c r="I28" s="361">
        <f t="shared" si="29"/>
        <v>380</v>
      </c>
      <c r="J28" s="361">
        <f t="shared" si="0"/>
        <v>138.88888888888889</v>
      </c>
      <c r="K28" s="362">
        <f>SUM(I28:J28)</f>
        <v>518.88888888888891</v>
      </c>
      <c r="L28" s="169"/>
      <c r="M28" s="174">
        <f t="shared" si="2"/>
        <v>37.037037037037038</v>
      </c>
      <c r="N28" s="169">
        <f t="shared" si="4"/>
        <v>3.028858470588617</v>
      </c>
      <c r="O28" s="207"/>
      <c r="P28" s="169">
        <f t="shared" ref="P28" si="40">N28*0.12</f>
        <v>0.363463016470634</v>
      </c>
      <c r="Q28" s="169">
        <f t="shared" si="5"/>
        <v>3.3923214870592511</v>
      </c>
      <c r="R28" s="178"/>
      <c r="S28" s="202"/>
      <c r="T28" s="202"/>
      <c r="U28" s="202"/>
      <c r="V28" s="216"/>
      <c r="W28" s="216"/>
    </row>
    <row r="29" spans="1:25" ht="12.5" hidden="1" customHeight="1" x14ac:dyDescent="0.35">
      <c r="A29" s="392"/>
      <c r="B29" s="366" t="s">
        <v>874</v>
      </c>
      <c r="C29" s="366" t="s">
        <v>295</v>
      </c>
      <c r="D29" s="358"/>
      <c r="E29" s="359">
        <v>6.5000000000000002E-2</v>
      </c>
      <c r="F29" s="359"/>
      <c r="G29" s="359">
        <v>8.9999999999999993E-3</v>
      </c>
      <c r="H29" s="360">
        <f t="shared" si="28"/>
        <v>7.3999999999999996E-2</v>
      </c>
      <c r="I29" s="361">
        <f t="shared" si="29"/>
        <v>0</v>
      </c>
      <c r="J29" s="361">
        <f t="shared" si="0"/>
        <v>0</v>
      </c>
      <c r="K29" s="362">
        <f t="shared" si="37"/>
        <v>0</v>
      </c>
      <c r="L29" s="169"/>
      <c r="M29" s="174">
        <f t="shared" si="2"/>
        <v>0</v>
      </c>
      <c r="N29" s="169">
        <f t="shared" si="4"/>
        <v>0</v>
      </c>
      <c r="O29" s="207"/>
      <c r="P29" s="169">
        <f t="shared" si="30"/>
        <v>0</v>
      </c>
      <c r="Q29" s="169">
        <f t="shared" si="5"/>
        <v>0</v>
      </c>
      <c r="R29" s="178"/>
      <c r="S29" s="202"/>
      <c r="T29" s="202"/>
      <c r="U29" s="202"/>
      <c r="V29" s="216"/>
      <c r="W29" s="216"/>
    </row>
    <row r="30" spans="1:25" x14ac:dyDescent="0.35">
      <c r="A30" s="392"/>
      <c r="B30" s="366" t="s">
        <v>400</v>
      </c>
      <c r="C30" s="366" t="s">
        <v>295</v>
      </c>
      <c r="D30" s="358">
        <v>60000</v>
      </c>
      <c r="E30" s="359">
        <f>1000/3600</f>
        <v>0.27777777777777779</v>
      </c>
      <c r="F30" s="359">
        <v>0.61</v>
      </c>
      <c r="G30" s="359">
        <f>280/3600</f>
        <v>7.7777777777777779E-2</v>
      </c>
      <c r="H30" s="360">
        <f t="shared" si="28"/>
        <v>0.35555555555555557</v>
      </c>
      <c r="I30" s="361">
        <f t="shared" si="29"/>
        <v>16666.666666666668</v>
      </c>
      <c r="J30" s="361">
        <f t="shared" si="0"/>
        <v>4666.666666666667</v>
      </c>
      <c r="K30" s="362">
        <f t="shared" si="37"/>
        <v>21333.333333333336</v>
      </c>
      <c r="L30" s="169"/>
      <c r="M30" s="174">
        <f t="shared" si="2"/>
        <v>2222.2222222222222</v>
      </c>
      <c r="N30" s="169">
        <f t="shared" si="4"/>
        <v>124.52694354454272</v>
      </c>
      <c r="O30" s="207"/>
      <c r="P30" s="169">
        <f>(N30+O30)*0.12</f>
        <v>14.943233225345125</v>
      </c>
      <c r="Q30" s="169">
        <f t="shared" si="5"/>
        <v>139.47017676988784</v>
      </c>
      <c r="R30" s="178"/>
      <c r="S30" s="202"/>
      <c r="T30" s="202"/>
      <c r="U30" s="202"/>
      <c r="V30" s="216"/>
      <c r="W30" s="216"/>
    </row>
    <row r="31" spans="1:25" x14ac:dyDescent="0.35">
      <c r="A31" s="392"/>
      <c r="B31" s="366" t="s">
        <v>692</v>
      </c>
      <c r="C31" s="366" t="s">
        <v>410</v>
      </c>
      <c r="D31" s="358">
        <v>8510</v>
      </c>
      <c r="E31" s="359">
        <f>3000/3600</f>
        <v>0.83333333333333337</v>
      </c>
      <c r="F31" s="359">
        <v>0.8</v>
      </c>
      <c r="G31" s="359">
        <f>500/3600</f>
        <v>0.1388888888888889</v>
      </c>
      <c r="H31" s="360">
        <f t="shared" si="28"/>
        <v>0.97222222222222232</v>
      </c>
      <c r="I31" s="361">
        <f t="shared" si="29"/>
        <v>7091.666666666667</v>
      </c>
      <c r="J31" s="361">
        <f t="shared" si="0"/>
        <v>1181.9444444444446</v>
      </c>
      <c r="K31" s="362">
        <f t="shared" si="37"/>
        <v>8273.6111111111113</v>
      </c>
      <c r="L31" s="169"/>
      <c r="M31" s="174">
        <f t="shared" si="2"/>
        <v>315.18518518518516</v>
      </c>
      <c r="N31" s="169">
        <f t="shared" si="4"/>
        <v>48.294726737945368</v>
      </c>
      <c r="O31" s="207"/>
      <c r="P31" s="169">
        <f t="shared" si="30"/>
        <v>5.7953672085534436</v>
      </c>
      <c r="Q31" s="169">
        <f t="shared" si="5"/>
        <v>54.090093946498811</v>
      </c>
      <c r="R31" s="178"/>
      <c r="S31" s="202"/>
      <c r="T31" s="202"/>
      <c r="U31" s="202"/>
      <c r="V31" s="216"/>
      <c r="W31" s="216"/>
    </row>
    <row r="32" spans="1:25" x14ac:dyDescent="0.3">
      <c r="A32" s="392"/>
      <c r="B32" s="366" t="s">
        <v>841</v>
      </c>
      <c r="C32" s="366" t="s">
        <v>842</v>
      </c>
      <c r="D32" s="373">
        <v>14140</v>
      </c>
      <c r="E32" s="359">
        <v>0.123</v>
      </c>
      <c r="F32" s="359">
        <v>0.123</v>
      </c>
      <c r="G32" s="359">
        <v>0.31900000000000001</v>
      </c>
      <c r="H32" s="360">
        <f t="shared" si="28"/>
        <v>0.442</v>
      </c>
      <c r="I32" s="361">
        <f t="shared" si="29"/>
        <v>1739.22</v>
      </c>
      <c r="J32" s="361">
        <f t="shared" si="0"/>
        <v>4510.66</v>
      </c>
      <c r="K32" s="362">
        <f t="shared" si="37"/>
        <v>6249.88</v>
      </c>
      <c r="L32" s="169"/>
      <c r="M32" s="174">
        <f t="shared" si="2"/>
        <v>523.7037037037037</v>
      </c>
      <c r="N32" s="169">
        <f t="shared" si="4"/>
        <v>36.481802527507803</v>
      </c>
      <c r="O32" s="207"/>
      <c r="P32" s="169">
        <f t="shared" si="30"/>
        <v>4.3778163033009365</v>
      </c>
      <c r="Q32" s="169">
        <f t="shared" si="5"/>
        <v>40.859618830808742</v>
      </c>
      <c r="R32" s="178"/>
      <c r="S32" s="202"/>
      <c r="T32" s="202"/>
      <c r="U32" s="202"/>
      <c r="V32" s="216"/>
      <c r="W32" s="216"/>
    </row>
    <row r="33" spans="1:25" hidden="1" x14ac:dyDescent="0.3">
      <c r="A33" s="374"/>
      <c r="B33" s="375" t="s">
        <v>541</v>
      </c>
      <c r="C33" s="366" t="s">
        <v>410</v>
      </c>
      <c r="D33" s="358"/>
      <c r="E33" s="359">
        <v>0.7</v>
      </c>
      <c r="F33" s="359"/>
      <c r="G33" s="359">
        <v>0.32</v>
      </c>
      <c r="H33" s="360">
        <f t="shared" si="28"/>
        <v>1.02</v>
      </c>
      <c r="I33" s="361">
        <f t="shared" si="29"/>
        <v>0</v>
      </c>
      <c r="J33" s="361">
        <f t="shared" si="0"/>
        <v>0</v>
      </c>
      <c r="K33" s="362">
        <f t="shared" ref="K33:K34" si="41">SUM(I33:J33)</f>
        <v>0</v>
      </c>
      <c r="L33" s="169"/>
      <c r="M33" s="174">
        <f t="shared" si="2"/>
        <v>0</v>
      </c>
      <c r="N33" s="169">
        <f t="shared" si="4"/>
        <v>0</v>
      </c>
      <c r="O33" s="207"/>
      <c r="P33" s="169">
        <f t="shared" ref="P33:P34" si="42">N33*0.12</f>
        <v>0</v>
      </c>
      <c r="Q33" s="169">
        <f t="shared" si="5"/>
        <v>0</v>
      </c>
      <c r="R33" s="178"/>
      <c r="S33" s="202"/>
      <c r="T33" s="202"/>
      <c r="U33" s="202"/>
      <c r="V33" s="216"/>
      <c r="W33" s="216"/>
    </row>
    <row r="34" spans="1:25" hidden="1" x14ac:dyDescent="0.35">
      <c r="A34" s="374"/>
      <c r="B34" s="366" t="s">
        <v>614</v>
      </c>
      <c r="C34" s="366" t="s">
        <v>410</v>
      </c>
      <c r="D34" s="358"/>
      <c r="E34" s="359">
        <v>0.61</v>
      </c>
      <c r="F34" s="359"/>
      <c r="G34" s="359">
        <v>0.31</v>
      </c>
      <c r="H34" s="360">
        <f t="shared" si="28"/>
        <v>0.91999999999999993</v>
      </c>
      <c r="I34" s="361">
        <f t="shared" si="29"/>
        <v>0</v>
      </c>
      <c r="J34" s="361">
        <f t="shared" si="0"/>
        <v>0</v>
      </c>
      <c r="K34" s="362">
        <f t="shared" si="41"/>
        <v>0</v>
      </c>
      <c r="L34" s="169"/>
      <c r="M34" s="174">
        <f t="shared" si="2"/>
        <v>0</v>
      </c>
      <c r="N34" s="169">
        <f t="shared" si="4"/>
        <v>0</v>
      </c>
      <c r="O34" s="207"/>
      <c r="P34" s="169">
        <f t="shared" si="42"/>
        <v>0</v>
      </c>
      <c r="Q34" s="169">
        <f t="shared" si="5"/>
        <v>0</v>
      </c>
      <c r="R34" s="178"/>
      <c r="S34" s="202"/>
      <c r="T34" s="202"/>
      <c r="U34" s="202"/>
      <c r="V34" s="216"/>
      <c r="W34" s="216"/>
    </row>
    <row r="35" spans="1:25" x14ac:dyDescent="0.35">
      <c r="A35" s="393" t="s">
        <v>795</v>
      </c>
      <c r="B35" s="366" t="s">
        <v>407</v>
      </c>
      <c r="C35" s="366" t="s">
        <v>409</v>
      </c>
      <c r="D35" s="358">
        <v>20814</v>
      </c>
      <c r="E35" s="359">
        <f>0.065-V35</f>
        <v>4.6944444444444448E-2</v>
      </c>
      <c r="F35" s="359">
        <v>6.5000000000000002E-2</v>
      </c>
      <c r="G35" s="359">
        <v>2.1999999999999999E-2</v>
      </c>
      <c r="H35" s="360">
        <f t="shared" si="28"/>
        <v>6.8944444444444447E-2</v>
      </c>
      <c r="I35" s="361">
        <f>F35*D35</f>
        <v>1352.91</v>
      </c>
      <c r="J35" s="361">
        <f t="shared" si="0"/>
        <v>457.90799999999996</v>
      </c>
      <c r="K35" s="362">
        <f t="shared" ref="K35" si="43">SUM(I35:J35)</f>
        <v>1810.818</v>
      </c>
      <c r="L35" s="169"/>
      <c r="M35" s="174">
        <f t="shared" si="2"/>
        <v>770.88888888888891</v>
      </c>
      <c r="N35" s="169">
        <f t="shared" si="4"/>
        <v>8.3764391131346745</v>
      </c>
      <c r="O35" s="207"/>
      <c r="P35" s="169">
        <f t="shared" si="30"/>
        <v>1.0051726935761609</v>
      </c>
      <c r="Q35" s="169">
        <f t="shared" si="5"/>
        <v>9.3816118067108363</v>
      </c>
      <c r="R35" s="181"/>
      <c r="S35" s="221">
        <f>15/3600</f>
        <v>4.1666666666666666E-3</v>
      </c>
      <c r="T35" s="221">
        <f>10/3600</f>
        <v>2.7777777777777779E-3</v>
      </c>
      <c r="U35" s="220">
        <f>2*20/3600</f>
        <v>1.1111111111111112E-2</v>
      </c>
      <c r="V35" s="221">
        <f>SUM(S35:U35)</f>
        <v>1.8055555555555554E-2</v>
      </c>
      <c r="W35" s="221"/>
    </row>
    <row r="36" spans="1:25" hidden="1" x14ac:dyDescent="0.35">
      <c r="A36" s="393"/>
      <c r="B36" s="366" t="s">
        <v>397</v>
      </c>
      <c r="C36" s="366" t="s">
        <v>428</v>
      </c>
      <c r="D36" s="358"/>
      <c r="E36" s="359">
        <v>0.29547200000000001</v>
      </c>
      <c r="F36" s="359"/>
      <c r="G36" s="359">
        <v>2.7777799999999998E-2</v>
      </c>
      <c r="H36" s="360">
        <f t="shared" si="28"/>
        <v>0.32324980000000003</v>
      </c>
      <c r="I36" s="361">
        <f t="shared" ref="I36:I37" si="44">E36*D36</f>
        <v>0</v>
      </c>
      <c r="J36" s="361">
        <f t="shared" si="0"/>
        <v>0</v>
      </c>
      <c r="K36" s="362">
        <f t="shared" ref="K36" si="45">SUM(I36:J36)</f>
        <v>0</v>
      </c>
      <c r="L36" s="169"/>
      <c r="M36" s="174">
        <f t="shared" si="2"/>
        <v>0</v>
      </c>
      <c r="N36" s="169">
        <f t="shared" si="4"/>
        <v>0</v>
      </c>
      <c r="O36" s="207"/>
      <c r="P36" s="169">
        <f t="shared" si="30"/>
        <v>0</v>
      </c>
      <c r="Q36" s="169">
        <f t="shared" si="5"/>
        <v>0</v>
      </c>
      <c r="R36" s="181"/>
      <c r="S36" s="181"/>
      <c r="T36" s="181"/>
      <c r="U36" s="181"/>
      <c r="V36" s="224"/>
      <c r="W36" s="218"/>
    </row>
    <row r="37" spans="1:25" x14ac:dyDescent="0.35">
      <c r="A37" s="393"/>
      <c r="B37" s="356" t="s">
        <v>819</v>
      </c>
      <c r="C37" s="366" t="s">
        <v>354</v>
      </c>
      <c r="D37" s="358">
        <v>23600</v>
      </c>
      <c r="E37" s="367">
        <v>0.14499999999999999</v>
      </c>
      <c r="F37" s="367"/>
      <c r="G37" s="367">
        <v>8.0000000000000002E-3</v>
      </c>
      <c r="H37" s="360">
        <f t="shared" si="28"/>
        <v>0.153</v>
      </c>
      <c r="I37" s="361">
        <f t="shared" si="44"/>
        <v>3421.9999999999995</v>
      </c>
      <c r="J37" s="361">
        <f t="shared" si="0"/>
        <v>188.8</v>
      </c>
      <c r="K37" s="362">
        <f t="shared" ref="K37" si="46">SUM(I37:J37)</f>
        <v>3610.7999999999997</v>
      </c>
      <c r="L37" s="169"/>
      <c r="M37" s="174">
        <f t="shared" si="2"/>
        <v>874.07407407407402</v>
      </c>
      <c r="N37" s="169">
        <f t="shared" si="4"/>
        <v>21.076963488311005</v>
      </c>
      <c r="O37" s="207"/>
      <c r="P37" s="169">
        <f t="shared" si="30"/>
        <v>2.5292356185973204</v>
      </c>
      <c r="Q37" s="169">
        <f t="shared" si="5"/>
        <v>23.606199106908324</v>
      </c>
      <c r="R37" s="178"/>
      <c r="S37" s="178"/>
      <c r="T37" s="178"/>
      <c r="U37" s="178"/>
      <c r="V37" s="225"/>
      <c r="W37" s="216"/>
      <c r="Y37" s="340"/>
    </row>
    <row r="38" spans="1:25" hidden="1" x14ac:dyDescent="0.35">
      <c r="A38" s="393"/>
      <c r="B38" s="366" t="s">
        <v>612</v>
      </c>
      <c r="C38" s="376" t="s">
        <v>613</v>
      </c>
      <c r="D38" s="358"/>
      <c r="E38" s="364">
        <f>0.24-V38</f>
        <v>0.19333333333333333</v>
      </c>
      <c r="F38" s="364">
        <v>0.24</v>
      </c>
      <c r="G38" s="367">
        <v>0.02</v>
      </c>
      <c r="H38" s="360">
        <f t="shared" si="28"/>
        <v>0.21333333333333332</v>
      </c>
      <c r="I38" s="361">
        <f t="shared" ref="I38:I44" si="47">F38*D38</f>
        <v>0</v>
      </c>
      <c r="J38" s="361">
        <f t="shared" si="0"/>
        <v>0</v>
      </c>
      <c r="K38" s="362">
        <f t="shared" ref="K38:K40" si="48">SUM(I38:J38)</f>
        <v>0</v>
      </c>
      <c r="L38" s="169"/>
      <c r="M38" s="174">
        <f t="shared" si="2"/>
        <v>0</v>
      </c>
      <c r="N38" s="169">
        <f t="shared" si="4"/>
        <v>0</v>
      </c>
      <c r="O38" s="207"/>
      <c r="P38" s="169">
        <f t="shared" ref="P38:P40" si="49">N38*0.12</f>
        <v>0</v>
      </c>
      <c r="Q38" s="169">
        <f t="shared" si="5"/>
        <v>0</v>
      </c>
      <c r="R38" s="178"/>
      <c r="S38" s="222">
        <f>36/3600</f>
        <v>0.01</v>
      </c>
      <c r="T38" s="178"/>
      <c r="U38" s="219">
        <f>22*6/3600</f>
        <v>3.6666666666666667E-2</v>
      </c>
      <c r="V38" s="221">
        <f>SUM(S38:U38)</f>
        <v>4.6666666666666669E-2</v>
      </c>
      <c r="W38" s="221"/>
    </row>
    <row r="39" spans="1:25" x14ac:dyDescent="0.3">
      <c r="A39" s="393"/>
      <c r="B39" s="365" t="s">
        <v>817</v>
      </c>
      <c r="C39" s="366" t="s">
        <v>818</v>
      </c>
      <c r="D39" s="358">
        <v>67000</v>
      </c>
      <c r="E39" s="380">
        <f>0.302-0.017</f>
        <v>0.28499999999999998</v>
      </c>
      <c r="F39" s="364">
        <v>0.32200000000000001</v>
      </c>
      <c r="G39" s="367">
        <v>0.04</v>
      </c>
      <c r="H39" s="360">
        <f t="shared" si="28"/>
        <v>0.32499999999999996</v>
      </c>
      <c r="I39" s="361">
        <f t="shared" si="47"/>
        <v>21574</v>
      </c>
      <c r="J39" s="361">
        <f t="shared" si="0"/>
        <v>2680</v>
      </c>
      <c r="K39" s="362">
        <f t="shared" ref="K39" si="50">SUM(I39:J39)</f>
        <v>24254</v>
      </c>
      <c r="L39" s="169"/>
      <c r="M39" s="174">
        <f t="shared" si="2"/>
        <v>2481.4814814814813</v>
      </c>
      <c r="N39" s="169">
        <f t="shared" si="4"/>
        <v>127.10504042261329</v>
      </c>
      <c r="O39" s="207"/>
      <c r="P39" s="169">
        <f t="shared" ref="P39" si="51">N39*0.12</f>
        <v>15.252604850713594</v>
      </c>
      <c r="Q39" s="169">
        <f t="shared" si="5"/>
        <v>142.35764527332688</v>
      </c>
      <c r="R39" s="178"/>
      <c r="S39" s="222"/>
      <c r="T39" s="178"/>
      <c r="U39" s="219"/>
      <c r="V39" s="221"/>
      <c r="W39" s="221"/>
    </row>
    <row r="40" spans="1:25" x14ac:dyDescent="0.3">
      <c r="A40" s="393"/>
      <c r="B40" s="375" t="s">
        <v>806</v>
      </c>
      <c r="C40" s="366" t="s">
        <v>807</v>
      </c>
      <c r="D40" s="358">
        <v>21000</v>
      </c>
      <c r="E40" s="364">
        <f>0.26-V40</f>
        <v>0.20555555555555555</v>
      </c>
      <c r="F40" s="364">
        <v>0.28000000000000003</v>
      </c>
      <c r="G40" s="367">
        <v>0.03</v>
      </c>
      <c r="H40" s="360">
        <f t="shared" si="28"/>
        <v>0.23555555555555555</v>
      </c>
      <c r="I40" s="361">
        <f t="shared" si="47"/>
        <v>5880.0000000000009</v>
      </c>
      <c r="J40" s="361">
        <f t="shared" si="0"/>
        <v>630</v>
      </c>
      <c r="K40" s="362">
        <f t="shared" si="48"/>
        <v>6510.0000000000009</v>
      </c>
      <c r="L40" s="169"/>
      <c r="M40" s="174">
        <f t="shared" si="2"/>
        <v>777.77777777777783</v>
      </c>
      <c r="N40" s="169">
        <f t="shared" si="4"/>
        <v>28.874685034390836</v>
      </c>
      <c r="O40" s="207"/>
      <c r="P40" s="169">
        <f t="shared" si="49"/>
        <v>3.4649622041269001</v>
      </c>
      <c r="Q40" s="169">
        <f t="shared" si="5"/>
        <v>32.339647238517735</v>
      </c>
      <c r="R40" s="178"/>
      <c r="S40" s="222">
        <f>36/3600</f>
        <v>0.01</v>
      </c>
      <c r="T40" s="178"/>
      <c r="U40" s="219">
        <f>20*8/3600</f>
        <v>4.4444444444444446E-2</v>
      </c>
      <c r="V40" s="221">
        <f>SUM(S40:U40)</f>
        <v>5.4444444444444448E-2</v>
      </c>
      <c r="W40" s="221"/>
    </row>
    <row r="41" spans="1:25" x14ac:dyDescent="0.3">
      <c r="A41" s="393"/>
      <c r="B41" s="375" t="s">
        <v>810</v>
      </c>
      <c r="C41" s="366" t="s">
        <v>811</v>
      </c>
      <c r="D41" s="358">
        <v>225</v>
      </c>
      <c r="E41" s="364">
        <f>0.176-V41</f>
        <v>0.1171111111111111</v>
      </c>
      <c r="F41" s="364">
        <v>0.17599999999999999</v>
      </c>
      <c r="G41" s="367">
        <v>2.9000000000000001E-2</v>
      </c>
      <c r="H41" s="360">
        <f t="shared" si="28"/>
        <v>0.14611111111111111</v>
      </c>
      <c r="I41" s="361">
        <f t="shared" si="47"/>
        <v>39.599999999999994</v>
      </c>
      <c r="J41" s="361">
        <f t="shared" si="0"/>
        <v>6.5250000000000004</v>
      </c>
      <c r="K41" s="362">
        <f t="shared" ref="K41" si="52">SUM(I41:J41)</f>
        <v>46.124999999999993</v>
      </c>
      <c r="L41" s="169"/>
      <c r="M41" s="174">
        <f t="shared" si="2"/>
        <v>8.3333333333333339</v>
      </c>
      <c r="N41" s="169">
        <f t="shared" si="4"/>
        <v>0.1918979657356332</v>
      </c>
      <c r="O41" s="207"/>
      <c r="P41" s="169">
        <f t="shared" ref="P41" si="53">N41*0.12</f>
        <v>2.3027755888275984E-2</v>
      </c>
      <c r="Q41" s="169">
        <f t="shared" si="5"/>
        <v>0.21492572162390919</v>
      </c>
      <c r="R41" s="178"/>
      <c r="S41" s="222">
        <f>36/3600</f>
        <v>0.01</v>
      </c>
      <c r="T41" s="178"/>
      <c r="U41" s="219">
        <f>22*8/3600</f>
        <v>4.8888888888888891E-2</v>
      </c>
      <c r="V41" s="221">
        <f>SUM(S41:U41)</f>
        <v>5.8888888888888893E-2</v>
      </c>
      <c r="W41" s="221"/>
    </row>
    <row r="42" spans="1:25" x14ac:dyDescent="0.35">
      <c r="A42" s="393"/>
      <c r="B42" s="366" t="s">
        <v>405</v>
      </c>
      <c r="C42" s="366" t="s">
        <v>413</v>
      </c>
      <c r="D42" s="358">
        <v>27001</v>
      </c>
      <c r="E42" s="364">
        <f>0.76-V42</f>
        <v>0.66111111111111109</v>
      </c>
      <c r="F42" s="364">
        <v>0.76</v>
      </c>
      <c r="G42" s="367">
        <f>511/3600</f>
        <v>0.14194444444444446</v>
      </c>
      <c r="H42" s="360">
        <f t="shared" si="28"/>
        <v>0.80305555555555552</v>
      </c>
      <c r="I42" s="361">
        <f t="shared" si="47"/>
        <v>20520.760000000002</v>
      </c>
      <c r="J42" s="361">
        <f t="shared" si="0"/>
        <v>3832.6419444444446</v>
      </c>
      <c r="K42" s="362">
        <f t="shared" ref="K42" si="54">SUM(I42:J42)</f>
        <v>24353.401944444446</v>
      </c>
      <c r="L42" s="169"/>
      <c r="M42" s="174">
        <f t="shared" si="2"/>
        <v>1000.0370370370371</v>
      </c>
      <c r="N42" s="169">
        <f t="shared" si="4"/>
        <v>126.56978697461143</v>
      </c>
      <c r="O42" s="207">
        <f>N42/6</f>
        <v>21.094964495768572</v>
      </c>
      <c r="P42" s="169">
        <f t="shared" ref="P42" si="55">N42*0.12</f>
        <v>15.188374436953371</v>
      </c>
      <c r="Q42" s="169">
        <f t="shared" si="5"/>
        <v>162.85312590733338</v>
      </c>
      <c r="R42" s="178"/>
      <c r="S42" s="222">
        <f>36/3600</f>
        <v>0.01</v>
      </c>
      <c r="T42" s="178"/>
      <c r="U42" s="219">
        <f>20*16/3600</f>
        <v>8.8888888888888892E-2</v>
      </c>
      <c r="V42" s="221">
        <f>SUM(S42:U42)</f>
        <v>9.8888888888888887E-2</v>
      </c>
      <c r="W42" s="221"/>
    </row>
    <row r="43" spans="1:25" hidden="1" x14ac:dyDescent="0.35">
      <c r="A43" s="393"/>
      <c r="B43" s="366" t="s">
        <v>334</v>
      </c>
      <c r="C43" s="366" t="s">
        <v>840</v>
      </c>
      <c r="D43" s="358"/>
      <c r="E43" s="364">
        <v>0.14099999999999999</v>
      </c>
      <c r="F43" s="364">
        <f>E43</f>
        <v>0.14099999999999999</v>
      </c>
      <c r="G43" s="367">
        <f>120/3600</f>
        <v>3.3333333333333333E-2</v>
      </c>
      <c r="H43" s="360">
        <f t="shared" si="28"/>
        <v>0.17433333333333331</v>
      </c>
      <c r="I43" s="361">
        <f t="shared" si="47"/>
        <v>0</v>
      </c>
      <c r="J43" s="361">
        <f t="shared" si="0"/>
        <v>0</v>
      </c>
      <c r="K43" s="362">
        <f t="shared" ref="K43:K44" si="56">SUM(I43:J43)</f>
        <v>0</v>
      </c>
      <c r="L43" s="169"/>
      <c r="M43" s="174">
        <f t="shared" si="2"/>
        <v>0</v>
      </c>
      <c r="N43" s="169">
        <f t="shared" si="4"/>
        <v>0</v>
      </c>
      <c r="O43" s="207"/>
      <c r="P43" s="169">
        <f t="shared" ref="P43:P44" si="57">N43*0.12</f>
        <v>0</v>
      </c>
      <c r="Q43" s="169">
        <f t="shared" ref="Q43:Q44" si="58">N43+O43+P43</f>
        <v>0</v>
      </c>
      <c r="R43" s="178"/>
      <c r="S43" s="222"/>
      <c r="T43" s="178"/>
      <c r="U43" s="219"/>
      <c r="V43" s="221"/>
      <c r="W43" s="221"/>
    </row>
    <row r="44" spans="1:25" x14ac:dyDescent="0.35">
      <c r="A44" s="393"/>
      <c r="B44" s="366" t="s">
        <v>844</v>
      </c>
      <c r="C44" s="366" t="s">
        <v>845</v>
      </c>
      <c r="D44" s="358">
        <v>14500</v>
      </c>
      <c r="E44" s="364">
        <v>4.0972000000000001E-2</v>
      </c>
      <c r="F44" s="364">
        <f>E44</f>
        <v>4.0972000000000001E-2</v>
      </c>
      <c r="G44" s="367">
        <v>8.9999999999999993E-3</v>
      </c>
      <c r="H44" s="360">
        <f t="shared" si="28"/>
        <v>4.9972000000000003E-2</v>
      </c>
      <c r="I44" s="361">
        <f t="shared" si="47"/>
        <v>594.09400000000005</v>
      </c>
      <c r="J44" s="361">
        <f t="shared" si="0"/>
        <v>130.5</v>
      </c>
      <c r="K44" s="362">
        <f t="shared" si="56"/>
        <v>724.59400000000005</v>
      </c>
      <c r="L44" s="169"/>
      <c r="M44" s="174">
        <f t="shared" si="2"/>
        <v>537.03703703703707</v>
      </c>
      <c r="N44" s="169">
        <f t="shared" si="4"/>
        <v>4.2296004436272367</v>
      </c>
      <c r="O44" s="207"/>
      <c r="P44" s="169">
        <f t="shared" si="57"/>
        <v>0.50755205323526842</v>
      </c>
      <c r="Q44" s="169">
        <f t="shared" si="58"/>
        <v>4.7371524968625049</v>
      </c>
      <c r="R44" s="178"/>
      <c r="S44" s="222"/>
      <c r="T44" s="178"/>
      <c r="U44" s="219"/>
      <c r="V44" s="221"/>
      <c r="W44" s="221"/>
    </row>
    <row r="45" spans="1:25" x14ac:dyDescent="0.35">
      <c r="A45" s="393"/>
      <c r="B45" s="356" t="s">
        <v>426</v>
      </c>
      <c r="C45" s="366"/>
      <c r="D45" s="368"/>
      <c r="E45" s="367"/>
      <c r="F45" s="367"/>
      <c r="G45" s="367"/>
      <c r="H45" s="361"/>
      <c r="I45" s="361"/>
      <c r="J45" s="361"/>
      <c r="K45" s="362"/>
      <c r="L45" s="169"/>
      <c r="M45" s="175"/>
      <c r="N45" s="169">
        <f>'Machine crew-Cable'!F13</f>
        <v>172</v>
      </c>
      <c r="O45" s="207">
        <f>'Machine crew-Cable'!G14</f>
        <v>28.666666666666668</v>
      </c>
      <c r="P45" s="169">
        <f>'Machine crew-Cable'!G16</f>
        <v>25</v>
      </c>
      <c r="Q45" s="169">
        <f t="shared" si="5"/>
        <v>225.66666666666666</v>
      </c>
      <c r="R45" s="178"/>
      <c r="S45" s="178"/>
      <c r="T45" s="178"/>
      <c r="U45" s="178"/>
      <c r="V45" s="225"/>
      <c r="W45" s="216"/>
    </row>
    <row r="46" spans="1:25" x14ac:dyDescent="0.35">
      <c r="A46" s="395" t="s">
        <v>824</v>
      </c>
      <c r="B46" s="356" t="s">
        <v>857</v>
      </c>
      <c r="C46" s="366" t="s">
        <v>858</v>
      </c>
      <c r="D46" s="377">
        <v>3000</v>
      </c>
      <c r="E46" s="367">
        <v>0.54</v>
      </c>
      <c r="F46" s="367"/>
      <c r="G46" s="367">
        <f>150/3600</f>
        <v>4.1666666666666664E-2</v>
      </c>
      <c r="H46" s="360">
        <f t="shared" ref="H46:H47" si="59">E46+G46</f>
        <v>0.58166666666666667</v>
      </c>
      <c r="I46" s="361">
        <f>E46*D46</f>
        <v>1620</v>
      </c>
      <c r="J46" s="361">
        <f t="shared" ref="J46" si="60">G46*D46</f>
        <v>125</v>
      </c>
      <c r="K46" s="362">
        <f t="shared" ref="K46" si="61">SUM(I46:J46)</f>
        <v>1745</v>
      </c>
      <c r="L46" s="169"/>
      <c r="M46" s="174">
        <f t="shared" ref="M46" si="62">D46/$X$5</f>
        <v>111.11111111111111</v>
      </c>
      <c r="N46" s="169">
        <f t="shared" ref="N46" si="63">D46*H46/$X$5/7.05/$X$4</f>
        <v>10.185914835245017</v>
      </c>
      <c r="O46" s="207"/>
      <c r="P46" s="169">
        <f t="shared" ref="P46" si="64">N46*0.12</f>
        <v>1.2223097802294018</v>
      </c>
      <c r="Q46" s="169">
        <f t="shared" si="5"/>
        <v>11.408224615474419</v>
      </c>
      <c r="R46" s="169"/>
      <c r="S46" s="178"/>
      <c r="T46" s="178"/>
      <c r="U46" s="178"/>
      <c r="V46" s="225"/>
      <c r="W46" s="216"/>
    </row>
    <row r="47" spans="1:25" x14ac:dyDescent="0.3">
      <c r="A47" s="395"/>
      <c r="B47" s="363" t="s">
        <v>878</v>
      </c>
      <c r="C47" s="366" t="s">
        <v>867</v>
      </c>
      <c r="D47" s="377"/>
      <c r="E47" s="367">
        <v>0.74</v>
      </c>
      <c r="F47" s="367"/>
      <c r="G47" s="367">
        <f t="shared" ref="G47:G49" si="65">150/3600</f>
        <v>4.1666666666666664E-2</v>
      </c>
      <c r="H47" s="360">
        <f t="shared" si="59"/>
        <v>0.78166666666666662</v>
      </c>
      <c r="I47" s="361">
        <f>E47*D47</f>
        <v>0</v>
      </c>
      <c r="J47" s="361">
        <f t="shared" ref="J47" si="66">G47*D47</f>
        <v>0</v>
      </c>
      <c r="K47" s="362">
        <f t="shared" ref="K47" si="67">SUM(I47:J47)</f>
        <v>0</v>
      </c>
      <c r="L47" s="169"/>
      <c r="M47" s="174">
        <f t="shared" ref="M47" si="68">D47/$X$5</f>
        <v>0</v>
      </c>
      <c r="N47" s="169">
        <f t="shared" ref="N47" si="69">D47*H47/$X$5/7.05/$X$4</f>
        <v>0</v>
      </c>
      <c r="O47" s="207"/>
      <c r="P47" s="169">
        <f t="shared" ref="P47" si="70">N47*0.12</f>
        <v>0</v>
      </c>
      <c r="Q47" s="169">
        <f t="shared" si="5"/>
        <v>0</v>
      </c>
      <c r="R47" s="169"/>
      <c r="S47" s="178"/>
      <c r="T47" s="178"/>
      <c r="U47" s="178"/>
      <c r="V47" s="225"/>
      <c r="W47" s="216"/>
    </row>
    <row r="48" spans="1:25" x14ac:dyDescent="0.35">
      <c r="A48" s="395"/>
      <c r="B48" s="356" t="s">
        <v>859</v>
      </c>
      <c r="C48" s="366" t="s">
        <v>860</v>
      </c>
      <c r="D48" s="377">
        <v>2000</v>
      </c>
      <c r="E48" s="367">
        <v>0.27700000000000002</v>
      </c>
      <c r="F48" s="367"/>
      <c r="G48" s="367">
        <f t="shared" si="65"/>
        <v>4.1666666666666664E-2</v>
      </c>
      <c r="H48" s="360">
        <f t="shared" ref="H48:H52" si="71">E48+G48</f>
        <v>0.31866666666666671</v>
      </c>
      <c r="I48" s="361">
        <f t="shared" ref="I48:I53" si="72">E48*D48</f>
        <v>554</v>
      </c>
      <c r="J48" s="361">
        <f t="shared" ref="J48:J52" si="73">G48*D48</f>
        <v>83.333333333333329</v>
      </c>
      <c r="K48" s="362">
        <f t="shared" ref="K48:K52" si="74">SUM(I48:J48)</f>
        <v>637.33333333333337</v>
      </c>
      <c r="L48" s="169"/>
      <c r="M48" s="174">
        <f t="shared" ref="M48:M52" si="75">D48/$X$5</f>
        <v>74.074074074074076</v>
      </c>
      <c r="N48" s="169">
        <f t="shared" ref="N48:N52" si="76">D48*H48/$X$5/7.05/$X$4</f>
        <v>3.7202424383932136</v>
      </c>
      <c r="O48" s="207"/>
      <c r="P48" s="169">
        <f t="shared" ref="P48:P52" si="77">N48*0.12</f>
        <v>0.44642909260718561</v>
      </c>
      <c r="Q48" s="169">
        <f t="shared" ref="Q48:Q52" si="78">N48+O48+P48</f>
        <v>4.1666715310003992</v>
      </c>
      <c r="R48" s="169"/>
      <c r="S48" s="178"/>
      <c r="T48" s="178"/>
      <c r="U48" s="178"/>
      <c r="V48" s="225"/>
      <c r="W48" s="216"/>
    </row>
    <row r="49" spans="1:23" x14ac:dyDescent="0.35">
      <c r="A49" s="395"/>
      <c r="B49" s="357" t="s">
        <v>880</v>
      </c>
      <c r="C49" s="366" t="s">
        <v>881</v>
      </c>
      <c r="D49" s="377">
        <v>1500</v>
      </c>
      <c r="E49" s="367">
        <v>2.5999999999999999E-2</v>
      </c>
      <c r="F49" s="367"/>
      <c r="G49" s="367">
        <f t="shared" si="65"/>
        <v>4.1666666666666664E-2</v>
      </c>
      <c r="H49" s="360">
        <f t="shared" ref="H49:H51" si="79">E49+G49</f>
        <v>6.7666666666666667E-2</v>
      </c>
      <c r="I49" s="361">
        <f t="shared" ref="I49:I51" si="80">E49*D49</f>
        <v>39</v>
      </c>
      <c r="J49" s="361">
        <f t="shared" ref="J49:J51" si="81">G49*D49</f>
        <v>62.5</v>
      </c>
      <c r="K49" s="362">
        <f t="shared" ref="K49:K51" si="82">SUM(I49:J49)</f>
        <v>101.5</v>
      </c>
      <c r="L49" s="169"/>
      <c r="M49" s="174">
        <f t="shared" ref="M49:M51" si="83">D49/$X$5</f>
        <v>55.555555555555557</v>
      </c>
      <c r="N49" s="169">
        <f t="shared" ref="N49:N51" si="84">D49*H49/$X$5/7.05/$X$4</f>
        <v>0.5924758485830196</v>
      </c>
      <c r="O49" s="207"/>
      <c r="P49" s="169">
        <f t="shared" ref="P49:P51" si="85">N49*0.12</f>
        <v>7.1097101829962345E-2</v>
      </c>
      <c r="Q49" s="169">
        <f t="shared" ref="Q49:Q51" si="86">N49+O49+P49</f>
        <v>0.66357295041298192</v>
      </c>
      <c r="R49" s="169"/>
      <c r="S49" s="178"/>
      <c r="T49" s="178"/>
      <c r="U49" s="178"/>
      <c r="V49" s="225"/>
      <c r="W49" s="216"/>
    </row>
    <row r="50" spans="1:23" x14ac:dyDescent="0.35">
      <c r="A50" s="395"/>
      <c r="B50" s="378" t="s">
        <v>882</v>
      </c>
      <c r="C50" s="366" t="s">
        <v>883</v>
      </c>
      <c r="D50" s="377">
        <v>8980</v>
      </c>
      <c r="E50" s="367">
        <v>0.06</v>
      </c>
      <c r="F50" s="367"/>
      <c r="G50" s="367">
        <v>0.11</v>
      </c>
      <c r="H50" s="360">
        <f t="shared" si="79"/>
        <v>0.16999999999999998</v>
      </c>
      <c r="I50" s="361">
        <f t="shared" si="80"/>
        <v>538.79999999999995</v>
      </c>
      <c r="J50" s="361">
        <f t="shared" si="81"/>
        <v>987.8</v>
      </c>
      <c r="K50" s="362">
        <f t="shared" si="82"/>
        <v>1526.6</v>
      </c>
      <c r="L50" s="169"/>
      <c r="M50" s="174">
        <f t="shared" si="83"/>
        <v>332.59259259259261</v>
      </c>
      <c r="N50" s="169">
        <f t="shared" si="84"/>
        <v>8.911070250707759</v>
      </c>
      <c r="O50" s="207"/>
      <c r="P50" s="169">
        <f t="shared" si="85"/>
        <v>1.0693284300849311</v>
      </c>
      <c r="Q50" s="169">
        <f t="shared" si="86"/>
        <v>9.9803986807926908</v>
      </c>
      <c r="R50" s="169"/>
      <c r="S50" s="178"/>
      <c r="T50" s="178"/>
      <c r="U50" s="178"/>
      <c r="V50" s="225"/>
      <c r="W50" s="216"/>
    </row>
    <row r="51" spans="1:23" x14ac:dyDescent="0.35">
      <c r="A51" s="395"/>
      <c r="B51" s="378" t="s">
        <v>884</v>
      </c>
      <c r="C51" s="366" t="s">
        <v>885</v>
      </c>
      <c r="D51" s="377"/>
      <c r="E51" s="367">
        <v>0.23</v>
      </c>
      <c r="F51" s="367"/>
      <c r="G51" s="367">
        <v>1.4999999999999999E-2</v>
      </c>
      <c r="H51" s="360">
        <f t="shared" si="79"/>
        <v>0.245</v>
      </c>
      <c r="I51" s="361">
        <f t="shared" si="80"/>
        <v>0</v>
      </c>
      <c r="J51" s="361">
        <f t="shared" si="81"/>
        <v>0</v>
      </c>
      <c r="K51" s="362">
        <f t="shared" si="82"/>
        <v>0</v>
      </c>
      <c r="L51" s="169"/>
      <c r="M51" s="174">
        <f t="shared" si="83"/>
        <v>0</v>
      </c>
      <c r="N51" s="169">
        <f t="shared" si="84"/>
        <v>0</v>
      </c>
      <c r="O51" s="207"/>
      <c r="P51" s="169">
        <f t="shared" si="85"/>
        <v>0</v>
      </c>
      <c r="Q51" s="169">
        <f t="shared" si="86"/>
        <v>0</v>
      </c>
      <c r="R51" s="169"/>
      <c r="S51" s="178"/>
      <c r="T51" s="178"/>
      <c r="U51" s="178"/>
      <c r="V51" s="225"/>
      <c r="W51" s="216"/>
    </row>
    <row r="52" spans="1:23" x14ac:dyDescent="0.35">
      <c r="A52" s="395"/>
      <c r="B52" s="357" t="s">
        <v>866</v>
      </c>
      <c r="C52" s="366" t="s">
        <v>879</v>
      </c>
      <c r="D52" s="377">
        <v>8536</v>
      </c>
      <c r="E52" s="367">
        <v>0.97</v>
      </c>
      <c r="F52" s="367"/>
      <c r="G52" s="367">
        <f>200/3600</f>
        <v>5.5555555555555552E-2</v>
      </c>
      <c r="H52" s="360">
        <f t="shared" si="71"/>
        <v>1.0255555555555556</v>
      </c>
      <c r="I52" s="361">
        <f t="shared" si="72"/>
        <v>8279.92</v>
      </c>
      <c r="J52" s="361">
        <f t="shared" si="73"/>
        <v>474.22222222222217</v>
      </c>
      <c r="K52" s="362">
        <f t="shared" si="74"/>
        <v>8754.1422222222227</v>
      </c>
      <c r="L52" s="169"/>
      <c r="M52" s="174">
        <f t="shared" si="75"/>
        <v>316.14814814814815</v>
      </c>
      <c r="N52" s="169">
        <f t="shared" si="76"/>
        <v>51.099683169729587</v>
      </c>
      <c r="O52" s="207"/>
      <c r="P52" s="169">
        <f t="shared" si="77"/>
        <v>6.1319619803675502</v>
      </c>
      <c r="Q52" s="169">
        <f t="shared" si="78"/>
        <v>57.231645150097137</v>
      </c>
      <c r="R52" s="169"/>
      <c r="S52" s="178"/>
      <c r="T52" s="178"/>
      <c r="U52" s="178"/>
      <c r="V52" s="225"/>
      <c r="W52" s="216"/>
    </row>
    <row r="53" spans="1:23" x14ac:dyDescent="0.3">
      <c r="A53" s="395"/>
      <c r="B53" s="348" t="s">
        <v>861</v>
      </c>
      <c r="C53" s="366" t="s">
        <v>862</v>
      </c>
      <c r="D53" s="381">
        <v>1542</v>
      </c>
      <c r="E53" s="367">
        <f>5900/3600</f>
        <v>1.6388888888888888</v>
      </c>
      <c r="F53" s="367"/>
      <c r="G53" s="367">
        <v>0.11</v>
      </c>
      <c r="H53" s="360">
        <f t="shared" ref="H53" si="87">E53+G53</f>
        <v>1.7488888888888889</v>
      </c>
      <c r="I53" s="361">
        <f t="shared" si="72"/>
        <v>2527.1666666666665</v>
      </c>
      <c r="J53" s="361">
        <f t="shared" ref="J53" si="88">G53*D53</f>
        <v>169.62</v>
      </c>
      <c r="K53" s="362">
        <f t="shared" ref="K53" si="89">SUM(I53:J53)</f>
        <v>2696.7866666666664</v>
      </c>
      <c r="L53" s="169"/>
      <c r="M53" s="174">
        <f t="shared" ref="M53" si="90">D53/$X$5</f>
        <v>57.111111111111114</v>
      </c>
      <c r="N53" s="169">
        <v>60</v>
      </c>
      <c r="O53" s="207"/>
      <c r="P53" s="169">
        <f t="shared" ref="P53" si="91">N53*0.12</f>
        <v>7.1999999999999993</v>
      </c>
      <c r="Q53" s="169">
        <f t="shared" ref="Q53" si="92">N53+O53+P53</f>
        <v>67.2</v>
      </c>
      <c r="R53" s="178"/>
      <c r="S53" s="178"/>
      <c r="T53" s="178"/>
      <c r="U53" s="178"/>
      <c r="V53" s="225"/>
      <c r="W53" s="216"/>
    </row>
    <row r="54" spans="1:23" x14ac:dyDescent="0.35">
      <c r="A54" s="395"/>
      <c r="B54" s="356"/>
      <c r="C54" s="366"/>
      <c r="D54" s="368"/>
      <c r="E54" s="367"/>
      <c r="F54" s="367"/>
      <c r="G54" s="367"/>
      <c r="H54" s="361"/>
      <c r="I54" s="361"/>
      <c r="J54" s="361"/>
      <c r="K54" s="362"/>
      <c r="L54" s="169"/>
      <c r="M54" s="175"/>
      <c r="N54" s="169"/>
      <c r="O54" s="207"/>
      <c r="P54" s="169"/>
      <c r="Q54" s="169"/>
      <c r="R54" s="178"/>
      <c r="S54" s="178"/>
      <c r="T54" s="178"/>
      <c r="U54" s="178"/>
      <c r="V54" s="225"/>
      <c r="W54" s="216"/>
    </row>
    <row r="55" spans="1:23" x14ac:dyDescent="0.35">
      <c r="A55" s="374"/>
      <c r="B55" s="399" t="s">
        <v>172</v>
      </c>
      <c r="C55" s="399"/>
      <c r="D55" s="399"/>
      <c r="E55" s="399"/>
      <c r="F55" s="399"/>
      <c r="G55" s="399"/>
      <c r="H55" s="399"/>
      <c r="I55" s="400">
        <f>SUM(I3:I37)</f>
        <v>138412.1589296</v>
      </c>
      <c r="J55" s="400">
        <f>SUM(J3:J37)</f>
        <v>37758.267108355569</v>
      </c>
      <c r="K55" s="400">
        <f>SUM(K3:K37)</f>
        <v>176170.42603795556</v>
      </c>
      <c r="L55" s="188"/>
      <c r="M55" s="188"/>
      <c r="N55" s="169">
        <f>SUM(N3:N53)</f>
        <v>1494.1605994426122</v>
      </c>
      <c r="O55" s="169">
        <f t="shared" ref="O55:P55" si="93">SUM(O3:O53)</f>
        <v>92.729912463612081</v>
      </c>
      <c r="P55" s="169">
        <f t="shared" si="93"/>
        <v>184.62428753595034</v>
      </c>
      <c r="Q55" s="169"/>
      <c r="R55" s="178"/>
      <c r="S55" s="178"/>
      <c r="T55" s="178"/>
      <c r="U55" s="178"/>
      <c r="V55" s="225"/>
      <c r="W55" s="216"/>
    </row>
    <row r="56" spans="1:23" x14ac:dyDescent="0.35">
      <c r="A56" s="374"/>
      <c r="B56" s="399"/>
      <c r="C56" s="399"/>
      <c r="D56" s="399"/>
      <c r="E56" s="399"/>
      <c r="F56" s="399"/>
      <c r="G56" s="399"/>
      <c r="H56" s="399"/>
      <c r="I56" s="399"/>
      <c r="J56" s="399"/>
      <c r="K56" s="399"/>
      <c r="L56" s="184"/>
      <c r="M56" s="184"/>
      <c r="N56" s="401">
        <f>N55+O55+P55</f>
        <v>1771.5147994421745</v>
      </c>
      <c r="O56" s="401"/>
      <c r="P56" s="401"/>
      <c r="Q56" s="169">
        <f>SUM(Q3:Q55)</f>
        <v>1771.514799442175</v>
      </c>
      <c r="R56" s="328"/>
      <c r="S56" s="328"/>
      <c r="T56" s="328"/>
      <c r="U56" s="328"/>
      <c r="V56" s="329"/>
      <c r="W56" s="216"/>
    </row>
    <row r="57" spans="1:23" x14ac:dyDescent="0.35">
      <c r="B57" s="330"/>
      <c r="C57" s="330"/>
      <c r="D57" s="331"/>
      <c r="E57" s="331"/>
      <c r="F57" s="331"/>
      <c r="G57" s="331"/>
      <c r="H57" s="332"/>
      <c r="I57" s="332"/>
      <c r="J57" s="332"/>
      <c r="K57" s="333"/>
      <c r="L57" s="333"/>
      <c r="M57" s="333"/>
      <c r="N57" s="334"/>
      <c r="O57" s="335"/>
      <c r="P57" s="336"/>
      <c r="Q57" s="203"/>
      <c r="R57" s="332"/>
      <c r="S57" s="332"/>
      <c r="T57" s="332"/>
      <c r="U57" s="332"/>
      <c r="V57" s="335"/>
      <c r="W57" s="335"/>
    </row>
    <row r="58" spans="1:23" ht="12.5" customHeight="1" x14ac:dyDescent="0.35">
      <c r="B58" s="330"/>
      <c r="C58" s="330"/>
      <c r="D58" s="331"/>
      <c r="E58" s="331"/>
      <c r="F58" s="331"/>
      <c r="G58" s="331"/>
      <c r="H58" s="332"/>
      <c r="I58" s="332"/>
      <c r="J58" s="332"/>
      <c r="K58" s="332"/>
      <c r="L58" s="332"/>
      <c r="M58" s="332"/>
      <c r="N58" s="334"/>
      <c r="O58" s="335"/>
      <c r="P58" s="337"/>
      <c r="Q58" s="203"/>
      <c r="R58" s="332"/>
      <c r="S58" s="332"/>
      <c r="T58" s="332"/>
      <c r="U58" s="332"/>
      <c r="V58" s="335"/>
      <c r="W58" s="335"/>
    </row>
    <row r="59" spans="1:23" x14ac:dyDescent="0.35">
      <c r="E59" s="341"/>
    </row>
    <row r="63" spans="1:23" x14ac:dyDescent="0.35">
      <c r="G63" s="341"/>
    </row>
    <row r="65" spans="7:7" x14ac:dyDescent="0.35">
      <c r="G65" s="341">
        <v>81</v>
      </c>
    </row>
    <row r="66" spans="7:7" x14ac:dyDescent="0.35">
      <c r="G66" s="165">
        <f>160-19</f>
        <v>141</v>
      </c>
    </row>
    <row r="68" spans="7:7" x14ac:dyDescent="0.35">
      <c r="G68" s="342"/>
    </row>
  </sheetData>
  <mergeCells count="20">
    <mergeCell ref="P1:P2"/>
    <mergeCell ref="R1:R2"/>
    <mergeCell ref="O1:O2"/>
    <mergeCell ref="B55:H56"/>
    <mergeCell ref="I55:I56"/>
    <mergeCell ref="J55:J56"/>
    <mergeCell ref="K55:K56"/>
    <mergeCell ref="N56:P56"/>
    <mergeCell ref="B1:B2"/>
    <mergeCell ref="D1:D2"/>
    <mergeCell ref="E1:H1"/>
    <mergeCell ref="I1:K1"/>
    <mergeCell ref="N1:N2"/>
    <mergeCell ref="C1:C2"/>
    <mergeCell ref="A8:A25"/>
    <mergeCell ref="A26:A32"/>
    <mergeCell ref="A35:A45"/>
    <mergeCell ref="A1:A2"/>
    <mergeCell ref="A46:A54"/>
    <mergeCell ref="A3:A7"/>
  </mergeCells>
  <conditionalFormatting sqref="B3">
    <cfRule type="duplicateValues" dxfId="8" priority="3"/>
  </conditionalFormatting>
  <conditionalFormatting sqref="B17 B14 B37:B54">
    <cfRule type="duplicateValues" dxfId="7" priority="11"/>
  </conditionalFormatting>
  <conditionalFormatting sqref="B30:B32">
    <cfRule type="duplicateValues" dxfId="6" priority="8"/>
  </conditionalFormatting>
  <hyperlinks>
    <hyperlink ref="P1" r:id="rId1" display="LR@12%" xr:uid="{00000000-0004-0000-0300-000000000000}"/>
  </hyperlinks>
  <pageMargins left="0.7" right="0.7" top="0.75" bottom="0.75" header="0.3" footer="0.3"/>
  <pageSetup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C31A-963C-481C-AFF0-D0514BE544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N17"/>
  <sheetViews>
    <sheetView workbookViewId="0">
      <selection activeCell="F9" sqref="F9"/>
    </sheetView>
  </sheetViews>
  <sheetFormatPr defaultRowHeight="14.5" x14ac:dyDescent="0.35"/>
  <cols>
    <col min="4" max="4" width="16" bestFit="1" customWidth="1"/>
    <col min="6" max="6" width="11.26953125" customWidth="1"/>
    <col min="9" max="9" width="16.81640625" customWidth="1"/>
    <col min="10" max="12" width="9" customWidth="1"/>
  </cols>
  <sheetData>
    <row r="2" spans="4:14" x14ac:dyDescent="0.35">
      <c r="D2" s="42"/>
      <c r="E2" s="42"/>
      <c r="F2" s="42"/>
    </row>
    <row r="3" spans="4:14" x14ac:dyDescent="0.35">
      <c r="D3" s="96" t="s">
        <v>318</v>
      </c>
      <c r="E3" s="42"/>
      <c r="F3" s="42"/>
    </row>
    <row r="4" spans="4:14" x14ac:dyDescent="0.35">
      <c r="D4" s="42"/>
      <c r="E4" s="42"/>
      <c r="F4" s="42"/>
    </row>
    <row r="5" spans="4:14" x14ac:dyDescent="0.35">
      <c r="D5" s="42" t="s">
        <v>319</v>
      </c>
      <c r="E5" s="42">
        <v>35</v>
      </c>
      <c r="F5" s="42">
        <f>E5*3</f>
        <v>105</v>
      </c>
    </row>
    <row r="6" spans="4:14" x14ac:dyDescent="0.35">
      <c r="D6" s="42" t="s">
        <v>877</v>
      </c>
      <c r="E6" s="42">
        <v>3</v>
      </c>
      <c r="F6" s="346">
        <v>18</v>
      </c>
    </row>
    <row r="7" spans="4:14" x14ac:dyDescent="0.35">
      <c r="D7" s="42" t="s">
        <v>422</v>
      </c>
      <c r="E7" s="42"/>
      <c r="F7" s="42">
        <v>6</v>
      </c>
      <c r="I7" t="s">
        <v>370</v>
      </c>
      <c r="J7">
        <v>18</v>
      </c>
      <c r="L7" s="42"/>
      <c r="M7" s="42"/>
      <c r="N7" s="42"/>
    </row>
    <row r="8" spans="4:14" x14ac:dyDescent="0.35">
      <c r="D8" s="42" t="s">
        <v>320</v>
      </c>
      <c r="E8" s="42"/>
      <c r="F8" s="42">
        <v>8</v>
      </c>
      <c r="I8" t="s">
        <v>293</v>
      </c>
      <c r="J8">
        <v>3</v>
      </c>
      <c r="L8" s="42"/>
      <c r="M8" s="42"/>
      <c r="N8" s="42"/>
    </row>
    <row r="9" spans="4:14" x14ac:dyDescent="0.35">
      <c r="D9" s="42" t="s">
        <v>321</v>
      </c>
      <c r="E9" s="42"/>
      <c r="F9" s="42">
        <f>J11</f>
        <v>35</v>
      </c>
      <c r="I9" t="s">
        <v>292</v>
      </c>
      <c r="J9">
        <v>2</v>
      </c>
      <c r="L9" s="42"/>
      <c r="M9" s="42"/>
      <c r="N9" s="42"/>
    </row>
    <row r="10" spans="4:14" x14ac:dyDescent="0.35">
      <c r="D10" s="42"/>
      <c r="E10" s="42"/>
      <c r="F10" s="42"/>
      <c r="I10" t="s">
        <v>615</v>
      </c>
      <c r="J10">
        <v>12</v>
      </c>
      <c r="L10" s="42"/>
      <c r="M10" s="42"/>
      <c r="N10" s="42"/>
    </row>
    <row r="11" spans="4:14" x14ac:dyDescent="0.35">
      <c r="D11" s="42"/>
      <c r="E11" s="42"/>
      <c r="F11" s="42"/>
      <c r="J11">
        <f>SUM(J5:J10)</f>
        <v>35</v>
      </c>
      <c r="L11" s="42"/>
      <c r="M11" s="42"/>
      <c r="N11" s="42"/>
    </row>
    <row r="12" spans="4:14" x14ac:dyDescent="0.35">
      <c r="D12" s="42"/>
      <c r="E12" s="42"/>
      <c r="F12" s="42"/>
    </row>
    <row r="13" spans="4:14" x14ac:dyDescent="0.35">
      <c r="D13" s="42"/>
      <c r="E13" s="42"/>
      <c r="F13" s="206">
        <f>SUM(F5:F12)</f>
        <v>172</v>
      </c>
    </row>
    <row r="14" spans="4:14" x14ac:dyDescent="0.35">
      <c r="D14" s="42"/>
      <c r="E14" s="42"/>
      <c r="F14" s="42" t="s">
        <v>419</v>
      </c>
      <c r="G14" s="109">
        <f>(F13)/6</f>
        <v>28.666666666666668</v>
      </c>
    </row>
    <row r="15" spans="4:14" x14ac:dyDescent="0.35">
      <c r="D15" s="42"/>
      <c r="E15" s="42"/>
      <c r="F15" s="42" t="s">
        <v>420</v>
      </c>
      <c r="G15" s="98">
        <f>ROUNDUP(G14+F13,0)</f>
        <v>201</v>
      </c>
    </row>
    <row r="16" spans="4:14" x14ac:dyDescent="0.35">
      <c r="D16" s="42"/>
      <c r="E16" s="42"/>
      <c r="F16" t="s">
        <v>427</v>
      </c>
      <c r="G16">
        <f>ROUNDUP(G15*0.12,0)</f>
        <v>25</v>
      </c>
    </row>
    <row r="17" spans="4:7" x14ac:dyDescent="0.35">
      <c r="D17" s="42"/>
      <c r="E17" s="42"/>
      <c r="F17" s="42" t="s">
        <v>421</v>
      </c>
      <c r="G17" s="286">
        <f>G16+G15</f>
        <v>226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0FC1-F616-4A86-B643-349292430E89}">
  <dimension ref="F5:M14"/>
  <sheetViews>
    <sheetView workbookViewId="0">
      <selection activeCell="N9" sqref="N9"/>
    </sheetView>
  </sheetViews>
  <sheetFormatPr defaultRowHeight="14.5" x14ac:dyDescent="0.35"/>
  <cols>
    <col min="6" max="6" width="21.7265625" bestFit="1" customWidth="1"/>
    <col min="7" max="7" width="14" customWidth="1"/>
    <col min="8" max="8" width="9.54296875" bestFit="1" customWidth="1"/>
    <col min="9" max="9" width="8.26953125" bestFit="1" customWidth="1"/>
    <col min="10" max="10" width="9.36328125" bestFit="1" customWidth="1"/>
    <col min="13" max="13" width="9.6328125" bestFit="1" customWidth="1"/>
  </cols>
  <sheetData>
    <row r="5" spans="6:13" x14ac:dyDescent="0.35">
      <c r="F5" s="390" t="s">
        <v>791</v>
      </c>
      <c r="G5" s="390"/>
      <c r="H5" s="390"/>
      <c r="I5" s="390"/>
      <c r="J5" s="390"/>
    </row>
    <row r="6" spans="6:13" x14ac:dyDescent="0.35">
      <c r="F6" s="42"/>
      <c r="G6" s="102" t="s">
        <v>795</v>
      </c>
      <c r="H6" s="102" t="s">
        <v>886</v>
      </c>
      <c r="I6" s="102" t="s">
        <v>796</v>
      </c>
      <c r="J6" s="102" t="s">
        <v>792</v>
      </c>
    </row>
    <row r="7" spans="6:13" x14ac:dyDescent="0.35">
      <c r="F7" s="42" t="s">
        <v>746</v>
      </c>
      <c r="G7" s="42">
        <v>15</v>
      </c>
      <c r="H7" s="352">
        <v>20</v>
      </c>
      <c r="I7" s="42">
        <v>12</v>
      </c>
      <c r="J7" s="42">
        <v>8</v>
      </c>
      <c r="M7">
        <f>2100/55</f>
        <v>38.18181818181818</v>
      </c>
    </row>
    <row r="8" spans="6:13" x14ac:dyDescent="0.35">
      <c r="F8" s="42" t="s">
        <v>797</v>
      </c>
      <c r="G8" s="42">
        <v>6</v>
      </c>
      <c r="H8" s="352">
        <v>10</v>
      </c>
      <c r="I8" s="42"/>
      <c r="J8" s="42">
        <v>3</v>
      </c>
    </row>
    <row r="9" spans="6:13" x14ac:dyDescent="0.35">
      <c r="F9" s="42" t="s">
        <v>793</v>
      </c>
      <c r="G9" s="42">
        <v>4</v>
      </c>
      <c r="H9" s="352">
        <v>4</v>
      </c>
      <c r="I9" s="42">
        <v>6</v>
      </c>
      <c r="J9" s="42">
        <v>12</v>
      </c>
    </row>
    <row r="10" spans="6:13" x14ac:dyDescent="0.35">
      <c r="F10" s="42" t="s">
        <v>798</v>
      </c>
      <c r="G10" s="42">
        <v>7</v>
      </c>
      <c r="H10" s="352">
        <v>7</v>
      </c>
      <c r="I10" s="42">
        <v>7</v>
      </c>
      <c r="J10" s="42">
        <v>3</v>
      </c>
    </row>
    <row r="11" spans="6:13" x14ac:dyDescent="0.35">
      <c r="F11" s="42"/>
      <c r="G11" s="42"/>
      <c r="H11" s="42"/>
      <c r="I11" s="42"/>
      <c r="J11" s="42"/>
    </row>
    <row r="12" spans="6:13" x14ac:dyDescent="0.35">
      <c r="F12" s="284" t="s">
        <v>794</v>
      </c>
      <c r="G12" s="284">
        <f>SUM(G7:G11)</f>
        <v>32</v>
      </c>
      <c r="H12" s="284">
        <f>SUM(H7:H11)</f>
        <v>41</v>
      </c>
      <c r="I12" s="284">
        <f>SUM(I7:I11)</f>
        <v>25</v>
      </c>
      <c r="J12" s="284">
        <f>SUM(J7:J11)</f>
        <v>26</v>
      </c>
      <c r="K12" s="286">
        <f>SUM(H12:J12)</f>
        <v>92</v>
      </c>
    </row>
    <row r="13" spans="6:13" x14ac:dyDescent="0.35">
      <c r="F13" s="42"/>
      <c r="G13" s="42"/>
      <c r="H13" s="42"/>
      <c r="I13" s="42"/>
      <c r="J13" s="42"/>
    </row>
    <row r="14" spans="6:13" x14ac:dyDescent="0.35">
      <c r="F14" s="285" t="s">
        <v>172</v>
      </c>
      <c r="G14" s="405">
        <f>K12</f>
        <v>92</v>
      </c>
      <c r="H14" s="406"/>
      <c r="I14" s="406"/>
      <c r="J14" s="407"/>
    </row>
  </sheetData>
  <mergeCells count="2">
    <mergeCell ref="F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71"/>
  <sheetViews>
    <sheetView topLeftCell="A27" zoomScale="115" zoomScaleNormal="115" workbookViewId="0">
      <selection activeCell="A45" sqref="A45:K45"/>
    </sheetView>
  </sheetViews>
  <sheetFormatPr defaultRowHeight="14.5" x14ac:dyDescent="0.35"/>
  <cols>
    <col min="1" max="1" width="12.90625" bestFit="1" customWidth="1"/>
    <col min="2" max="2" width="15.08984375" bestFit="1" customWidth="1"/>
    <col min="3" max="3" width="6.1796875" bestFit="1" customWidth="1"/>
    <col min="4" max="4" width="6.1796875" hidden="1" customWidth="1"/>
    <col min="5" max="5" width="7.26953125" bestFit="1" customWidth="1"/>
    <col min="6" max="6" width="13.54296875" hidden="1" customWidth="1"/>
    <col min="7" max="7" width="8.08984375" bestFit="1" customWidth="1"/>
    <col min="8" max="8" width="8.90625" bestFit="1" customWidth="1"/>
    <col min="9" max="9" width="7.36328125" bestFit="1" customWidth="1"/>
    <col min="10" max="10" width="6.81640625" bestFit="1" customWidth="1"/>
    <col min="11" max="11" width="10.81640625" bestFit="1" customWidth="1"/>
    <col min="12" max="12" width="14.26953125" bestFit="1" customWidth="1"/>
    <col min="13" max="13" width="32.453125" customWidth="1"/>
    <col min="14" max="14" width="11.54296875" bestFit="1" customWidth="1"/>
    <col min="15" max="15" width="11" bestFit="1" customWidth="1"/>
  </cols>
  <sheetData>
    <row r="1" spans="1:13" hidden="1" x14ac:dyDescent="0.35">
      <c r="A1" s="457" t="s">
        <v>358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3" hidden="1" x14ac:dyDescent="0.35">
      <c r="A2" s="410" t="s">
        <v>293</v>
      </c>
      <c r="B2" s="99" t="s">
        <v>359</v>
      </c>
      <c r="C2" s="99" t="s">
        <v>360</v>
      </c>
      <c r="D2" s="99"/>
      <c r="E2" s="100" t="s">
        <v>168</v>
      </c>
      <c r="F2" s="100"/>
      <c r="G2" s="100" t="s">
        <v>361</v>
      </c>
      <c r="H2" s="100" t="s">
        <v>362</v>
      </c>
      <c r="I2" s="100" t="s">
        <v>363</v>
      </c>
      <c r="J2" s="100" t="s">
        <v>364</v>
      </c>
      <c r="K2" s="100" t="s">
        <v>365</v>
      </c>
      <c r="L2" s="100" t="s">
        <v>366</v>
      </c>
    </row>
    <row r="3" spans="1:13" hidden="1" x14ac:dyDescent="0.35">
      <c r="A3" s="410"/>
      <c r="B3" s="101" t="s">
        <v>367</v>
      </c>
      <c r="C3" s="101">
        <v>4</v>
      </c>
      <c r="D3" s="101"/>
      <c r="E3" s="101">
        <v>15</v>
      </c>
      <c r="F3" s="101"/>
      <c r="G3" s="101">
        <f>E3*C3</f>
        <v>60</v>
      </c>
      <c r="H3" s="101">
        <v>2</v>
      </c>
      <c r="I3" s="102">
        <f>8/(G3/3600)*H3</f>
        <v>960</v>
      </c>
      <c r="J3" s="102">
        <f>I3*3*0.8</f>
        <v>2304</v>
      </c>
      <c r="K3" s="460">
        <f>MIN(J3:J5)</f>
        <v>1645.7142857142856</v>
      </c>
      <c r="L3" s="463">
        <f>K3*25</f>
        <v>41142.857142857138</v>
      </c>
    </row>
    <row r="4" spans="1:13" hidden="1" x14ac:dyDescent="0.35">
      <c r="A4" s="410"/>
      <c r="B4" s="101" t="s">
        <v>368</v>
      </c>
      <c r="C4" s="101">
        <v>4</v>
      </c>
      <c r="D4" s="101"/>
      <c r="E4" s="101">
        <v>15</v>
      </c>
      <c r="F4" s="101"/>
      <c r="G4" s="101">
        <f>E4*C4</f>
        <v>60</v>
      </c>
      <c r="H4" s="101">
        <v>2</v>
      </c>
      <c r="I4" s="102">
        <f t="shared" ref="I4:I5" si="0">8/(G4/3600)*H4</f>
        <v>960</v>
      </c>
      <c r="J4" s="102">
        <f t="shared" ref="J4:J5" si="1">I4*3*0.8</f>
        <v>2304</v>
      </c>
      <c r="K4" s="461"/>
      <c r="L4" s="464"/>
      <c r="M4" t="s">
        <v>328</v>
      </c>
    </row>
    <row r="5" spans="1:13" hidden="1" x14ac:dyDescent="0.35">
      <c r="A5" s="410"/>
      <c r="B5" s="101" t="s">
        <v>369</v>
      </c>
      <c r="C5" s="101">
        <v>4</v>
      </c>
      <c r="D5" s="101"/>
      <c r="E5" s="101">
        <v>21</v>
      </c>
      <c r="F5" s="101"/>
      <c r="G5" s="101">
        <f>E5*C5</f>
        <v>84</v>
      </c>
      <c r="H5" s="101">
        <v>2</v>
      </c>
      <c r="I5" s="103">
        <f t="shared" si="0"/>
        <v>685.71428571428567</v>
      </c>
      <c r="J5" s="103">
        <f t="shared" si="1"/>
        <v>1645.7142857142856</v>
      </c>
      <c r="K5" s="462"/>
      <c r="L5" s="465"/>
    </row>
    <row r="6" spans="1:13" hidden="1" x14ac:dyDescent="0.35">
      <c r="A6" s="410" t="s">
        <v>370</v>
      </c>
      <c r="B6" s="102" t="s">
        <v>368</v>
      </c>
      <c r="C6" s="102">
        <v>4</v>
      </c>
      <c r="D6" s="102"/>
      <c r="E6" s="102">
        <v>20</v>
      </c>
      <c r="F6" s="102"/>
      <c r="G6" s="102">
        <f>C6*E6</f>
        <v>80</v>
      </c>
      <c r="H6" s="102"/>
      <c r="I6" s="102">
        <f>8/(G6/3600)*H6</f>
        <v>0</v>
      </c>
      <c r="J6" s="102">
        <f>I6*3*0.8</f>
        <v>0</v>
      </c>
      <c r="K6" s="458">
        <f>MIN(J6:J7)</f>
        <v>0</v>
      </c>
      <c r="L6" s="412">
        <f>K6*26</f>
        <v>0</v>
      </c>
    </row>
    <row r="7" spans="1:13" hidden="1" x14ac:dyDescent="0.35">
      <c r="A7" s="410"/>
      <c r="B7" s="102" t="s">
        <v>367</v>
      </c>
      <c r="C7" s="102">
        <v>4</v>
      </c>
      <c r="D7" s="102"/>
      <c r="E7" s="102">
        <v>15</v>
      </c>
      <c r="F7" s="102"/>
      <c r="G7" s="102">
        <f>C7*E7</f>
        <v>60</v>
      </c>
      <c r="H7" s="102"/>
      <c r="I7" s="102">
        <f>8/(G7/3600)*H7</f>
        <v>0</v>
      </c>
      <c r="J7" s="102">
        <f>I7*3*0.8</f>
        <v>0</v>
      </c>
      <c r="K7" s="459"/>
      <c r="L7" s="412"/>
    </row>
    <row r="8" spans="1:13" hidden="1" x14ac:dyDescent="0.35">
      <c r="A8" s="410" t="s">
        <v>371</v>
      </c>
      <c r="B8" s="102" t="s">
        <v>367</v>
      </c>
      <c r="C8" s="102">
        <v>2</v>
      </c>
      <c r="D8" s="102"/>
      <c r="E8" s="102">
        <v>13</v>
      </c>
      <c r="F8" s="102"/>
      <c r="G8" s="101">
        <f>E8*C8</f>
        <v>26</v>
      </c>
      <c r="H8" s="102">
        <v>1</v>
      </c>
      <c r="I8" s="103">
        <f>8/(G8/3600)*H8</f>
        <v>1107.6923076923078</v>
      </c>
      <c r="J8" s="103">
        <f>I8*3*0.8</f>
        <v>2658.461538461539</v>
      </c>
      <c r="K8" s="449">
        <f>MIN(J8:J9)</f>
        <v>2658.461538461539</v>
      </c>
      <c r="L8" s="412">
        <f>K8*26</f>
        <v>69120.000000000015</v>
      </c>
    </row>
    <row r="9" spans="1:13" hidden="1" x14ac:dyDescent="0.35">
      <c r="A9" s="410"/>
      <c r="B9" s="102" t="s">
        <v>372</v>
      </c>
      <c r="C9" s="102">
        <v>2</v>
      </c>
      <c r="D9" s="102"/>
      <c r="E9" s="102">
        <v>25</v>
      </c>
      <c r="F9" s="102"/>
      <c r="G9" s="101">
        <f>E9*C9</f>
        <v>50</v>
      </c>
      <c r="H9" s="102">
        <v>2</v>
      </c>
      <c r="I9" s="102">
        <f>8/(G9/3600)*H9</f>
        <v>1152</v>
      </c>
      <c r="J9" s="102">
        <f t="shared" ref="J9" si="2">I9*3*0.8</f>
        <v>2764.8</v>
      </c>
      <c r="K9" s="450"/>
      <c r="L9" s="412"/>
    </row>
    <row r="10" spans="1:13" hidden="1" x14ac:dyDescent="0.35">
      <c r="A10" s="410" t="s">
        <v>296</v>
      </c>
      <c r="B10" s="414" t="s">
        <v>368</v>
      </c>
      <c r="C10" s="452">
        <v>1</v>
      </c>
      <c r="D10" s="104"/>
      <c r="E10" s="452">
        <v>40</v>
      </c>
      <c r="F10" s="104"/>
      <c r="G10" s="452">
        <f>E10*C10</f>
        <v>40</v>
      </c>
      <c r="H10" s="452">
        <v>2</v>
      </c>
      <c r="I10" s="454">
        <f>8/(G10/3600)*H10</f>
        <v>1440</v>
      </c>
      <c r="J10" s="454">
        <f>I10*3*0.8</f>
        <v>3456</v>
      </c>
      <c r="K10" s="449">
        <f>J10</f>
        <v>3456</v>
      </c>
      <c r="L10" s="412">
        <f>K10*26</f>
        <v>89856</v>
      </c>
    </row>
    <row r="11" spans="1:13" hidden="1" x14ac:dyDescent="0.35">
      <c r="A11" s="410"/>
      <c r="B11" s="414"/>
      <c r="C11" s="453"/>
      <c r="D11" s="105"/>
      <c r="E11" s="453"/>
      <c r="F11" s="105"/>
      <c r="G11" s="453"/>
      <c r="H11" s="453"/>
      <c r="I11" s="455"/>
      <c r="J11" s="455"/>
      <c r="K11" s="450"/>
      <c r="L11" s="412"/>
    </row>
    <row r="12" spans="1:13" hidden="1" x14ac:dyDescent="0.35">
      <c r="A12" s="456" t="s">
        <v>373</v>
      </c>
      <c r="B12" s="421"/>
      <c r="C12" s="421"/>
      <c r="D12" s="421"/>
      <c r="E12" s="421"/>
      <c r="F12" s="421"/>
      <c r="G12" s="421"/>
      <c r="H12" s="106">
        <f>SUM(H3:H11)</f>
        <v>11</v>
      </c>
      <c r="I12" s="107"/>
      <c r="J12" s="107"/>
      <c r="K12" s="59"/>
      <c r="L12" s="108">
        <f>SUM(L3:L11)</f>
        <v>200118.85714285716</v>
      </c>
    </row>
    <row r="13" spans="1:13" hidden="1" x14ac:dyDescent="0.35"/>
    <row r="14" spans="1:13" hidden="1" x14ac:dyDescent="0.35"/>
    <row r="15" spans="1:13" hidden="1" x14ac:dyDescent="0.35">
      <c r="A15" s="457" t="s">
        <v>374</v>
      </c>
      <c r="B15" s="457"/>
      <c r="C15" s="457"/>
      <c r="D15" s="457"/>
      <c r="E15" s="457"/>
      <c r="F15" s="457"/>
      <c r="G15" s="457"/>
      <c r="H15" s="457"/>
      <c r="I15" s="457"/>
      <c r="J15" s="457"/>
      <c r="K15" s="457"/>
      <c r="L15" s="457"/>
    </row>
    <row r="16" spans="1:13" hidden="1" x14ac:dyDescent="0.35">
      <c r="A16" s="410" t="s">
        <v>293</v>
      </c>
      <c r="B16" s="99" t="s">
        <v>359</v>
      </c>
      <c r="C16" s="99" t="s">
        <v>360</v>
      </c>
      <c r="D16" s="99"/>
      <c r="E16" s="100" t="s">
        <v>168</v>
      </c>
      <c r="F16" s="100"/>
      <c r="G16" s="100" t="s">
        <v>361</v>
      </c>
      <c r="H16" s="100" t="s">
        <v>362</v>
      </c>
      <c r="I16" s="100" t="s">
        <v>363</v>
      </c>
      <c r="J16" s="100" t="s">
        <v>364</v>
      </c>
      <c r="K16" s="100" t="s">
        <v>365</v>
      </c>
      <c r="L16" s="100" t="s">
        <v>366</v>
      </c>
    </row>
    <row r="17" spans="1:14" hidden="1" x14ac:dyDescent="0.35">
      <c r="A17" s="410"/>
      <c r="B17" s="101" t="s">
        <v>367</v>
      </c>
      <c r="C17" s="101">
        <v>4</v>
      </c>
      <c r="D17" s="101"/>
      <c r="E17" s="101">
        <v>15</v>
      </c>
      <c r="F17" s="101"/>
      <c r="G17" s="101">
        <f>E17*C17</f>
        <v>60</v>
      </c>
      <c r="H17" s="101">
        <v>2</v>
      </c>
      <c r="I17" s="102">
        <f>8/(G17/3600)*H17</f>
        <v>960</v>
      </c>
      <c r="J17" s="102">
        <f>I17*3*0.8</f>
        <v>2304</v>
      </c>
      <c r="K17" s="460">
        <f>MIN(J17:J19)</f>
        <v>1920</v>
      </c>
      <c r="L17" s="463">
        <f>K17*26</f>
        <v>49920</v>
      </c>
      <c r="N17" s="109">
        <f>L26-L12</f>
        <v>-4156.675324675336</v>
      </c>
    </row>
    <row r="18" spans="1:14" hidden="1" x14ac:dyDescent="0.35">
      <c r="A18" s="410"/>
      <c r="B18" s="101" t="s">
        <v>368</v>
      </c>
      <c r="C18" s="101">
        <v>4</v>
      </c>
      <c r="D18" s="101"/>
      <c r="E18" s="101">
        <v>15</v>
      </c>
      <c r="F18" s="101"/>
      <c r="G18" s="101">
        <f>E18*C18</f>
        <v>60</v>
      </c>
      <c r="H18" s="101">
        <v>2</v>
      </c>
      <c r="I18" s="102">
        <f t="shared" ref="I18:I19" si="3">8/(G18/3600)*H18</f>
        <v>960</v>
      </c>
      <c r="J18" s="102">
        <f t="shared" ref="J18:J19" si="4">I18*3*0.8</f>
        <v>2304</v>
      </c>
      <c r="K18" s="461"/>
      <c r="L18" s="464"/>
      <c r="N18">
        <f>N17/L12</f>
        <v>-2.0771032695374857E-2</v>
      </c>
    </row>
    <row r="19" spans="1:14" hidden="1" x14ac:dyDescent="0.35">
      <c r="A19" s="410"/>
      <c r="B19" s="101" t="s">
        <v>369</v>
      </c>
      <c r="C19" s="101">
        <v>4</v>
      </c>
      <c r="D19" s="101"/>
      <c r="E19" s="101">
        <v>18</v>
      </c>
      <c r="F19" s="101"/>
      <c r="G19" s="101">
        <f>E19*C19</f>
        <v>72</v>
      </c>
      <c r="H19" s="101">
        <v>2</v>
      </c>
      <c r="I19" s="103">
        <f t="shared" si="3"/>
        <v>800</v>
      </c>
      <c r="J19" s="103">
        <f t="shared" si="4"/>
        <v>1920</v>
      </c>
      <c r="K19" s="462"/>
      <c r="L19" s="465"/>
      <c r="N19" s="93">
        <f>N18</f>
        <v>-2.0771032695374857E-2</v>
      </c>
    </row>
    <row r="20" spans="1:14" hidden="1" x14ac:dyDescent="0.35">
      <c r="A20" s="410" t="s">
        <v>370</v>
      </c>
      <c r="B20" s="102" t="s">
        <v>368</v>
      </c>
      <c r="C20" s="102">
        <v>4</v>
      </c>
      <c r="D20" s="102"/>
      <c r="E20" s="102">
        <v>20</v>
      </c>
      <c r="F20" s="102"/>
      <c r="G20" s="102">
        <f>C20*E20</f>
        <v>80</v>
      </c>
      <c r="H20" s="102">
        <v>1</v>
      </c>
      <c r="I20" s="102">
        <f>8/(G20/3600)*H20</f>
        <v>360</v>
      </c>
      <c r="J20" s="102">
        <f>I20*3*0.8</f>
        <v>864</v>
      </c>
      <c r="K20" s="458">
        <f>MIN(J20:J21)</f>
        <v>864</v>
      </c>
      <c r="L20" s="412">
        <f>K20*26</f>
        <v>22464</v>
      </c>
    </row>
    <row r="21" spans="1:14" hidden="1" x14ac:dyDescent="0.35">
      <c r="A21" s="410"/>
      <c r="B21" s="102" t="s">
        <v>367</v>
      </c>
      <c r="C21" s="102">
        <v>4</v>
      </c>
      <c r="D21" s="102"/>
      <c r="E21" s="102">
        <v>15</v>
      </c>
      <c r="F21" s="102"/>
      <c r="G21" s="102">
        <f>C21*E21</f>
        <v>60</v>
      </c>
      <c r="H21" s="102">
        <v>1</v>
      </c>
      <c r="I21" s="102">
        <f>8/(G21/3600)*H21</f>
        <v>480</v>
      </c>
      <c r="J21" s="102">
        <f>I21*3*0.8</f>
        <v>1152</v>
      </c>
      <c r="K21" s="459"/>
      <c r="L21" s="412"/>
    </row>
    <row r="22" spans="1:14" hidden="1" x14ac:dyDescent="0.35">
      <c r="A22" s="410" t="s">
        <v>371</v>
      </c>
      <c r="B22" s="102" t="s">
        <v>367</v>
      </c>
      <c r="C22" s="102">
        <v>2</v>
      </c>
      <c r="D22" s="102"/>
      <c r="E22" s="102">
        <v>13</v>
      </c>
      <c r="F22" s="102"/>
      <c r="G22" s="101">
        <f>E22*C22</f>
        <v>26</v>
      </c>
      <c r="H22" s="102">
        <v>1</v>
      </c>
      <c r="I22" s="103">
        <f>8/(G22/3600)*H22</f>
        <v>1107.6923076923078</v>
      </c>
      <c r="J22" s="103">
        <f>I22*3*0.8</f>
        <v>2658.461538461539</v>
      </c>
      <c r="K22" s="449">
        <f>MIN(J22:J23)</f>
        <v>2658.461538461539</v>
      </c>
      <c r="L22" s="412">
        <f>K22*26</f>
        <v>69120.000000000015</v>
      </c>
    </row>
    <row r="23" spans="1:14" hidden="1" x14ac:dyDescent="0.35">
      <c r="A23" s="410"/>
      <c r="B23" s="102" t="s">
        <v>372</v>
      </c>
      <c r="C23" s="102">
        <v>2</v>
      </c>
      <c r="D23" s="102"/>
      <c r="E23" s="102">
        <v>25</v>
      </c>
      <c r="F23" s="102"/>
      <c r="G23" s="101">
        <f>E23*C23</f>
        <v>50</v>
      </c>
      <c r="H23" s="102">
        <v>2</v>
      </c>
      <c r="I23" s="102">
        <f>8/(G23/3600)*H23</f>
        <v>1152</v>
      </c>
      <c r="J23" s="102">
        <f t="shared" ref="J23" si="5">I23*3*0.8</f>
        <v>2764.8</v>
      </c>
      <c r="K23" s="450"/>
      <c r="L23" s="412"/>
    </row>
    <row r="24" spans="1:14" hidden="1" x14ac:dyDescent="0.35">
      <c r="A24" s="410" t="s">
        <v>296</v>
      </c>
      <c r="B24" s="414" t="s">
        <v>368</v>
      </c>
      <c r="C24" s="452">
        <v>1</v>
      </c>
      <c r="D24" s="104"/>
      <c r="E24" s="452">
        <v>33</v>
      </c>
      <c r="F24" s="104"/>
      <c r="G24" s="452">
        <f>E24*C24</f>
        <v>33</v>
      </c>
      <c r="H24" s="452">
        <v>1</v>
      </c>
      <c r="I24" s="454">
        <f>8/(G24/3600)*H24</f>
        <v>872.72727272727275</v>
      </c>
      <c r="J24" s="454">
        <f>I24*3*0.8</f>
        <v>2094.5454545454545</v>
      </c>
      <c r="K24" s="449">
        <f>J24</f>
        <v>2094.5454545454545</v>
      </c>
      <c r="L24" s="412">
        <f>K24*26</f>
        <v>54458.181818181816</v>
      </c>
    </row>
    <row r="25" spans="1:14" hidden="1" x14ac:dyDescent="0.35">
      <c r="A25" s="410"/>
      <c r="B25" s="414"/>
      <c r="C25" s="453"/>
      <c r="D25" s="105"/>
      <c r="E25" s="453"/>
      <c r="F25" s="105"/>
      <c r="G25" s="453"/>
      <c r="H25" s="453"/>
      <c r="I25" s="455"/>
      <c r="J25" s="455"/>
      <c r="K25" s="450"/>
      <c r="L25" s="412"/>
    </row>
    <row r="26" spans="1:14" hidden="1" x14ac:dyDescent="0.35">
      <c r="A26" s="456" t="s">
        <v>373</v>
      </c>
      <c r="B26" s="421"/>
      <c r="C26" s="421"/>
      <c r="D26" s="421"/>
      <c r="E26" s="421"/>
      <c r="F26" s="421"/>
      <c r="G26" s="421"/>
      <c r="H26" s="106">
        <f>SUM(H17:H25)</f>
        <v>12</v>
      </c>
      <c r="I26" s="107"/>
      <c r="J26" s="107"/>
      <c r="K26" s="59"/>
      <c r="L26" s="108">
        <f>SUM(L17:L25)</f>
        <v>195962.18181818182</v>
      </c>
    </row>
    <row r="28" spans="1:14" x14ac:dyDescent="0.35">
      <c r="A28" s="451" t="s">
        <v>375</v>
      </c>
      <c r="B28" s="451"/>
      <c r="C28" s="451"/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</row>
    <row r="29" spans="1:14" x14ac:dyDescent="0.35">
      <c r="A29" s="445" t="s">
        <v>293</v>
      </c>
      <c r="B29" s="110" t="s">
        <v>359</v>
      </c>
      <c r="C29" s="111" t="s">
        <v>360</v>
      </c>
      <c r="D29" s="111" t="s">
        <v>376</v>
      </c>
      <c r="E29" s="112" t="s">
        <v>377</v>
      </c>
      <c r="F29" s="112" t="s">
        <v>378</v>
      </c>
      <c r="G29" s="112" t="s">
        <v>361</v>
      </c>
      <c r="H29" s="112" t="s">
        <v>362</v>
      </c>
      <c r="I29" s="112" t="s">
        <v>363</v>
      </c>
      <c r="J29" s="112" t="s">
        <v>364</v>
      </c>
      <c r="K29" s="112" t="s">
        <v>365</v>
      </c>
      <c r="L29" s="113" t="s">
        <v>366</v>
      </c>
      <c r="M29" s="112" t="s">
        <v>379</v>
      </c>
      <c r="N29" s="114" t="s">
        <v>380</v>
      </c>
    </row>
    <row r="30" spans="1:14" ht="29" customHeight="1" x14ac:dyDescent="0.35">
      <c r="A30" s="445"/>
      <c r="B30" s="115" t="s">
        <v>367</v>
      </c>
      <c r="C30" s="116">
        <v>4</v>
      </c>
      <c r="D30" s="116">
        <v>12</v>
      </c>
      <c r="E30" s="116">
        <v>9</v>
      </c>
      <c r="F30" s="117">
        <f>(D30-E30)/D30</f>
        <v>0.25</v>
      </c>
      <c r="G30" s="116">
        <f t="shared" ref="G30:G35" si="6">E30*C30</f>
        <v>36</v>
      </c>
      <c r="H30" s="116">
        <v>2.5</v>
      </c>
      <c r="I30" s="118">
        <f>8/(G30/3600)*H30</f>
        <v>2000</v>
      </c>
      <c r="J30" s="118">
        <f>I30*3*0.8</f>
        <v>4800</v>
      </c>
      <c r="K30" s="446">
        <f>MIN(J30:J32)</f>
        <v>2541.1764705882351</v>
      </c>
      <c r="L30" s="430">
        <f>K30*30</f>
        <v>76235.294117647049</v>
      </c>
      <c r="M30" s="438" t="s">
        <v>381</v>
      </c>
      <c r="N30" s="435">
        <v>70000</v>
      </c>
    </row>
    <row r="31" spans="1:14" x14ac:dyDescent="0.35">
      <c r="A31" s="445"/>
      <c r="B31" s="115" t="s">
        <v>368</v>
      </c>
      <c r="C31" s="116">
        <v>4</v>
      </c>
      <c r="D31" s="116">
        <v>25</v>
      </c>
      <c r="E31" s="116">
        <v>17</v>
      </c>
      <c r="F31" s="117">
        <f t="shared" ref="F31:F40" si="7">(D31-E31)/D31</f>
        <v>0.32</v>
      </c>
      <c r="G31" s="116">
        <f t="shared" si="6"/>
        <v>68</v>
      </c>
      <c r="H31" s="116">
        <v>2.5</v>
      </c>
      <c r="I31" s="118">
        <f t="shared" ref="I31:I32" si="8">8/(G31/3600)*H31</f>
        <v>1058.8235294117646</v>
      </c>
      <c r="J31" s="118">
        <f t="shared" ref="J31:J32" si="9">I31*3*0.8</f>
        <v>2541.1764705882351</v>
      </c>
      <c r="K31" s="446"/>
      <c r="L31" s="430"/>
      <c r="M31" s="438"/>
      <c r="N31" s="435"/>
    </row>
    <row r="32" spans="1:14" x14ac:dyDescent="0.35">
      <c r="A32" s="445"/>
      <c r="B32" s="115" t="s">
        <v>369</v>
      </c>
      <c r="C32" s="116">
        <v>4</v>
      </c>
      <c r="D32" s="116">
        <v>18</v>
      </c>
      <c r="E32" s="116">
        <v>17</v>
      </c>
      <c r="F32" s="117">
        <f t="shared" si="7"/>
        <v>5.5555555555555552E-2</v>
      </c>
      <c r="G32" s="116">
        <f t="shared" si="6"/>
        <v>68</v>
      </c>
      <c r="H32" s="116">
        <v>3</v>
      </c>
      <c r="I32" s="118">
        <f t="shared" si="8"/>
        <v>1270.5882352941176</v>
      </c>
      <c r="J32" s="118">
        <f t="shared" si="9"/>
        <v>3049.4117647058824</v>
      </c>
      <c r="K32" s="446"/>
      <c r="L32" s="430"/>
      <c r="M32" s="438"/>
      <c r="N32" s="435"/>
    </row>
    <row r="33" spans="1:15" x14ac:dyDescent="0.35">
      <c r="A33" s="447" t="s">
        <v>292</v>
      </c>
      <c r="B33" s="119" t="s">
        <v>367</v>
      </c>
      <c r="C33" s="120">
        <v>2</v>
      </c>
      <c r="D33" s="120">
        <v>12</v>
      </c>
      <c r="E33" s="120">
        <v>9</v>
      </c>
      <c r="F33" s="117">
        <f t="shared" si="7"/>
        <v>0.25</v>
      </c>
      <c r="G33" s="116">
        <f t="shared" si="6"/>
        <v>18</v>
      </c>
      <c r="H33" s="120">
        <v>1</v>
      </c>
      <c r="I33" s="118">
        <f>8/(G33/3600)*H33</f>
        <v>1600</v>
      </c>
      <c r="J33" s="118">
        <f>I33*3*0.75</f>
        <v>3600</v>
      </c>
      <c r="K33" s="448">
        <f>MIN(J33:J34)</f>
        <v>1800</v>
      </c>
      <c r="L33" s="430">
        <f>K33*30</f>
        <v>54000</v>
      </c>
      <c r="M33" s="444" t="s">
        <v>382</v>
      </c>
      <c r="N33" s="439">
        <v>53400</v>
      </c>
    </row>
    <row r="34" spans="1:15" x14ac:dyDescent="0.35">
      <c r="A34" s="447"/>
      <c r="B34" s="119" t="s">
        <v>372</v>
      </c>
      <c r="C34" s="120">
        <v>2</v>
      </c>
      <c r="D34" s="120">
        <v>18</v>
      </c>
      <c r="E34" s="120">
        <v>18</v>
      </c>
      <c r="F34" s="117">
        <f t="shared" si="7"/>
        <v>0</v>
      </c>
      <c r="G34" s="116">
        <f t="shared" si="6"/>
        <v>36</v>
      </c>
      <c r="H34" s="120">
        <v>1</v>
      </c>
      <c r="I34" s="118">
        <f>8/(G34/3600)*H34</f>
        <v>800</v>
      </c>
      <c r="J34" s="118">
        <f>I34*3*0.75</f>
        <v>1800</v>
      </c>
      <c r="K34" s="448"/>
      <c r="L34" s="430"/>
      <c r="M34" s="444"/>
      <c r="N34" s="439"/>
    </row>
    <row r="35" spans="1:15" hidden="1" x14ac:dyDescent="0.35">
      <c r="A35" s="29"/>
      <c r="B35" s="440" t="s">
        <v>368</v>
      </c>
      <c r="C35" s="431">
        <v>1</v>
      </c>
      <c r="D35" s="121"/>
      <c r="E35" s="431">
        <v>33</v>
      </c>
      <c r="F35" s="117"/>
      <c r="G35" s="431">
        <f t="shared" si="6"/>
        <v>33</v>
      </c>
      <c r="H35" s="431"/>
      <c r="I35" s="430">
        <f>8/(G35/3600)*H35</f>
        <v>0</v>
      </c>
      <c r="J35" s="441">
        <f>I35*3*0.8</f>
        <v>0</v>
      </c>
      <c r="K35" s="443">
        <f>J35</f>
        <v>0</v>
      </c>
      <c r="L35" s="430">
        <f>K35*25</f>
        <v>0</v>
      </c>
      <c r="M35" s="444" t="s">
        <v>383</v>
      </c>
      <c r="N35" s="435">
        <v>31680</v>
      </c>
      <c r="O35" s="109">
        <f>N35/3600</f>
        <v>8.8000000000000007</v>
      </c>
    </row>
    <row r="36" spans="1:15" hidden="1" x14ac:dyDescent="0.35">
      <c r="A36" s="29"/>
      <c r="B36" s="440"/>
      <c r="C36" s="432"/>
      <c r="D36" s="122"/>
      <c r="E36" s="432"/>
      <c r="F36" s="117"/>
      <c r="G36" s="432"/>
      <c r="H36" s="432"/>
      <c r="I36" s="430"/>
      <c r="J36" s="442"/>
      <c r="K36" s="443"/>
      <c r="L36" s="430"/>
      <c r="M36" s="444"/>
      <c r="N36" s="435"/>
    </row>
    <row r="37" spans="1:15" x14ac:dyDescent="0.35">
      <c r="A37" s="436" t="s">
        <v>384</v>
      </c>
      <c r="B37" s="116" t="s">
        <v>385</v>
      </c>
      <c r="C37" s="116">
        <v>16</v>
      </c>
      <c r="D37" s="116">
        <v>16</v>
      </c>
      <c r="E37" s="116">
        <v>12</v>
      </c>
      <c r="F37" s="117">
        <f t="shared" si="7"/>
        <v>0.25</v>
      </c>
      <c r="G37" s="116">
        <f>E37*C37</f>
        <v>192</v>
      </c>
      <c r="H37" s="116">
        <v>4</v>
      </c>
      <c r="I37" s="118">
        <f>8/(G37/3600)*H37</f>
        <v>600</v>
      </c>
      <c r="J37" s="118">
        <f>I37*3*0.8</f>
        <v>1440</v>
      </c>
      <c r="K37" s="437">
        <f>MIN(J37:J38)</f>
        <v>1440</v>
      </c>
      <c r="L37" s="430">
        <f>K37*30</f>
        <v>43200</v>
      </c>
      <c r="M37" s="438" t="s">
        <v>381</v>
      </c>
      <c r="N37" s="439">
        <v>40000</v>
      </c>
    </row>
    <row r="38" spans="1:15" x14ac:dyDescent="0.35">
      <c r="A38" s="436"/>
      <c r="B38" s="116" t="s">
        <v>386</v>
      </c>
      <c r="C38" s="116">
        <v>4</v>
      </c>
      <c r="D38" s="116">
        <v>53</v>
      </c>
      <c r="E38" s="116">
        <v>22</v>
      </c>
      <c r="F38" s="117">
        <f t="shared" si="7"/>
        <v>0.58490566037735847</v>
      </c>
      <c r="G38" s="116">
        <f>E38*C38</f>
        <v>88</v>
      </c>
      <c r="H38" s="116">
        <v>2</v>
      </c>
      <c r="I38" s="118">
        <f>8/(G38/3600)*H38</f>
        <v>654.5454545454545</v>
      </c>
      <c r="J38" s="118">
        <f>I38*3*0.8</f>
        <v>1570.909090909091</v>
      </c>
      <c r="K38" s="437"/>
      <c r="L38" s="430"/>
      <c r="M38" s="438"/>
      <c r="N38" s="439"/>
    </row>
    <row r="39" spans="1:15" x14ac:dyDescent="0.35">
      <c r="A39" s="428" t="s">
        <v>296</v>
      </c>
      <c r="B39" s="116" t="s">
        <v>387</v>
      </c>
      <c r="C39" s="116">
        <v>1</v>
      </c>
      <c r="D39" s="116"/>
      <c r="E39" s="116">
        <v>15</v>
      </c>
      <c r="F39" s="123" t="e">
        <f t="shared" si="7"/>
        <v>#DIV/0!</v>
      </c>
      <c r="G39" s="116">
        <f>E39*C39</f>
        <v>15</v>
      </c>
      <c r="H39" s="116">
        <v>0.5</v>
      </c>
      <c r="I39" s="124">
        <f>8/(G39/3600)*H39</f>
        <v>960</v>
      </c>
      <c r="J39" s="125">
        <f>I39*3*0.8</f>
        <v>2304</v>
      </c>
      <c r="K39" s="429">
        <f>MIN(J39:J40)</f>
        <v>1728</v>
      </c>
      <c r="L39" s="430">
        <f>K39*26</f>
        <v>44928</v>
      </c>
      <c r="M39" s="431" t="s">
        <v>388</v>
      </c>
      <c r="N39" s="433">
        <v>32000</v>
      </c>
    </row>
    <row r="40" spans="1:15" x14ac:dyDescent="0.35">
      <c r="A40" s="428"/>
      <c r="B40" s="116" t="s">
        <v>387</v>
      </c>
      <c r="C40" s="116">
        <v>1</v>
      </c>
      <c r="D40" s="116"/>
      <c r="E40" s="116">
        <v>20</v>
      </c>
      <c r="F40" s="123" t="e">
        <f t="shared" si="7"/>
        <v>#DIV/0!</v>
      </c>
      <c r="G40" s="116">
        <f>E40*C40</f>
        <v>20</v>
      </c>
      <c r="H40" s="116">
        <v>0.5</v>
      </c>
      <c r="I40" s="124">
        <f>8/(G40/3600)*H40</f>
        <v>720</v>
      </c>
      <c r="J40" s="125">
        <f>I40*3*0.8</f>
        <v>1728</v>
      </c>
      <c r="K40" s="429"/>
      <c r="L40" s="430"/>
      <c r="M40" s="432"/>
      <c r="N40" s="434"/>
    </row>
    <row r="41" spans="1:15" x14ac:dyDescent="0.35">
      <c r="A41" s="408" t="s">
        <v>373</v>
      </c>
      <c r="B41" s="409"/>
      <c r="C41" s="409"/>
      <c r="D41" s="409"/>
      <c r="E41" s="409"/>
      <c r="F41" s="409"/>
      <c r="G41" s="409"/>
      <c r="H41" s="126">
        <f>SUM(H30:H40)</f>
        <v>17</v>
      </c>
      <c r="I41" s="127"/>
      <c r="J41" s="127"/>
      <c r="K41" s="128"/>
      <c r="L41" s="129">
        <f>SUM(L30:L40)</f>
        <v>218363.29411764705</v>
      </c>
      <c r="M41" s="130"/>
      <c r="N41" s="130"/>
    </row>
    <row r="42" spans="1:15" x14ac:dyDescent="0.35">
      <c r="A42" s="421"/>
      <c r="B42" s="421"/>
      <c r="C42" s="421"/>
      <c r="D42" s="421"/>
      <c r="E42" s="421"/>
      <c r="F42" s="421"/>
      <c r="G42" s="421"/>
      <c r="H42" s="421"/>
      <c r="I42" s="421"/>
      <c r="J42" s="421"/>
      <c r="K42" s="421"/>
    </row>
    <row r="43" spans="1:15" x14ac:dyDescent="0.35">
      <c r="A43" s="422" t="s">
        <v>389</v>
      </c>
      <c r="B43" s="423"/>
      <c r="C43" s="423"/>
      <c r="D43" s="423"/>
      <c r="E43" s="423"/>
      <c r="F43" s="423"/>
      <c r="G43" s="423"/>
      <c r="H43" s="423"/>
      <c r="I43" s="423"/>
      <c r="J43" s="423"/>
      <c r="K43" s="424"/>
    </row>
    <row r="44" spans="1:15" x14ac:dyDescent="0.35">
      <c r="A44" s="425" t="s">
        <v>396</v>
      </c>
      <c r="B44" s="425"/>
      <c r="C44" s="425"/>
      <c r="D44" s="425"/>
      <c r="E44" s="425"/>
      <c r="F44" s="425"/>
      <c r="G44" s="425"/>
      <c r="H44" s="425"/>
      <c r="I44" s="425"/>
      <c r="J44" s="425"/>
      <c r="K44" s="425"/>
    </row>
    <row r="45" spans="1:15" x14ac:dyDescent="0.35">
      <c r="A45" s="425" t="s">
        <v>393</v>
      </c>
      <c r="B45" s="425"/>
      <c r="C45" s="425"/>
      <c r="D45" s="425"/>
      <c r="E45" s="425"/>
      <c r="F45" s="425"/>
      <c r="G45" s="425"/>
      <c r="H45" s="425"/>
      <c r="I45" s="425"/>
      <c r="J45" s="425"/>
      <c r="K45" s="425"/>
    </row>
    <row r="46" spans="1:15" x14ac:dyDescent="0.35">
      <c r="A46" s="425"/>
      <c r="B46" s="425"/>
      <c r="C46" s="425"/>
      <c r="D46" s="425"/>
      <c r="E46" s="425"/>
      <c r="F46" s="425"/>
      <c r="G46" s="425"/>
      <c r="H46" s="425"/>
      <c r="I46" s="425"/>
      <c r="J46" s="425"/>
      <c r="K46" s="425"/>
      <c r="L46" s="109"/>
    </row>
    <row r="47" spans="1:15" x14ac:dyDescent="0.35">
      <c r="A47" s="422"/>
      <c r="B47" s="423"/>
      <c r="C47" s="423"/>
      <c r="D47" s="423"/>
      <c r="E47" s="423"/>
      <c r="F47" s="423"/>
      <c r="G47" s="423"/>
      <c r="H47" s="423"/>
      <c r="I47" s="423"/>
      <c r="J47" s="423"/>
      <c r="K47" s="424"/>
    </row>
    <row r="48" spans="1:15" x14ac:dyDescent="0.35">
      <c r="A48" s="422"/>
      <c r="B48" s="423"/>
      <c r="C48" s="423"/>
      <c r="D48" s="423"/>
      <c r="E48" s="423"/>
      <c r="F48" s="423"/>
      <c r="G48" s="423"/>
      <c r="H48" s="423"/>
      <c r="I48" s="423"/>
      <c r="J48" s="423"/>
      <c r="K48" s="424"/>
    </row>
    <row r="51" spans="1:14" hidden="1" x14ac:dyDescent="0.35">
      <c r="A51" s="426" t="s">
        <v>375</v>
      </c>
      <c r="B51" s="426"/>
      <c r="C51" s="426"/>
      <c r="D51" s="426"/>
      <c r="E51" s="426"/>
      <c r="F51" s="426"/>
      <c r="G51" s="426"/>
      <c r="H51" s="426"/>
      <c r="I51" s="426"/>
      <c r="J51" s="426"/>
      <c r="K51" s="426"/>
      <c r="L51" s="426"/>
    </row>
    <row r="52" spans="1:14" hidden="1" x14ac:dyDescent="0.35">
      <c r="A52" s="427" t="s">
        <v>293</v>
      </c>
      <c r="B52" s="99" t="s">
        <v>359</v>
      </c>
      <c r="C52" s="99" t="s">
        <v>360</v>
      </c>
      <c r="D52" s="99" t="s">
        <v>390</v>
      </c>
      <c r="E52" s="100" t="s">
        <v>168</v>
      </c>
      <c r="F52" s="100" t="s">
        <v>378</v>
      </c>
      <c r="G52" s="100" t="s">
        <v>361</v>
      </c>
      <c r="H52" s="100" t="s">
        <v>362</v>
      </c>
      <c r="I52" s="100" t="s">
        <v>363</v>
      </c>
      <c r="J52" s="100" t="s">
        <v>364</v>
      </c>
      <c r="K52" s="100" t="s">
        <v>365</v>
      </c>
      <c r="L52" s="100" t="s">
        <v>366</v>
      </c>
    </row>
    <row r="53" spans="1:14" ht="29" hidden="1" customHeight="1" x14ac:dyDescent="0.35">
      <c r="A53" s="427"/>
      <c r="B53" s="101" t="s">
        <v>367</v>
      </c>
      <c r="C53" s="101">
        <v>4</v>
      </c>
      <c r="D53" s="101">
        <v>12</v>
      </c>
      <c r="E53" s="101">
        <v>12</v>
      </c>
      <c r="F53" s="131">
        <f>(D53-E53)/D53</f>
        <v>0</v>
      </c>
      <c r="G53" s="101">
        <f t="shared" ref="G53:G58" si="10">E53*C53</f>
        <v>48</v>
      </c>
      <c r="H53" s="101">
        <v>2</v>
      </c>
      <c r="I53" s="132">
        <f>8/(G53/3600)*H53</f>
        <v>1200</v>
      </c>
      <c r="J53" s="132">
        <f>I53*3*0.8</f>
        <v>2880</v>
      </c>
      <c r="K53" s="427">
        <f>MIN(J53:J55)</f>
        <v>2304</v>
      </c>
      <c r="L53" s="416">
        <f>K53*25</f>
        <v>57600</v>
      </c>
    </row>
    <row r="54" spans="1:14" hidden="1" x14ac:dyDescent="0.35">
      <c r="A54" s="427"/>
      <c r="B54" s="101" t="s">
        <v>368</v>
      </c>
      <c r="C54" s="101">
        <v>4</v>
      </c>
      <c r="D54" s="101">
        <v>25</v>
      </c>
      <c r="E54" s="101">
        <v>15</v>
      </c>
      <c r="F54" s="131">
        <f t="shared" ref="F54:F57" si="11">(D54-E54)/D54</f>
        <v>0.4</v>
      </c>
      <c r="G54" s="101">
        <f t="shared" si="10"/>
        <v>60</v>
      </c>
      <c r="H54" s="101">
        <v>2</v>
      </c>
      <c r="I54" s="132">
        <f t="shared" ref="I54:I63" si="12">8/(G54/3600)*H54</f>
        <v>960</v>
      </c>
      <c r="J54" s="132">
        <f t="shared" ref="J54:J55" si="13">I54*3*0.8</f>
        <v>2304</v>
      </c>
      <c r="K54" s="427"/>
      <c r="L54" s="416"/>
    </row>
    <row r="55" spans="1:14" hidden="1" x14ac:dyDescent="0.35">
      <c r="A55" s="427"/>
      <c r="B55" s="101" t="s">
        <v>369</v>
      </c>
      <c r="C55" s="101">
        <v>4</v>
      </c>
      <c r="D55" s="101">
        <v>18</v>
      </c>
      <c r="E55" s="101">
        <v>15</v>
      </c>
      <c r="F55" s="131">
        <f t="shared" si="11"/>
        <v>0.16666666666666666</v>
      </c>
      <c r="G55" s="101">
        <f t="shared" si="10"/>
        <v>60</v>
      </c>
      <c r="H55" s="101">
        <v>3</v>
      </c>
      <c r="I55" s="132">
        <f t="shared" si="12"/>
        <v>1440</v>
      </c>
      <c r="J55" s="132">
        <f t="shared" si="13"/>
        <v>3456</v>
      </c>
      <c r="K55" s="427"/>
      <c r="L55" s="416"/>
    </row>
    <row r="56" spans="1:14" ht="14.5" hidden="1" customHeight="1" x14ac:dyDescent="0.35">
      <c r="A56" s="419" t="s">
        <v>292</v>
      </c>
      <c r="B56" s="102" t="s">
        <v>367</v>
      </c>
      <c r="C56" s="102">
        <v>2</v>
      </c>
      <c r="D56" s="102">
        <v>12</v>
      </c>
      <c r="E56" s="102">
        <v>9</v>
      </c>
      <c r="F56" s="131">
        <f t="shared" si="11"/>
        <v>0.25</v>
      </c>
      <c r="G56" s="101">
        <f t="shared" si="10"/>
        <v>18</v>
      </c>
      <c r="H56" s="102">
        <v>1</v>
      </c>
      <c r="I56" s="132">
        <f t="shared" si="12"/>
        <v>1600</v>
      </c>
      <c r="J56" s="132">
        <f>I56*3*0.8</f>
        <v>3840</v>
      </c>
      <c r="K56" s="420">
        <f>MIN(J56:J57)</f>
        <v>2032.9411764705883</v>
      </c>
      <c r="L56" s="416">
        <f>K56*26</f>
        <v>52856.470588235294</v>
      </c>
    </row>
    <row r="57" spans="1:14" hidden="1" x14ac:dyDescent="0.35">
      <c r="A57" s="419"/>
      <c r="B57" s="102" t="s">
        <v>372</v>
      </c>
      <c r="C57" s="102">
        <v>2</v>
      </c>
      <c r="D57" s="102">
        <v>18</v>
      </c>
      <c r="E57" s="102">
        <v>17</v>
      </c>
      <c r="F57" s="131">
        <f t="shared" si="11"/>
        <v>5.5555555555555552E-2</v>
      </c>
      <c r="G57" s="101">
        <f t="shared" si="10"/>
        <v>34</v>
      </c>
      <c r="H57" s="102">
        <v>1</v>
      </c>
      <c r="I57" s="132">
        <f t="shared" si="12"/>
        <v>847.05882352941171</v>
      </c>
      <c r="J57" s="132">
        <f>I57*3*0.8</f>
        <v>2032.9411764705883</v>
      </c>
      <c r="K57" s="420"/>
      <c r="L57" s="416"/>
    </row>
    <row r="58" spans="1:14" ht="14.5" hidden="1" customHeight="1" x14ac:dyDescent="0.35">
      <c r="A58" s="413" t="s">
        <v>296</v>
      </c>
      <c r="B58" s="414" t="s">
        <v>368</v>
      </c>
      <c r="C58" s="133">
        <v>1</v>
      </c>
      <c r="D58" s="101"/>
      <c r="E58" s="133">
        <v>20</v>
      </c>
      <c r="F58" s="131"/>
      <c r="G58" s="133">
        <f t="shared" si="10"/>
        <v>20</v>
      </c>
      <c r="H58" s="133"/>
      <c r="I58" s="134">
        <f t="shared" si="12"/>
        <v>0</v>
      </c>
      <c r="J58" s="134">
        <f>I58*3*0.8</f>
        <v>0</v>
      </c>
      <c r="K58" s="415">
        <f>J58</f>
        <v>0</v>
      </c>
      <c r="L58" s="416">
        <f>K58*25</f>
        <v>0</v>
      </c>
    </row>
    <row r="59" spans="1:14" hidden="1" x14ac:dyDescent="0.35">
      <c r="A59" s="413"/>
      <c r="B59" s="414"/>
      <c r="C59" s="133">
        <v>1</v>
      </c>
      <c r="D59" s="101"/>
      <c r="E59" s="133">
        <v>20</v>
      </c>
      <c r="F59" s="131"/>
      <c r="G59" s="133">
        <v>18</v>
      </c>
      <c r="H59" s="133"/>
      <c r="I59" s="134">
        <f t="shared" si="12"/>
        <v>0</v>
      </c>
      <c r="J59" s="134">
        <f>I59*3*0.8</f>
        <v>0</v>
      </c>
      <c r="K59" s="415"/>
      <c r="L59" s="416"/>
    </row>
    <row r="60" spans="1:14" ht="14.5" hidden="1" customHeight="1" x14ac:dyDescent="0.35">
      <c r="A60" s="417" t="s">
        <v>384</v>
      </c>
      <c r="B60" s="101" t="s">
        <v>385</v>
      </c>
      <c r="C60" s="101">
        <v>16</v>
      </c>
      <c r="D60" s="101">
        <v>16</v>
      </c>
      <c r="E60" s="101">
        <v>12</v>
      </c>
      <c r="F60" s="131">
        <f t="shared" ref="F60:F63" si="14">(D60-E60)/D60</f>
        <v>0.25</v>
      </c>
      <c r="G60" s="101">
        <f>E60*C60</f>
        <v>192</v>
      </c>
      <c r="H60" s="101">
        <v>3</v>
      </c>
      <c r="I60" s="132">
        <f t="shared" si="12"/>
        <v>450</v>
      </c>
      <c r="J60" s="132">
        <f>I60*3*0.85</f>
        <v>1147.5</v>
      </c>
      <c r="K60" s="418">
        <f>MIN(J60:J61)</f>
        <v>1147.5</v>
      </c>
      <c r="L60" s="416">
        <f>K60*25</f>
        <v>28687.5</v>
      </c>
    </row>
    <row r="61" spans="1:14" hidden="1" x14ac:dyDescent="0.35">
      <c r="A61" s="417"/>
      <c r="B61" s="101" t="s">
        <v>386</v>
      </c>
      <c r="C61" s="101">
        <v>4</v>
      </c>
      <c r="D61" s="101">
        <v>53</v>
      </c>
      <c r="E61" s="101">
        <v>22</v>
      </c>
      <c r="F61" s="131">
        <f t="shared" si="14"/>
        <v>0.58490566037735847</v>
      </c>
      <c r="G61" s="101">
        <f>E61*C61</f>
        <v>88</v>
      </c>
      <c r="H61" s="101">
        <v>2</v>
      </c>
      <c r="I61" s="132">
        <f t="shared" si="12"/>
        <v>654.5454545454545</v>
      </c>
      <c r="J61" s="132">
        <f>I61*3*0.85</f>
        <v>1669.090909090909</v>
      </c>
      <c r="K61" s="418"/>
      <c r="L61" s="416"/>
      <c r="N61">
        <f>3600/56</f>
        <v>64.285714285714292</v>
      </c>
    </row>
    <row r="62" spans="1:14" hidden="1" x14ac:dyDescent="0.35">
      <c r="A62" s="410" t="s">
        <v>391</v>
      </c>
      <c r="B62" s="101" t="s">
        <v>385</v>
      </c>
      <c r="C62" s="101">
        <v>4</v>
      </c>
      <c r="D62" s="101"/>
      <c r="E62" s="101">
        <v>17</v>
      </c>
      <c r="F62" s="135" t="e">
        <f t="shared" si="14"/>
        <v>#DIV/0!</v>
      </c>
      <c r="G62" s="101">
        <f>E62*C62</f>
        <v>68</v>
      </c>
      <c r="H62" s="101"/>
      <c r="I62" s="134">
        <f t="shared" si="12"/>
        <v>0</v>
      </c>
      <c r="J62" s="103">
        <f>I62*3*0.8</f>
        <v>0</v>
      </c>
      <c r="K62" s="411">
        <f>MIN(J62:J63)</f>
        <v>0</v>
      </c>
      <c r="L62" s="412">
        <f>K62*26</f>
        <v>0</v>
      </c>
    </row>
    <row r="63" spans="1:14" hidden="1" x14ac:dyDescent="0.35">
      <c r="A63" s="410"/>
      <c r="B63" s="101" t="s">
        <v>392</v>
      </c>
      <c r="C63" s="101">
        <v>2</v>
      </c>
      <c r="D63" s="101"/>
      <c r="E63" s="101">
        <v>17</v>
      </c>
      <c r="F63" s="135" t="e">
        <f t="shared" si="14"/>
        <v>#DIV/0!</v>
      </c>
      <c r="G63" s="101">
        <f>E63*C63</f>
        <v>34</v>
      </c>
      <c r="H63" s="101"/>
      <c r="I63" s="134">
        <f t="shared" si="12"/>
        <v>0</v>
      </c>
      <c r="J63" s="103">
        <f>I63*3*0.8</f>
        <v>0</v>
      </c>
      <c r="K63" s="411"/>
      <c r="L63" s="412"/>
    </row>
    <row r="64" spans="1:14" hidden="1" x14ac:dyDescent="0.35">
      <c r="A64" s="136"/>
      <c r="B64" s="101"/>
      <c r="C64" s="101"/>
      <c r="D64" s="101"/>
      <c r="E64" s="101"/>
      <c r="F64" s="101"/>
      <c r="G64" s="101"/>
      <c r="H64" s="101"/>
      <c r="I64" s="132"/>
      <c r="J64" s="132"/>
      <c r="K64" s="137"/>
      <c r="L64" s="103"/>
      <c r="N64">
        <f>N61*7*3</f>
        <v>1350.0000000000002</v>
      </c>
    </row>
    <row r="65" spans="1:14" hidden="1" x14ac:dyDescent="0.35">
      <c r="A65" s="390" t="s">
        <v>373</v>
      </c>
      <c r="B65" s="390"/>
      <c r="C65" s="390"/>
      <c r="D65" s="390"/>
      <c r="E65" s="390"/>
      <c r="F65" s="390"/>
      <c r="G65" s="390"/>
      <c r="H65" s="106">
        <f>SUM(H53:H64)</f>
        <v>14</v>
      </c>
      <c r="I65" s="42"/>
      <c r="J65" s="42"/>
      <c r="K65" s="42"/>
      <c r="L65" s="108"/>
      <c r="N65">
        <f>N64*26</f>
        <v>35100.000000000007</v>
      </c>
    </row>
    <row r="66" spans="1:14" hidden="1" x14ac:dyDescent="0.35">
      <c r="N66">
        <f>85000/N65</f>
        <v>2.4216524216524213</v>
      </c>
    </row>
    <row r="67" spans="1:14" hidden="1" x14ac:dyDescent="0.35"/>
    <row r="68" spans="1:14" hidden="1" x14ac:dyDescent="0.35"/>
    <row r="69" spans="1:14" hidden="1" x14ac:dyDescent="0.35"/>
    <row r="70" spans="1:14" hidden="1" x14ac:dyDescent="0.35"/>
    <row r="71" spans="1:14" hidden="1" x14ac:dyDescent="0.35"/>
  </sheetData>
  <mergeCells count="100">
    <mergeCell ref="A1:L1"/>
    <mergeCell ref="A2:A5"/>
    <mergeCell ref="K3:K5"/>
    <mergeCell ref="L3:L5"/>
    <mergeCell ref="A6:A7"/>
    <mergeCell ref="K6:K7"/>
    <mergeCell ref="L6:L7"/>
    <mergeCell ref="A8:A9"/>
    <mergeCell ref="K8:K9"/>
    <mergeCell ref="L8:L9"/>
    <mergeCell ref="A10:A11"/>
    <mergeCell ref="B10:B11"/>
    <mergeCell ref="C10:C11"/>
    <mergeCell ref="E10:E11"/>
    <mergeCell ref="G10:G11"/>
    <mergeCell ref="H10:H11"/>
    <mergeCell ref="I10:I11"/>
    <mergeCell ref="J10:J11"/>
    <mergeCell ref="K10:K11"/>
    <mergeCell ref="L10:L11"/>
    <mergeCell ref="A12:G12"/>
    <mergeCell ref="A15:L15"/>
    <mergeCell ref="A20:A21"/>
    <mergeCell ref="K20:K21"/>
    <mergeCell ref="L20:L21"/>
    <mergeCell ref="A16:A19"/>
    <mergeCell ref="K17:K19"/>
    <mergeCell ref="L17:L19"/>
    <mergeCell ref="A22:A23"/>
    <mergeCell ref="K22:K23"/>
    <mergeCell ref="L22:L23"/>
    <mergeCell ref="A28:N28"/>
    <mergeCell ref="A24:A25"/>
    <mergeCell ref="B24:B25"/>
    <mergeCell ref="C24:C25"/>
    <mergeCell ref="E24:E25"/>
    <mergeCell ref="G24:G25"/>
    <mergeCell ref="H24:H25"/>
    <mergeCell ref="I24:I25"/>
    <mergeCell ref="J24:J25"/>
    <mergeCell ref="K24:K25"/>
    <mergeCell ref="L24:L25"/>
    <mergeCell ref="A26:G26"/>
    <mergeCell ref="A33:A34"/>
    <mergeCell ref="K33:K34"/>
    <mergeCell ref="L33:L34"/>
    <mergeCell ref="M33:M34"/>
    <mergeCell ref="N33:N34"/>
    <mergeCell ref="A29:A32"/>
    <mergeCell ref="K30:K32"/>
    <mergeCell ref="L30:L32"/>
    <mergeCell ref="M30:M32"/>
    <mergeCell ref="N30:N32"/>
    <mergeCell ref="N35:N36"/>
    <mergeCell ref="A37:A38"/>
    <mergeCell ref="K37:K38"/>
    <mergeCell ref="L37:L38"/>
    <mergeCell ref="M37:M38"/>
    <mergeCell ref="N37:N38"/>
    <mergeCell ref="B35:B36"/>
    <mergeCell ref="C35:C36"/>
    <mergeCell ref="E35:E36"/>
    <mergeCell ref="G35:G36"/>
    <mergeCell ref="H35:H36"/>
    <mergeCell ref="I35:I36"/>
    <mergeCell ref="J35:J36"/>
    <mergeCell ref="K35:K36"/>
    <mergeCell ref="L35:L36"/>
    <mergeCell ref="M35:M36"/>
    <mergeCell ref="A39:A40"/>
    <mergeCell ref="K39:K40"/>
    <mergeCell ref="L39:L40"/>
    <mergeCell ref="M39:M40"/>
    <mergeCell ref="N39:N40"/>
    <mergeCell ref="A48:K48"/>
    <mergeCell ref="A51:L51"/>
    <mergeCell ref="A52:A55"/>
    <mergeCell ref="K53:K55"/>
    <mergeCell ref="L53:L55"/>
    <mergeCell ref="A43:K43"/>
    <mergeCell ref="A44:K44"/>
    <mergeCell ref="A45:K45"/>
    <mergeCell ref="A46:K46"/>
    <mergeCell ref="A47:K47"/>
    <mergeCell ref="A41:G41"/>
    <mergeCell ref="A62:A63"/>
    <mergeCell ref="K62:K63"/>
    <mergeCell ref="L62:L63"/>
    <mergeCell ref="A65:G65"/>
    <mergeCell ref="A58:A59"/>
    <mergeCell ref="B58:B59"/>
    <mergeCell ref="K58:K59"/>
    <mergeCell ref="L58:L59"/>
    <mergeCell ref="A60:A61"/>
    <mergeCell ref="K60:K61"/>
    <mergeCell ref="L60:L61"/>
    <mergeCell ref="A56:A57"/>
    <mergeCell ref="K56:K57"/>
    <mergeCell ref="L56:L57"/>
    <mergeCell ref="A42:K42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J10"/>
  <sheetViews>
    <sheetView workbookViewId="0">
      <selection activeCell="N10" sqref="N10"/>
    </sheetView>
  </sheetViews>
  <sheetFormatPr defaultRowHeight="14.5" x14ac:dyDescent="0.35"/>
  <cols>
    <col min="1" max="1" width="12.90625" bestFit="1" customWidth="1"/>
    <col min="2" max="2" width="14.453125" bestFit="1" customWidth="1"/>
  </cols>
  <sheetData>
    <row r="3" spans="1:10" x14ac:dyDescent="0.35">
      <c r="A3" s="28" t="s">
        <v>157</v>
      </c>
      <c r="B3" t="s">
        <v>348</v>
      </c>
    </row>
    <row r="4" spans="1:10" x14ac:dyDescent="0.35">
      <c r="A4" s="29" t="s">
        <v>246</v>
      </c>
      <c r="B4">
        <v>96426</v>
      </c>
    </row>
    <row r="5" spans="1:10" x14ac:dyDescent="0.35">
      <c r="A5" s="29" t="s">
        <v>159</v>
      </c>
      <c r="B5">
        <v>96426</v>
      </c>
    </row>
    <row r="6" spans="1:10" x14ac:dyDescent="0.35">
      <c r="H6" t="s">
        <v>349</v>
      </c>
      <c r="I6">
        <f>60000+40000</f>
        <v>100000</v>
      </c>
      <c r="J6">
        <f>I6/4500</f>
        <v>22.222222222222221</v>
      </c>
    </row>
    <row r="7" spans="1:10" x14ac:dyDescent="0.35">
      <c r="H7" t="s">
        <v>350</v>
      </c>
      <c r="I7">
        <v>15974</v>
      </c>
      <c r="J7">
        <f>I7/6000</f>
        <v>2.6623333333333332</v>
      </c>
    </row>
    <row r="8" spans="1:10" x14ac:dyDescent="0.35">
      <c r="G8">
        <v>1</v>
      </c>
      <c r="H8" t="s">
        <v>351</v>
      </c>
      <c r="I8">
        <f>30000+111496</f>
        <v>141496</v>
      </c>
      <c r="J8">
        <f>I8/4500</f>
        <v>31.443555555555555</v>
      </c>
    </row>
    <row r="9" spans="1:10" x14ac:dyDescent="0.35">
      <c r="G9">
        <v>1</v>
      </c>
      <c r="H9" t="s">
        <v>352</v>
      </c>
      <c r="I9">
        <v>96426</v>
      </c>
      <c r="J9">
        <f>I9/6000</f>
        <v>16.071000000000002</v>
      </c>
    </row>
    <row r="10" spans="1:10" x14ac:dyDescent="0.35">
      <c r="H10" t="s">
        <v>353</v>
      </c>
      <c r="I10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35"/>
  <sheetViews>
    <sheetView workbookViewId="0">
      <selection activeCell="G10" sqref="G10"/>
    </sheetView>
  </sheetViews>
  <sheetFormatPr defaultRowHeight="14.5" x14ac:dyDescent="0.35"/>
  <cols>
    <col min="1" max="1" width="12.90625" bestFit="1" customWidth="1"/>
    <col min="2" max="2" width="14.453125" bestFit="1" customWidth="1"/>
    <col min="3" max="3" width="12.08984375" bestFit="1" customWidth="1"/>
  </cols>
  <sheetData>
    <row r="3" spans="1:3" x14ac:dyDescent="0.35">
      <c r="A3" s="28" t="s">
        <v>157</v>
      </c>
      <c r="B3" t="s">
        <v>348</v>
      </c>
      <c r="C3" t="s">
        <v>356</v>
      </c>
    </row>
    <row r="4" spans="1:3" x14ac:dyDescent="0.35">
      <c r="A4" s="29" t="s">
        <v>239</v>
      </c>
      <c r="B4">
        <v>55906</v>
      </c>
      <c r="C4">
        <v>91.30519225377509</v>
      </c>
    </row>
    <row r="5" spans="1:3" x14ac:dyDescent="0.35">
      <c r="A5" s="29" t="s">
        <v>245</v>
      </c>
      <c r="B5">
        <v>12446</v>
      </c>
      <c r="C5">
        <v>21.281308023662159</v>
      </c>
    </row>
    <row r="6" spans="1:3" x14ac:dyDescent="0.35">
      <c r="A6" s="29" t="s">
        <v>313</v>
      </c>
      <c r="B6">
        <v>2464</v>
      </c>
      <c r="C6">
        <v>26.498214022988506</v>
      </c>
    </row>
    <row r="7" spans="1:3" x14ac:dyDescent="0.35">
      <c r="A7" s="29" t="s">
        <v>335</v>
      </c>
      <c r="B7">
        <v>58000</v>
      </c>
      <c r="C7">
        <v>220.51280641975308</v>
      </c>
    </row>
    <row r="8" spans="1:3" x14ac:dyDescent="0.35">
      <c r="A8" s="29" t="s">
        <v>312</v>
      </c>
      <c r="B8">
        <v>70000</v>
      </c>
      <c r="C8">
        <v>944.5972577331396</v>
      </c>
    </row>
    <row r="9" spans="1:3" x14ac:dyDescent="0.35">
      <c r="A9" s="29" t="s">
        <v>336</v>
      </c>
      <c r="B9">
        <v>27650</v>
      </c>
      <c r="C9">
        <v>294.57420318484401</v>
      </c>
    </row>
    <row r="10" spans="1:3" x14ac:dyDescent="0.35">
      <c r="A10" s="29" t="s">
        <v>116</v>
      </c>
      <c r="B10">
        <v>81804</v>
      </c>
      <c r="C10">
        <v>321.73704847799655</v>
      </c>
    </row>
    <row r="11" spans="1:3" x14ac:dyDescent="0.35">
      <c r="A11" s="29" t="s">
        <v>337</v>
      </c>
      <c r="B11">
        <v>3710</v>
      </c>
      <c r="C11">
        <v>85</v>
      </c>
    </row>
    <row r="12" spans="1:3" x14ac:dyDescent="0.35">
      <c r="A12" s="29" t="s">
        <v>311</v>
      </c>
      <c r="B12">
        <v>22040</v>
      </c>
      <c r="C12">
        <v>122.57759662160302</v>
      </c>
    </row>
    <row r="13" spans="1:3" x14ac:dyDescent="0.35">
      <c r="A13" s="29" t="s">
        <v>330</v>
      </c>
      <c r="B13">
        <v>40000</v>
      </c>
      <c r="C13">
        <v>2059.2024661605765</v>
      </c>
    </row>
    <row r="14" spans="1:3" x14ac:dyDescent="0.35">
      <c r="A14" s="29" t="s">
        <v>322</v>
      </c>
      <c r="B14">
        <v>10000</v>
      </c>
      <c r="C14">
        <v>235.25216382922824</v>
      </c>
    </row>
    <row r="15" spans="1:3" x14ac:dyDescent="0.35">
      <c r="A15" s="29" t="s">
        <v>338</v>
      </c>
      <c r="B15">
        <v>5150</v>
      </c>
      <c r="C15">
        <v>2.1453156350270093</v>
      </c>
    </row>
    <row r="16" spans="1:3" x14ac:dyDescent="0.35">
      <c r="A16" s="29" t="s">
        <v>316</v>
      </c>
      <c r="B16">
        <v>6427</v>
      </c>
      <c r="C16">
        <v>779.29351462394811</v>
      </c>
    </row>
    <row r="17" spans="1:3" x14ac:dyDescent="0.35">
      <c r="A17" s="29" t="s">
        <v>340</v>
      </c>
      <c r="B17">
        <v>3000</v>
      </c>
      <c r="C17">
        <v>115.02062335928809</v>
      </c>
    </row>
    <row r="18" spans="1:3" x14ac:dyDescent="0.35">
      <c r="A18" s="29" t="s">
        <v>341</v>
      </c>
      <c r="B18">
        <v>2901</v>
      </c>
      <c r="C18">
        <v>189.48052390804597</v>
      </c>
    </row>
    <row r="19" spans="1:3" x14ac:dyDescent="0.35">
      <c r="A19" s="29" t="s">
        <v>75</v>
      </c>
      <c r="B19">
        <v>80000</v>
      </c>
      <c r="C19">
        <v>325.95852079606402</v>
      </c>
    </row>
    <row r="20" spans="1:3" x14ac:dyDescent="0.35">
      <c r="A20" s="29" t="s">
        <v>342</v>
      </c>
      <c r="B20">
        <v>300000</v>
      </c>
      <c r="C20">
        <v>86.34405722798671</v>
      </c>
    </row>
    <row r="21" spans="1:3" x14ac:dyDescent="0.35">
      <c r="A21" s="29" t="s">
        <v>314</v>
      </c>
      <c r="B21">
        <v>122000</v>
      </c>
      <c r="C21">
        <v>205.56074978809914</v>
      </c>
    </row>
    <row r="22" spans="1:3" x14ac:dyDescent="0.35">
      <c r="A22" s="29" t="s">
        <v>343</v>
      </c>
      <c r="B22">
        <v>17280</v>
      </c>
      <c r="C22">
        <v>64.169709258098223</v>
      </c>
    </row>
    <row r="23" spans="1:3" x14ac:dyDescent="0.35">
      <c r="A23" s="29" t="s">
        <v>345</v>
      </c>
      <c r="B23">
        <v>222240</v>
      </c>
      <c r="C23">
        <v>378.78199930533856</v>
      </c>
    </row>
    <row r="24" spans="1:3" x14ac:dyDescent="0.35">
      <c r="A24" s="29" t="s">
        <v>325</v>
      </c>
      <c r="B24">
        <v>13650</v>
      </c>
      <c r="C24">
        <v>14.712760253405005</v>
      </c>
    </row>
    <row r="25" spans="1:3" x14ac:dyDescent="0.35">
      <c r="A25" s="29" t="s">
        <v>346</v>
      </c>
      <c r="B25">
        <v>0</v>
      </c>
      <c r="C25">
        <v>0</v>
      </c>
    </row>
    <row r="26" spans="1:3" x14ac:dyDescent="0.35">
      <c r="A26" s="29" t="s">
        <v>315</v>
      </c>
      <c r="B26">
        <v>121750</v>
      </c>
      <c r="C26">
        <v>211.74103390804598</v>
      </c>
    </row>
    <row r="27" spans="1:3" x14ac:dyDescent="0.35">
      <c r="A27" s="29" t="s">
        <v>234</v>
      </c>
      <c r="B27">
        <v>3696</v>
      </c>
      <c r="C27">
        <v>11.259939885057472</v>
      </c>
    </row>
    <row r="28" spans="1:3" x14ac:dyDescent="0.35">
      <c r="A28" s="29" t="s">
        <v>249</v>
      </c>
      <c r="B28">
        <v>3528</v>
      </c>
      <c r="C28">
        <v>11.600116728243023</v>
      </c>
    </row>
    <row r="29" spans="1:3" x14ac:dyDescent="0.35">
      <c r="A29" s="29" t="s">
        <v>254</v>
      </c>
      <c r="B29">
        <v>111496</v>
      </c>
      <c r="C29">
        <v>175.97822775167245</v>
      </c>
    </row>
    <row r="30" spans="1:3" x14ac:dyDescent="0.35">
      <c r="A30" s="29" t="s">
        <v>317</v>
      </c>
      <c r="B30">
        <v>30250</v>
      </c>
      <c r="C30">
        <v>48.35479885057471</v>
      </c>
    </row>
    <row r="31" spans="1:3" x14ac:dyDescent="0.35">
      <c r="A31" s="29" t="s">
        <v>246</v>
      </c>
      <c r="B31">
        <v>96426</v>
      </c>
      <c r="C31">
        <v>171.54390385064306</v>
      </c>
    </row>
    <row r="32" spans="1:3" x14ac:dyDescent="0.35">
      <c r="A32" s="29" t="s">
        <v>347</v>
      </c>
      <c r="B32">
        <v>0</v>
      </c>
      <c r="C32">
        <v>0</v>
      </c>
    </row>
    <row r="33" spans="1:3" x14ac:dyDescent="0.35">
      <c r="A33" s="29" t="s">
        <v>331</v>
      </c>
      <c r="B33">
        <v>2980</v>
      </c>
      <c r="C33">
        <v>16.395456532567053</v>
      </c>
    </row>
    <row r="34" spans="1:3" x14ac:dyDescent="0.35">
      <c r="A34" s="29" t="s">
        <v>158</v>
      </c>
      <c r="C34">
        <v>7230.8795083896739</v>
      </c>
    </row>
    <row r="35" spans="1:3" x14ac:dyDescent="0.35">
      <c r="A35" s="29" t="s">
        <v>159</v>
      </c>
      <c r="B35">
        <v>1526794</v>
      </c>
      <c r="C35">
        <v>14461.759016779344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2"/>
  <sheetViews>
    <sheetView topLeftCell="A6" workbookViewId="0">
      <selection activeCell="C21" sqref="C21"/>
    </sheetView>
  </sheetViews>
  <sheetFormatPr defaultRowHeight="14.5" x14ac:dyDescent="0.35"/>
  <cols>
    <col min="1" max="1" width="4.26953125" customWidth="1"/>
    <col min="2" max="2" width="11.08984375" style="30" customWidth="1"/>
    <col min="3" max="4" width="8.6328125" style="30"/>
    <col min="5" max="5" width="9.08984375" style="30" customWidth="1"/>
    <col min="6" max="6" width="8.6328125" style="30"/>
    <col min="7" max="7" width="10.453125" style="30" customWidth="1"/>
    <col min="8" max="9" width="8.6328125" style="30"/>
    <col min="10" max="10" width="8.7265625" style="30"/>
    <col min="13" max="13" width="10.453125" bestFit="1" customWidth="1"/>
    <col min="15" max="22" width="0" hidden="1" customWidth="1"/>
  </cols>
  <sheetData>
    <row r="1" spans="1:13" hidden="1" x14ac:dyDescent="0.35">
      <c r="H1" s="30" t="e">
        <f>#REF!*2</f>
        <v>#REF!</v>
      </c>
    </row>
    <row r="2" spans="1:13" hidden="1" x14ac:dyDescent="0.35">
      <c r="G2" s="30" t="s">
        <v>223</v>
      </c>
      <c r="H2" s="30">
        <v>8</v>
      </c>
    </row>
    <row r="3" spans="1:13" hidden="1" x14ac:dyDescent="0.35">
      <c r="G3" s="30" t="s">
        <v>172</v>
      </c>
      <c r="H3" s="30" t="e">
        <f>H2+H1</f>
        <v>#REF!</v>
      </c>
    </row>
    <row r="4" spans="1:13" hidden="1" x14ac:dyDescent="0.35">
      <c r="H4" s="30" t="e">
        <f>ROUNDUP(H3*0.12,0)</f>
        <v>#REF!</v>
      </c>
    </row>
    <row r="5" spans="1:13" hidden="1" x14ac:dyDescent="0.35">
      <c r="C5" s="30" t="e">
        <f>'PN-workout file'!#REF!+'PN-workout file'!#REF!+'PN-workout file'!#REF!+'PN-workout file'!#REF!+'PN-workout file'!N15+'PN-workout file'!P15+'PN-workout file'!#REF!+'PN-workout file'!#REF!+'PN-workout file'!N14+'PN-workout file'!P14+'PN-workout file'!N25+'PN-workout file'!P25+'PN-workout file'!#REF!+'PN-workout file'!#REF!+'PN-workout file'!N22+'PN-workout file'!P22+'PN-workout file'!#REF!+'PN-workout file'!N20+'PN-workout file'!P20+'PN-workout file'!N19+'PN-workout file'!P19+'PN-workout file'!P18+'PN-workout file'!N18+'PN-workout file'!N9+'PN-workout file'!P9+'PN-workout file'!N8+PB!A7</f>
        <v>#REF!</v>
      </c>
      <c r="H5" s="30" t="e">
        <f>H3+H4</f>
        <v>#REF!</v>
      </c>
    </row>
    <row r="7" spans="1:13" x14ac:dyDescent="0.35">
      <c r="A7" s="467" t="s">
        <v>177</v>
      </c>
      <c r="B7" s="467"/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</row>
    <row r="8" spans="1:13" ht="43.5" x14ac:dyDescent="0.35">
      <c r="A8" s="139" t="s">
        <v>178</v>
      </c>
      <c r="B8" s="139" t="s">
        <v>179</v>
      </c>
      <c r="C8" s="139" t="s">
        <v>180</v>
      </c>
      <c r="D8" s="139" t="s">
        <v>181</v>
      </c>
      <c r="E8" s="139" t="s">
        <v>182</v>
      </c>
      <c r="F8" s="139" t="s">
        <v>225</v>
      </c>
      <c r="G8" s="139" t="s">
        <v>183</v>
      </c>
      <c r="H8" s="139" t="s">
        <v>184</v>
      </c>
      <c r="I8" s="139" t="s">
        <v>185</v>
      </c>
      <c r="J8" s="139" t="s">
        <v>863</v>
      </c>
      <c r="K8" s="139" t="s">
        <v>186</v>
      </c>
      <c r="L8" s="139" t="s">
        <v>318</v>
      </c>
      <c r="M8" s="139" t="s">
        <v>172</v>
      </c>
    </row>
    <row r="9" spans="1:13" x14ac:dyDescent="0.35">
      <c r="A9" s="140">
        <v>1</v>
      </c>
      <c r="B9" s="39" t="s">
        <v>188</v>
      </c>
      <c r="C9" s="140">
        <v>2</v>
      </c>
      <c r="D9" s="140">
        <v>1</v>
      </c>
      <c r="E9" s="140">
        <v>1</v>
      </c>
      <c r="F9" s="140">
        <v>1</v>
      </c>
      <c r="G9" s="469">
        <v>1</v>
      </c>
      <c r="H9" s="469">
        <v>2</v>
      </c>
      <c r="I9" s="140">
        <v>3</v>
      </c>
      <c r="J9" s="326">
        <f>(SUM(C9:F9)+G9+H9)*I9</f>
        <v>24</v>
      </c>
      <c r="K9" s="338">
        <f>J9*0.12</f>
        <v>2.88</v>
      </c>
      <c r="L9" s="142">
        <f>J9/6</f>
        <v>4</v>
      </c>
      <c r="M9" s="338">
        <f>J9+K9+L9</f>
        <v>30.88</v>
      </c>
    </row>
    <row r="10" spans="1:13" x14ac:dyDescent="0.35">
      <c r="A10" s="140">
        <v>2</v>
      </c>
      <c r="B10" s="39" t="s">
        <v>189</v>
      </c>
      <c r="C10" s="140">
        <v>2</v>
      </c>
      <c r="D10" s="140">
        <v>1</v>
      </c>
      <c r="E10" s="140">
        <v>1</v>
      </c>
      <c r="F10" s="140">
        <v>1</v>
      </c>
      <c r="G10" s="469"/>
      <c r="H10" s="469"/>
      <c r="I10" s="140">
        <v>3</v>
      </c>
      <c r="J10" s="326">
        <f>(SUM(C10:F10)+G9+H9)*I10</f>
        <v>24</v>
      </c>
      <c r="K10" s="338">
        <f t="shared" ref="K10:K13" si="0">J10*0.12</f>
        <v>2.88</v>
      </c>
      <c r="L10" s="142">
        <v>0</v>
      </c>
      <c r="M10" s="338">
        <f t="shared" ref="M10:M13" si="1">J10+K10+L10</f>
        <v>26.88</v>
      </c>
    </row>
    <row r="11" spans="1:13" x14ac:dyDescent="0.35">
      <c r="A11" s="140">
        <v>3</v>
      </c>
      <c r="B11" s="39" t="s">
        <v>190</v>
      </c>
      <c r="C11" s="140">
        <v>2</v>
      </c>
      <c r="D11" s="140">
        <v>1</v>
      </c>
      <c r="E11" s="140">
        <v>1</v>
      </c>
      <c r="F11" s="140">
        <v>1</v>
      </c>
      <c r="G11" s="469">
        <v>1</v>
      </c>
      <c r="H11" s="469"/>
      <c r="I11" s="140">
        <v>3</v>
      </c>
      <c r="J11" s="326">
        <f>(SUM(C11:F11)+G11+H9)*I11</f>
        <v>24</v>
      </c>
      <c r="K11" s="338">
        <f t="shared" si="0"/>
        <v>2.88</v>
      </c>
      <c r="L11" s="140">
        <f>J11/6</f>
        <v>4</v>
      </c>
      <c r="M11" s="338">
        <f t="shared" si="1"/>
        <v>30.88</v>
      </c>
    </row>
    <row r="12" spans="1:13" x14ac:dyDescent="0.35">
      <c r="A12" s="140">
        <v>4</v>
      </c>
      <c r="B12" s="39" t="s">
        <v>191</v>
      </c>
      <c r="C12" s="140">
        <v>2</v>
      </c>
      <c r="D12" s="140">
        <v>1</v>
      </c>
      <c r="E12" s="140">
        <v>1</v>
      </c>
      <c r="F12" s="140">
        <v>1</v>
      </c>
      <c r="G12" s="469"/>
      <c r="H12" s="469"/>
      <c r="I12" s="140">
        <v>2</v>
      </c>
      <c r="J12" s="326">
        <f>(SUM(C12:F12)+G9+H9)*I12</f>
        <v>16</v>
      </c>
      <c r="K12" s="338">
        <f t="shared" si="0"/>
        <v>1.92</v>
      </c>
      <c r="L12" s="140">
        <v>0</v>
      </c>
      <c r="M12" s="338">
        <f t="shared" si="1"/>
        <v>17.920000000000002</v>
      </c>
    </row>
    <row r="13" spans="1:13" x14ac:dyDescent="0.35">
      <c r="A13" s="140">
        <v>5</v>
      </c>
      <c r="B13" s="39" t="s">
        <v>417</v>
      </c>
      <c r="C13" s="140">
        <v>2</v>
      </c>
      <c r="D13" s="140">
        <v>1</v>
      </c>
      <c r="E13" s="140">
        <v>1</v>
      </c>
      <c r="F13" s="140">
        <v>1</v>
      </c>
      <c r="G13" s="140"/>
      <c r="H13" s="140"/>
      <c r="I13" s="140">
        <v>3</v>
      </c>
      <c r="J13" s="326">
        <f>(SUM(C13:F13)+G10+H10)*I13</f>
        <v>15</v>
      </c>
      <c r="K13" s="338">
        <f t="shared" si="0"/>
        <v>1.7999999999999998</v>
      </c>
      <c r="L13" s="140">
        <v>0</v>
      </c>
      <c r="M13" s="338">
        <f t="shared" si="1"/>
        <v>16.8</v>
      </c>
    </row>
    <row r="14" spans="1:13" x14ac:dyDescent="0.35">
      <c r="A14" s="140">
        <v>6</v>
      </c>
      <c r="B14" s="39" t="s">
        <v>843</v>
      </c>
      <c r="C14" s="140">
        <v>6</v>
      </c>
      <c r="D14" s="140"/>
      <c r="E14" s="140"/>
      <c r="F14" s="140"/>
      <c r="G14" s="140"/>
      <c r="H14" s="140"/>
      <c r="I14" s="140"/>
      <c r="J14" s="141"/>
      <c r="K14" s="140"/>
      <c r="L14" s="140"/>
      <c r="M14" s="140"/>
    </row>
    <row r="15" spans="1:13" x14ac:dyDescent="0.35">
      <c r="A15" s="466" t="s">
        <v>285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  <c r="L15" s="466"/>
      <c r="M15" s="88">
        <f>SUM(M9:M14)+C14</f>
        <v>129.36000000000001</v>
      </c>
    </row>
    <row r="16" spans="1:13" x14ac:dyDescent="0.35">
      <c r="A16" s="97"/>
      <c r="M16" s="30"/>
    </row>
    <row r="17" spans="13:28" x14ac:dyDescent="0.35">
      <c r="M17" s="30"/>
    </row>
    <row r="18" spans="13:28" x14ac:dyDescent="0.35">
      <c r="M18" s="143"/>
    </row>
    <row r="21" spans="13:28" x14ac:dyDescent="0.35">
      <c r="M21" s="109"/>
    </row>
    <row r="25" spans="13:28" x14ac:dyDescent="0.35">
      <c r="O25" s="467" t="s">
        <v>177</v>
      </c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  <c r="AA25" s="467"/>
      <c r="AB25" s="138"/>
    </row>
    <row r="26" spans="13:28" ht="87" x14ac:dyDescent="0.35">
      <c r="O26" s="139" t="s">
        <v>178</v>
      </c>
      <c r="P26" s="139" t="s">
        <v>179</v>
      </c>
      <c r="Q26" s="139" t="s">
        <v>180</v>
      </c>
      <c r="R26" s="139" t="s">
        <v>181</v>
      </c>
      <c r="S26" s="139" t="s">
        <v>182</v>
      </c>
      <c r="T26" s="139" t="s">
        <v>225</v>
      </c>
      <c r="U26" s="139" t="s">
        <v>183</v>
      </c>
      <c r="V26" s="139" t="s">
        <v>184</v>
      </c>
      <c r="W26" s="139" t="s">
        <v>185</v>
      </c>
      <c r="X26" s="139" t="s">
        <v>187</v>
      </c>
      <c r="Y26" s="139" t="s">
        <v>186</v>
      </c>
      <c r="Z26" s="468" t="s">
        <v>169</v>
      </c>
      <c r="AA26" s="468"/>
      <c r="AB26" s="139" t="s">
        <v>318</v>
      </c>
    </row>
    <row r="27" spans="13:28" x14ac:dyDescent="0.35">
      <c r="O27" s="140">
        <v>1</v>
      </c>
      <c r="P27" s="39" t="s">
        <v>188</v>
      </c>
      <c r="Q27" s="140">
        <v>2</v>
      </c>
      <c r="R27" s="140">
        <v>1</v>
      </c>
      <c r="S27" s="140">
        <v>1</v>
      </c>
      <c r="T27" s="140">
        <v>1</v>
      </c>
      <c r="U27" s="469">
        <v>1</v>
      </c>
      <c r="V27" s="469">
        <v>2</v>
      </c>
      <c r="W27" s="470">
        <v>2</v>
      </c>
      <c r="X27" s="470">
        <f>SUM(Q27:T28)+Q30+R30+S30+T30+U27+U29+V27</f>
        <v>19</v>
      </c>
      <c r="Y27" s="469">
        <f>ROUNDUP((SUM(Q27:V31)*2+X27)*0.12,0)</f>
        <v>9</v>
      </c>
      <c r="Z27" s="469"/>
      <c r="AA27" s="469"/>
      <c r="AB27" s="142"/>
    </row>
    <row r="28" spans="13:28" x14ac:dyDescent="0.35">
      <c r="O28" s="140">
        <v>2</v>
      </c>
      <c r="P28" s="39" t="s">
        <v>189</v>
      </c>
      <c r="Q28" s="140">
        <v>2</v>
      </c>
      <c r="R28" s="140">
        <v>1</v>
      </c>
      <c r="S28" s="140">
        <v>1</v>
      </c>
      <c r="T28" s="140">
        <v>1</v>
      </c>
      <c r="U28" s="469"/>
      <c r="V28" s="469"/>
      <c r="W28" s="471"/>
      <c r="X28" s="471"/>
      <c r="Y28" s="469"/>
      <c r="Z28" s="469"/>
      <c r="AA28" s="469"/>
      <c r="AB28" s="140"/>
    </row>
    <row r="29" spans="13:28" x14ac:dyDescent="0.35">
      <c r="O29" s="144">
        <v>3</v>
      </c>
      <c r="P29" s="145" t="s">
        <v>190</v>
      </c>
      <c r="Q29" s="144">
        <v>2</v>
      </c>
      <c r="R29" s="144">
        <v>1</v>
      </c>
      <c r="S29" s="144">
        <v>1</v>
      </c>
      <c r="T29" s="144">
        <v>1</v>
      </c>
      <c r="U29" s="469">
        <v>1</v>
      </c>
      <c r="V29" s="469"/>
      <c r="W29" s="140">
        <v>1</v>
      </c>
      <c r="X29" s="470"/>
      <c r="Y29" s="469"/>
      <c r="Z29" s="469"/>
      <c r="AA29" s="469"/>
      <c r="AB29" s="140"/>
    </row>
    <row r="30" spans="13:28" x14ac:dyDescent="0.35">
      <c r="O30" s="140">
        <v>4</v>
      </c>
      <c r="P30" s="39" t="s">
        <v>191</v>
      </c>
      <c r="Q30" s="140">
        <v>2</v>
      </c>
      <c r="R30" s="140">
        <v>1</v>
      </c>
      <c r="S30" s="140">
        <v>1</v>
      </c>
      <c r="T30" s="140">
        <v>1</v>
      </c>
      <c r="U30" s="469"/>
      <c r="V30" s="469"/>
      <c r="W30" s="140">
        <v>3</v>
      </c>
      <c r="X30" s="471"/>
      <c r="Y30" s="469"/>
      <c r="Z30" s="469"/>
      <c r="AA30" s="469"/>
      <c r="AB30" s="140"/>
    </row>
    <row r="31" spans="13:28" x14ac:dyDescent="0.35">
      <c r="O31" s="144">
        <v>5</v>
      </c>
      <c r="P31" s="145" t="s">
        <v>329</v>
      </c>
      <c r="Q31" s="144"/>
      <c r="R31" s="144"/>
      <c r="S31" s="144"/>
      <c r="T31" s="144"/>
      <c r="U31" s="140"/>
      <c r="V31" s="140"/>
      <c r="W31" s="140"/>
      <c r="X31" s="141"/>
      <c r="Y31" s="140"/>
      <c r="Z31" s="140"/>
      <c r="AA31" s="140"/>
      <c r="AB31" s="140"/>
    </row>
    <row r="32" spans="13:28" x14ac:dyDescent="0.35">
      <c r="O32" s="466" t="s">
        <v>285</v>
      </c>
      <c r="P32" s="466"/>
      <c r="Q32" s="466"/>
      <c r="R32" s="466"/>
      <c r="S32" s="466"/>
      <c r="T32" s="466"/>
      <c r="U32" s="466"/>
      <c r="V32" s="466"/>
      <c r="W32" s="466"/>
      <c r="X32" s="466"/>
      <c r="Y32" s="466"/>
      <c r="Z32" s="466"/>
      <c r="AA32" s="88">
        <f>SUM(Q27:V30)*W27+X27+Y27+Q31</f>
        <v>76</v>
      </c>
      <c r="AB32" s="88"/>
    </row>
  </sheetData>
  <mergeCells count="18">
    <mergeCell ref="A15:L15"/>
    <mergeCell ref="A7:M7"/>
    <mergeCell ref="G9:G10"/>
    <mergeCell ref="H9:H12"/>
    <mergeCell ref="G11:G12"/>
    <mergeCell ref="O32:Z32"/>
    <mergeCell ref="O25:AA25"/>
    <mergeCell ref="Z26:AA26"/>
    <mergeCell ref="U27:U28"/>
    <mergeCell ref="V27:V30"/>
    <mergeCell ref="W27:W28"/>
    <mergeCell ref="X27:X28"/>
    <mergeCell ref="Y27:Y28"/>
    <mergeCell ref="Z27:AA28"/>
    <mergeCell ref="U29:U30"/>
    <mergeCell ref="X29:X30"/>
    <mergeCell ref="Y29:Y30"/>
    <mergeCell ref="Z29:AA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47DB-5082-4B2D-A555-EF05EFC1E925}">
  <sheetPr>
    <tabColor rgb="FF00B050"/>
  </sheetPr>
  <dimension ref="A1:X64"/>
  <sheetViews>
    <sheetView zoomScaleNormal="100" workbookViewId="0">
      <pane ySplit="2" topLeftCell="A3" activePane="bottomLeft" state="frozen"/>
      <selection activeCell="B17" sqref="B17"/>
      <selection pane="bottomLeft" activeCell="I7" sqref="I7"/>
    </sheetView>
  </sheetViews>
  <sheetFormatPr defaultColWidth="8.6328125" defaultRowHeight="12.5" x14ac:dyDescent="0.35"/>
  <cols>
    <col min="1" max="1" width="32.81640625" style="146" bestFit="1" customWidth="1"/>
    <col min="2" max="2" width="22.1796875" style="146" bestFit="1" customWidth="1"/>
    <col min="3" max="3" width="8.453125" style="165" customWidth="1"/>
    <col min="4" max="4" width="6" style="165" bestFit="1" customWidth="1"/>
    <col min="5" max="5" width="6.54296875" style="165" customWidth="1"/>
    <col min="6" max="6" width="6" style="165" bestFit="1" customWidth="1"/>
    <col min="7" max="7" width="6" style="163" bestFit="1" customWidth="1"/>
    <col min="8" max="8" width="8.26953125" style="163" bestFit="1" customWidth="1"/>
    <col min="9" max="9" width="7.36328125" style="163" bestFit="1" customWidth="1"/>
    <col min="10" max="10" width="7.81640625" style="163" bestFit="1" customWidth="1"/>
    <col min="11" max="11" width="9.453125" style="163" bestFit="1" customWidth="1"/>
    <col min="12" max="12" width="11.90625" style="163" bestFit="1" customWidth="1"/>
    <col min="13" max="13" width="10.7265625" style="211" customWidth="1"/>
    <col min="14" max="14" width="9.26953125" style="163" bestFit="1" customWidth="1"/>
    <col min="15" max="15" width="9.26953125" style="163" customWidth="1"/>
    <col min="16" max="16" width="7.26953125" style="163" hidden="1" customWidth="1"/>
    <col min="17" max="17" width="9.36328125" style="163" hidden="1" customWidth="1"/>
    <col min="18" max="19" width="6.7265625" style="163" hidden="1" customWidth="1"/>
    <col min="20" max="20" width="6.7265625" style="211" hidden="1" customWidth="1"/>
    <col min="21" max="21" width="6.7265625" style="163" customWidth="1"/>
    <col min="22" max="22" width="19.90625" style="146" bestFit="1" customWidth="1"/>
    <col min="23" max="23" width="10.6328125" style="146" customWidth="1"/>
    <col min="24" max="16384" width="8.6328125" style="146"/>
  </cols>
  <sheetData>
    <row r="1" spans="1:24" x14ac:dyDescent="0.35">
      <c r="A1" s="474" t="s">
        <v>10</v>
      </c>
      <c r="B1" s="474" t="s">
        <v>303</v>
      </c>
      <c r="C1" s="475" t="s">
        <v>395</v>
      </c>
      <c r="D1" s="396" t="s">
        <v>168</v>
      </c>
      <c r="E1" s="396"/>
      <c r="F1" s="396"/>
      <c r="G1" s="396"/>
      <c r="H1" s="396" t="s">
        <v>174</v>
      </c>
      <c r="I1" s="396"/>
      <c r="J1" s="396"/>
      <c r="K1" s="213"/>
      <c r="L1" s="396" t="s">
        <v>175</v>
      </c>
      <c r="M1" s="398" t="s">
        <v>812</v>
      </c>
      <c r="N1" s="396" t="s">
        <v>176</v>
      </c>
      <c r="O1" s="169"/>
      <c r="P1" s="397" t="s">
        <v>169</v>
      </c>
      <c r="Q1" s="170"/>
      <c r="R1" s="170"/>
      <c r="S1" s="170"/>
      <c r="T1" s="223"/>
      <c r="U1" s="170"/>
      <c r="V1" s="170"/>
      <c r="W1" s="170"/>
    </row>
    <row r="2" spans="1:24" ht="27" customHeight="1" x14ac:dyDescent="0.35">
      <c r="A2" s="474"/>
      <c r="B2" s="474"/>
      <c r="C2" s="475"/>
      <c r="D2" s="214" t="s">
        <v>170</v>
      </c>
      <c r="E2" s="305" t="s">
        <v>170</v>
      </c>
      <c r="F2" s="214" t="s">
        <v>171</v>
      </c>
      <c r="G2" s="213" t="s">
        <v>172</v>
      </c>
      <c r="H2" s="213" t="s">
        <v>170</v>
      </c>
      <c r="I2" s="213" t="s">
        <v>171</v>
      </c>
      <c r="J2" s="213" t="s">
        <v>172</v>
      </c>
      <c r="K2" s="213" t="s">
        <v>310</v>
      </c>
      <c r="L2" s="396"/>
      <c r="M2" s="398"/>
      <c r="N2" s="396"/>
      <c r="O2" s="169" t="s">
        <v>418</v>
      </c>
      <c r="P2" s="397"/>
      <c r="Q2" s="170" t="s">
        <v>423</v>
      </c>
      <c r="R2" s="170" t="s">
        <v>320</v>
      </c>
      <c r="S2" s="170" t="s">
        <v>424</v>
      </c>
      <c r="T2" s="223" t="s">
        <v>425</v>
      </c>
      <c r="U2" s="170"/>
      <c r="V2" s="170"/>
      <c r="W2" s="170"/>
    </row>
    <row r="3" spans="1:24" ht="14.5" customHeight="1" x14ac:dyDescent="0.35">
      <c r="A3" s="172" t="s">
        <v>304</v>
      </c>
      <c r="B3" s="173" t="s">
        <v>333</v>
      </c>
      <c r="C3" s="249">
        <v>28980</v>
      </c>
      <c r="D3" s="175">
        <f>0.18-(T3)</f>
        <v>0.14249999999999999</v>
      </c>
      <c r="E3" s="175">
        <f>0.18</f>
        <v>0.18</v>
      </c>
      <c r="F3" s="175">
        <v>3.125E-2</v>
      </c>
      <c r="G3" s="176">
        <f>D3+F3</f>
        <v>0.17374999999999999</v>
      </c>
      <c r="H3" s="177">
        <f>E3*C3</f>
        <v>5216.3999999999996</v>
      </c>
      <c r="I3" s="177">
        <f t="shared" ref="I3:I41" si="0">F3*C3</f>
        <v>905.625</v>
      </c>
      <c r="J3" s="169">
        <f t="shared" ref="J3:J12" si="1">SUM(H3:I3)</f>
        <v>6122.0249999999996</v>
      </c>
      <c r="K3" s="174">
        <f>C3/$X$5</f>
        <v>1207.5</v>
      </c>
      <c r="L3" s="169">
        <f>C3*G3/$X$5/7.05/$X$4</f>
        <v>33.817396034816248</v>
      </c>
      <c r="M3" s="207"/>
      <c r="N3" s="169">
        <f>L3*0.12</f>
        <v>4.0580875241779495</v>
      </c>
      <c r="O3" s="169">
        <f>L3+M3+N3</f>
        <v>37.875483558994198</v>
      </c>
      <c r="P3" s="178"/>
      <c r="Q3" s="215">
        <f>50/3600</f>
        <v>1.3888888888888888E-2</v>
      </c>
      <c r="R3" s="215">
        <f>20/3600</f>
        <v>5.5555555555555558E-3</v>
      </c>
      <c r="S3" s="215">
        <f>65/3600</f>
        <v>1.8055555555555554E-2</v>
      </c>
      <c r="T3" s="221">
        <f>SUM(Q3:S3)</f>
        <v>3.7499999999999999E-2</v>
      </c>
      <c r="U3" s="202"/>
      <c r="V3" s="170"/>
      <c r="W3" s="184"/>
      <c r="X3" s="297"/>
    </row>
    <row r="4" spans="1:24" x14ac:dyDescent="0.35">
      <c r="A4" s="173" t="s">
        <v>101</v>
      </c>
      <c r="B4" s="173" t="s">
        <v>293</v>
      </c>
      <c r="C4" s="249">
        <v>47660</v>
      </c>
      <c r="D4" s="179">
        <f>(0.225)-(T4)</f>
        <v>0.1636111111111111</v>
      </c>
      <c r="E4" s="179">
        <f>0.225</f>
        <v>0.22500000000000001</v>
      </c>
      <c r="F4" s="179">
        <f>0.0413888*0.8</f>
        <v>3.3111040000000001E-2</v>
      </c>
      <c r="G4" s="176">
        <f t="shared" ref="G4:G6" si="2">D4+F4</f>
        <v>0.1967221511111111</v>
      </c>
      <c r="H4" s="177">
        <f t="shared" ref="H4:H5" si="3">E4*C4</f>
        <v>10723.5</v>
      </c>
      <c r="I4" s="177">
        <f t="shared" si="0"/>
        <v>1578.0721664</v>
      </c>
      <c r="J4" s="169">
        <f t="shared" si="1"/>
        <v>12301.572166399999</v>
      </c>
      <c r="K4" s="174">
        <f t="shared" ref="K4:K41" si="4">C4/$X$5</f>
        <v>1985.8333333333333</v>
      </c>
      <c r="L4" s="169">
        <f t="shared" ref="L4:L41" si="5">C4*G4/$X$5/7.05/$X$4</f>
        <v>62.968633958975097</v>
      </c>
      <c r="M4" s="207"/>
      <c r="N4" s="169">
        <f>L4*0.12</f>
        <v>7.5562360750770114</v>
      </c>
      <c r="O4" s="169">
        <f t="shared" ref="O4:O43" si="6">L4+M4+N4</f>
        <v>70.524870034052114</v>
      </c>
      <c r="P4" s="178"/>
      <c r="Q4" s="216">
        <f>31/3600</f>
        <v>8.611111111111111E-3</v>
      </c>
      <c r="R4" s="216">
        <f>10/3600</f>
        <v>2.7777777777777779E-3</v>
      </c>
      <c r="S4" s="215">
        <f>180/3600</f>
        <v>0.05</v>
      </c>
      <c r="T4" s="221">
        <f>SUM(Q4:S4)</f>
        <v>6.1388888888888896E-2</v>
      </c>
      <c r="U4" s="202"/>
      <c r="V4" s="170"/>
      <c r="W4" s="184" t="s">
        <v>808</v>
      </c>
      <c r="X4" s="297">
        <v>0.88</v>
      </c>
    </row>
    <row r="5" spans="1:24" x14ac:dyDescent="0.35">
      <c r="A5" s="173" t="s">
        <v>53</v>
      </c>
      <c r="B5" s="173" t="s">
        <v>294</v>
      </c>
      <c r="C5" s="249">
        <v>14700</v>
      </c>
      <c r="D5" s="175">
        <v>9.9000000000000005E-2</v>
      </c>
      <c r="E5" s="175">
        <f>0.1</f>
        <v>0.1</v>
      </c>
      <c r="F5" s="175">
        <v>8.0700000000000008E-3</v>
      </c>
      <c r="G5" s="176">
        <f t="shared" si="2"/>
        <v>0.10707</v>
      </c>
      <c r="H5" s="177">
        <f t="shared" si="3"/>
        <v>1470</v>
      </c>
      <c r="I5" s="177">
        <f t="shared" si="0"/>
        <v>118.629</v>
      </c>
      <c r="J5" s="169">
        <f t="shared" si="1"/>
        <v>1588.6289999999999</v>
      </c>
      <c r="K5" s="174">
        <f t="shared" si="4"/>
        <v>612.5</v>
      </c>
      <c r="L5" s="169">
        <f t="shared" si="5"/>
        <v>10.57066005802708</v>
      </c>
      <c r="M5" s="207"/>
      <c r="N5" s="169">
        <f>(L5*0.12)</f>
        <v>1.2684792069632496</v>
      </c>
      <c r="O5" s="169">
        <f t="shared" si="6"/>
        <v>11.83913926499033</v>
      </c>
      <c r="P5" s="178"/>
      <c r="Q5" s="216"/>
      <c r="R5" s="216"/>
      <c r="S5" s="216"/>
      <c r="T5" s="216"/>
      <c r="U5" s="202"/>
      <c r="V5" s="170"/>
      <c r="W5" s="184" t="s">
        <v>809</v>
      </c>
      <c r="X5" s="297">
        <v>24</v>
      </c>
    </row>
    <row r="6" spans="1:24" x14ac:dyDescent="0.35">
      <c r="A6" s="173" t="s">
        <v>401</v>
      </c>
      <c r="B6" s="173" t="s">
        <v>295</v>
      </c>
      <c r="C6" s="249">
        <f>5600</f>
        <v>5600</v>
      </c>
      <c r="D6" s="175">
        <f>1000/3600</f>
        <v>0.27777777777777779</v>
      </c>
      <c r="E6" s="175"/>
      <c r="F6" s="175">
        <f>300/3600</f>
        <v>8.3333333333333329E-2</v>
      </c>
      <c r="G6" s="176">
        <f t="shared" si="2"/>
        <v>0.3611111111111111</v>
      </c>
      <c r="H6" s="177">
        <f t="shared" ref="H6:H28" si="7">D6*C6</f>
        <v>1555.5555555555557</v>
      </c>
      <c r="I6" s="177">
        <f t="shared" si="0"/>
        <v>466.66666666666663</v>
      </c>
      <c r="J6" s="169">
        <f t="shared" si="1"/>
        <v>2022.2222222222222</v>
      </c>
      <c r="K6" s="174">
        <f t="shared" si="4"/>
        <v>233.33333333333334</v>
      </c>
      <c r="L6" s="169">
        <f t="shared" si="5"/>
        <v>13.581440886405424</v>
      </c>
      <c r="M6" s="207"/>
      <c r="N6" s="169">
        <f>L6*0.12</f>
        <v>1.6297729063686508</v>
      </c>
      <c r="O6" s="169">
        <f t="shared" si="6"/>
        <v>15.211213792774075</v>
      </c>
      <c r="P6" s="169"/>
      <c r="Q6" s="217"/>
      <c r="R6" s="217"/>
      <c r="S6" s="217"/>
      <c r="T6" s="217"/>
      <c r="U6" s="203"/>
      <c r="V6" s="170"/>
      <c r="W6" s="170"/>
    </row>
    <row r="7" spans="1:24" s="147" customFormat="1" x14ac:dyDescent="0.35">
      <c r="A7" s="234" t="s">
        <v>73</v>
      </c>
      <c r="B7" s="234" t="s">
        <v>751</v>
      </c>
      <c r="C7" s="250">
        <v>263000</v>
      </c>
      <c r="D7" s="236">
        <v>7.9860999999999994E-3</v>
      </c>
      <c r="E7" s="236"/>
      <c r="F7" s="237">
        <v>5.3832999999999997E-3</v>
      </c>
      <c r="G7" s="237">
        <f t="shared" ref="G7:G12" si="8">SUM(D7:F7)</f>
        <v>1.33694E-2</v>
      </c>
      <c r="H7" s="238">
        <f t="shared" si="7"/>
        <v>2100.3442999999997</v>
      </c>
      <c r="I7" s="238">
        <f t="shared" si="0"/>
        <v>1415.8079</v>
      </c>
      <c r="J7" s="235">
        <f t="shared" si="1"/>
        <v>3516.1521999999995</v>
      </c>
      <c r="K7" s="174">
        <f t="shared" si="4"/>
        <v>10958.333333333334</v>
      </c>
      <c r="L7" s="169">
        <f t="shared" si="5"/>
        <v>23.614819739952718</v>
      </c>
      <c r="M7" s="207"/>
      <c r="N7" s="169">
        <f t="shared" ref="N7:N9" si="9">L7*0.12</f>
        <v>2.8337783687943263</v>
      </c>
      <c r="O7" s="169">
        <f t="shared" si="6"/>
        <v>26.448598108747046</v>
      </c>
      <c r="P7" s="181"/>
      <c r="Q7" s="218"/>
      <c r="R7" s="218"/>
      <c r="S7" s="218"/>
      <c r="T7" s="218"/>
      <c r="U7" s="204"/>
      <c r="V7" s="182"/>
      <c r="W7" s="182"/>
    </row>
    <row r="8" spans="1:24" s="147" customFormat="1" x14ac:dyDescent="0.35">
      <c r="A8" s="234" t="s">
        <v>224</v>
      </c>
      <c r="B8" s="234" t="s">
        <v>308</v>
      </c>
      <c r="C8" s="250"/>
      <c r="D8" s="236">
        <v>6.9861000000000003E-3</v>
      </c>
      <c r="E8" s="236"/>
      <c r="F8" s="237">
        <v>9.056E-4</v>
      </c>
      <c r="G8" s="237">
        <f t="shared" si="8"/>
        <v>7.8916999999999998E-3</v>
      </c>
      <c r="H8" s="238">
        <f t="shared" si="7"/>
        <v>0</v>
      </c>
      <c r="I8" s="238">
        <f t="shared" si="0"/>
        <v>0</v>
      </c>
      <c r="J8" s="235">
        <f t="shared" si="1"/>
        <v>0</v>
      </c>
      <c r="K8" s="174">
        <f t="shared" si="4"/>
        <v>0</v>
      </c>
      <c r="L8" s="169">
        <f t="shared" si="5"/>
        <v>0</v>
      </c>
      <c r="M8" s="207"/>
      <c r="N8" s="169">
        <f>ROUNDUP(L8*0.12,0)</f>
        <v>0</v>
      </c>
      <c r="O8" s="169">
        <f t="shared" si="6"/>
        <v>0</v>
      </c>
      <c r="P8" s="181"/>
      <c r="Q8" s="218"/>
      <c r="R8" s="218"/>
      <c r="S8" s="218"/>
      <c r="T8" s="218"/>
      <c r="U8" s="204"/>
      <c r="V8" s="182"/>
      <c r="W8" s="182"/>
    </row>
    <row r="9" spans="1:24" s="147" customFormat="1" hidden="1" x14ac:dyDescent="0.35">
      <c r="A9" s="234" t="s">
        <v>173</v>
      </c>
      <c r="B9" s="234" t="s">
        <v>306</v>
      </c>
      <c r="C9" s="250"/>
      <c r="D9" s="236">
        <v>1.8180000000000002E-2</v>
      </c>
      <c r="E9" s="236"/>
      <c r="F9" s="237">
        <v>9.6399999999999993E-3</v>
      </c>
      <c r="G9" s="237">
        <f t="shared" si="8"/>
        <v>2.7820000000000001E-2</v>
      </c>
      <c r="H9" s="238">
        <f t="shared" si="7"/>
        <v>0</v>
      </c>
      <c r="I9" s="238">
        <f t="shared" si="0"/>
        <v>0</v>
      </c>
      <c r="J9" s="235">
        <f t="shared" si="1"/>
        <v>0</v>
      </c>
      <c r="K9" s="174">
        <f t="shared" si="4"/>
        <v>0</v>
      </c>
      <c r="L9" s="169">
        <f t="shared" si="5"/>
        <v>0</v>
      </c>
      <c r="M9" s="207"/>
      <c r="N9" s="169">
        <f t="shared" si="9"/>
        <v>0</v>
      </c>
      <c r="O9" s="169">
        <f t="shared" si="6"/>
        <v>0</v>
      </c>
      <c r="P9" s="181"/>
      <c r="Q9" s="218"/>
      <c r="R9" s="218"/>
      <c r="S9" s="218"/>
      <c r="T9" s="218"/>
      <c r="U9" s="204"/>
      <c r="V9" s="182"/>
      <c r="W9" s="182"/>
    </row>
    <row r="10" spans="1:24" x14ac:dyDescent="0.35">
      <c r="A10" s="173" t="s">
        <v>69</v>
      </c>
      <c r="B10" s="173" t="s">
        <v>305</v>
      </c>
      <c r="C10" s="249">
        <v>16560</v>
      </c>
      <c r="D10" s="175">
        <f>0.17-T10</f>
        <v>0.15194444444444447</v>
      </c>
      <c r="E10" s="175">
        <v>0.17</v>
      </c>
      <c r="F10" s="175">
        <v>0.03</v>
      </c>
      <c r="G10" s="176">
        <f t="shared" ref="G10:G11" si="10">D10+F10</f>
        <v>0.18194444444444446</v>
      </c>
      <c r="H10" s="177">
        <f t="shared" ref="H10:H11" si="11">E10*C10</f>
        <v>2815.2000000000003</v>
      </c>
      <c r="I10" s="177">
        <f t="shared" si="0"/>
        <v>496.79999999999995</v>
      </c>
      <c r="J10" s="169">
        <f t="shared" si="1"/>
        <v>3312</v>
      </c>
      <c r="K10" s="174">
        <f t="shared" si="4"/>
        <v>690</v>
      </c>
      <c r="L10" s="169">
        <f t="shared" si="5"/>
        <v>20.235600687728351</v>
      </c>
      <c r="M10" s="207"/>
      <c r="N10" s="169">
        <f>L10*0.12</f>
        <v>2.428272082527402</v>
      </c>
      <c r="O10" s="169">
        <f t="shared" si="6"/>
        <v>22.663872770255754</v>
      </c>
      <c r="P10" s="178"/>
      <c r="Q10" s="221">
        <f>15/3600</f>
        <v>4.1666666666666666E-3</v>
      </c>
      <c r="R10" s="216">
        <f>10/3600</f>
        <v>2.7777777777777779E-3</v>
      </c>
      <c r="S10" s="215">
        <f>40/3600</f>
        <v>1.1111111111111112E-2</v>
      </c>
      <c r="T10" s="221">
        <f t="shared" ref="T10:T11" si="12">SUM(Q10:S10)</f>
        <v>1.8055555555555554E-2</v>
      </c>
      <c r="U10" s="202"/>
      <c r="V10" s="183"/>
      <c r="W10" s="170"/>
    </row>
    <row r="11" spans="1:24" ht="14.5" x14ac:dyDescent="0.35">
      <c r="A11" s="42" t="s">
        <v>813</v>
      </c>
      <c r="B11" s="184" t="s">
        <v>307</v>
      </c>
      <c r="C11" s="249">
        <v>31700</v>
      </c>
      <c r="D11" s="175">
        <f>0.365-T11</f>
        <v>0.22888888888888889</v>
      </c>
      <c r="E11" s="175">
        <v>0.39500000000000002</v>
      </c>
      <c r="F11" s="175">
        <v>6.1100000000000002E-2</v>
      </c>
      <c r="G11" s="176">
        <f t="shared" si="10"/>
        <v>0.28998888888888891</v>
      </c>
      <c r="H11" s="177">
        <f t="shared" si="11"/>
        <v>12521.5</v>
      </c>
      <c r="I11" s="177">
        <f t="shared" si="0"/>
        <v>1936.8700000000001</v>
      </c>
      <c r="J11" s="169">
        <f t="shared" si="1"/>
        <v>14458.37</v>
      </c>
      <c r="K11" s="174">
        <f t="shared" si="4"/>
        <v>1320.8333333333333</v>
      </c>
      <c r="L11" s="169">
        <f t="shared" si="5"/>
        <v>61.738715464336032</v>
      </c>
      <c r="M11" s="226"/>
      <c r="N11" s="169">
        <f>L11*0.12</f>
        <v>7.4086458557203239</v>
      </c>
      <c r="O11" s="169">
        <f t="shared" si="6"/>
        <v>69.147361320056362</v>
      </c>
      <c r="P11" s="178"/>
      <c r="Q11" s="215">
        <f>90/3600</f>
        <v>2.5000000000000001E-2</v>
      </c>
      <c r="R11" s="215">
        <f>100/3600</f>
        <v>2.7777777777777776E-2</v>
      </c>
      <c r="S11" s="215">
        <f>300/3600</f>
        <v>8.3333333333333329E-2</v>
      </c>
      <c r="T11" s="221">
        <f t="shared" si="12"/>
        <v>0.1361111111111111</v>
      </c>
      <c r="U11" s="202"/>
      <c r="V11" s="170"/>
      <c r="W11" s="170"/>
    </row>
    <row r="12" spans="1:24" hidden="1" x14ac:dyDescent="0.35">
      <c r="A12" s="299" t="s">
        <v>326</v>
      </c>
      <c r="B12" s="240" t="s">
        <v>327</v>
      </c>
      <c r="C12" s="250"/>
      <c r="D12" s="236">
        <v>1.6E-2</v>
      </c>
      <c r="E12" s="236"/>
      <c r="F12" s="236">
        <v>5.0000000000000001E-3</v>
      </c>
      <c r="G12" s="241">
        <f t="shared" si="8"/>
        <v>2.1000000000000001E-2</v>
      </c>
      <c r="H12" s="242">
        <f t="shared" si="7"/>
        <v>0</v>
      </c>
      <c r="I12" s="242">
        <f t="shared" si="0"/>
        <v>0</v>
      </c>
      <c r="J12" s="239">
        <f t="shared" si="1"/>
        <v>0</v>
      </c>
      <c r="K12" s="174">
        <f t="shared" si="4"/>
        <v>0</v>
      </c>
      <c r="L12" s="169">
        <f t="shared" si="5"/>
        <v>0</v>
      </c>
      <c r="M12" s="207"/>
      <c r="N12" s="169">
        <f t="shared" ref="N12:N41" si="13">L12*0.12</f>
        <v>0</v>
      </c>
      <c r="O12" s="169">
        <f t="shared" si="6"/>
        <v>0</v>
      </c>
      <c r="P12" s="178"/>
      <c r="Q12" s="202"/>
      <c r="R12" s="202"/>
      <c r="S12" s="202"/>
      <c r="T12" s="216"/>
      <c r="U12" s="202"/>
      <c r="V12" s="170"/>
      <c r="W12" s="170"/>
    </row>
    <row r="13" spans="1:24" hidden="1" x14ac:dyDescent="0.35">
      <c r="A13" s="240"/>
      <c r="B13" s="240" t="s">
        <v>399</v>
      </c>
      <c r="C13" s="250"/>
      <c r="D13" s="236">
        <v>4.7222199999999999E-2</v>
      </c>
      <c r="E13" s="236"/>
      <c r="F13" s="236">
        <v>1.07639E-2</v>
      </c>
      <c r="G13" s="241">
        <f t="shared" ref="G13:G18" si="14">SUM(D13:F13)</f>
        <v>5.7986099999999999E-2</v>
      </c>
      <c r="H13" s="242">
        <f t="shared" si="7"/>
        <v>0</v>
      </c>
      <c r="I13" s="242">
        <f t="shared" si="0"/>
        <v>0</v>
      </c>
      <c r="J13" s="239">
        <f t="shared" ref="J13" si="15">SUM(H13:I13)</f>
        <v>0</v>
      </c>
      <c r="K13" s="174">
        <f t="shared" si="4"/>
        <v>0</v>
      </c>
      <c r="L13" s="169">
        <f t="shared" si="5"/>
        <v>0</v>
      </c>
      <c r="M13" s="207"/>
      <c r="N13" s="169">
        <f t="shared" si="13"/>
        <v>0</v>
      </c>
      <c r="O13" s="169">
        <f t="shared" si="6"/>
        <v>0</v>
      </c>
      <c r="P13" s="178"/>
      <c r="Q13" s="202"/>
      <c r="R13" s="202"/>
      <c r="S13" s="202"/>
      <c r="T13" s="216"/>
      <c r="U13" s="202"/>
      <c r="V13" s="170"/>
      <c r="W13" s="170"/>
    </row>
    <row r="14" spans="1:24" s="260" customFormat="1" ht="14.5" x14ac:dyDescent="0.35">
      <c r="A14" s="300" t="s">
        <v>532</v>
      </c>
      <c r="B14" s="234" t="s">
        <v>357</v>
      </c>
      <c r="C14" s="250">
        <f>14400+4000</f>
        <v>18400</v>
      </c>
      <c r="D14" s="236">
        <v>4.1402799999999997E-2</v>
      </c>
      <c r="E14" s="236"/>
      <c r="F14" s="236">
        <v>7.9860999999999994E-3</v>
      </c>
      <c r="G14" s="236">
        <f t="shared" si="14"/>
        <v>4.9388899999999999E-2</v>
      </c>
      <c r="H14" s="238">
        <f t="shared" si="7"/>
        <v>761.81151999999997</v>
      </c>
      <c r="I14" s="238">
        <f t="shared" si="0"/>
        <v>146.94423999999998</v>
      </c>
      <c r="J14" s="235">
        <f t="shared" ref="J14:J25" si="16">SUM(H14:I14)</f>
        <v>908.75576000000001</v>
      </c>
      <c r="K14" s="174">
        <f t="shared" si="4"/>
        <v>766.66666666666663</v>
      </c>
      <c r="L14" s="169">
        <f t="shared" si="5"/>
        <v>6.1032919621749411</v>
      </c>
      <c r="M14" s="298"/>
      <c r="N14" s="174">
        <f t="shared" si="13"/>
        <v>0.73239503546099294</v>
      </c>
      <c r="O14" s="169">
        <f t="shared" si="6"/>
        <v>6.8356869976359338</v>
      </c>
      <c r="P14" s="256"/>
      <c r="Q14" s="257"/>
      <c r="R14" s="257"/>
      <c r="S14" s="257"/>
      <c r="T14" s="258"/>
      <c r="U14" s="257"/>
      <c r="V14" s="259"/>
      <c r="W14" s="259"/>
    </row>
    <row r="15" spans="1:24" x14ac:dyDescent="0.35">
      <c r="A15" s="240"/>
      <c r="B15" s="240" t="s">
        <v>354</v>
      </c>
      <c r="C15" s="250">
        <v>123000</v>
      </c>
      <c r="D15" s="236">
        <v>1.0069399999999999E-2</v>
      </c>
      <c r="E15" s="236"/>
      <c r="F15" s="236">
        <v>4.1666999999999997E-3</v>
      </c>
      <c r="G15" s="241">
        <f t="shared" si="14"/>
        <v>1.4236099999999998E-2</v>
      </c>
      <c r="H15" s="242">
        <f t="shared" si="7"/>
        <v>1238.5362</v>
      </c>
      <c r="I15" s="242">
        <f t="shared" si="0"/>
        <v>512.50409999999999</v>
      </c>
      <c r="J15" s="239">
        <f t="shared" si="16"/>
        <v>1751.0403000000001</v>
      </c>
      <c r="K15" s="174">
        <f t="shared" si="4"/>
        <v>5125</v>
      </c>
      <c r="L15" s="169">
        <f t="shared" si="5"/>
        <v>11.760156753707284</v>
      </c>
      <c r="M15" s="207"/>
      <c r="N15" s="169">
        <f t="shared" si="13"/>
        <v>1.411218810444874</v>
      </c>
      <c r="O15" s="169">
        <f t="shared" si="6"/>
        <v>13.171375564152157</v>
      </c>
      <c r="P15" s="178"/>
      <c r="Q15" s="202"/>
      <c r="R15" s="202"/>
      <c r="S15" s="202"/>
      <c r="T15" s="216"/>
      <c r="U15" s="202"/>
      <c r="V15" s="170"/>
      <c r="W15" s="170"/>
    </row>
    <row r="16" spans="1:24" x14ac:dyDescent="0.35">
      <c r="A16" s="268" t="s">
        <v>287</v>
      </c>
      <c r="B16" s="268" t="s">
        <v>309</v>
      </c>
      <c r="C16" s="269">
        <v>20720</v>
      </c>
      <c r="D16" s="270">
        <v>0.05</v>
      </c>
      <c r="E16" s="270"/>
      <c r="F16" s="270">
        <v>8.9999999999999993E-3</v>
      </c>
      <c r="G16" s="276">
        <f t="shared" si="14"/>
        <v>5.9000000000000004E-2</v>
      </c>
      <c r="H16" s="271">
        <f t="shared" si="7"/>
        <v>1036</v>
      </c>
      <c r="I16" s="271">
        <f t="shared" si="0"/>
        <v>186.48</v>
      </c>
      <c r="J16" s="272">
        <f t="shared" si="16"/>
        <v>1222.48</v>
      </c>
      <c r="K16" s="174">
        <f t="shared" si="4"/>
        <v>863.33333333333337</v>
      </c>
      <c r="L16" s="169">
        <f t="shared" si="5"/>
        <v>8.2102944336986887</v>
      </c>
      <c r="M16" s="207"/>
      <c r="N16" s="169">
        <f t="shared" si="13"/>
        <v>0.98523533204384262</v>
      </c>
      <c r="O16" s="169">
        <f t="shared" si="6"/>
        <v>9.1955297657425312</v>
      </c>
      <c r="P16" s="181"/>
      <c r="Q16" s="204"/>
      <c r="R16" s="204"/>
      <c r="S16" s="204"/>
      <c r="T16" s="218"/>
      <c r="U16" s="204"/>
      <c r="V16" s="170"/>
      <c r="W16" s="170"/>
    </row>
    <row r="17" spans="1:23" hidden="1" x14ac:dyDescent="0.3">
      <c r="A17" s="227" t="s">
        <v>406</v>
      </c>
      <c r="B17" s="184" t="s">
        <v>429</v>
      </c>
      <c r="C17" s="249"/>
      <c r="D17" s="175">
        <v>0.56000000000000005</v>
      </c>
      <c r="E17" s="175"/>
      <c r="F17" s="175">
        <v>0.14000000000000001</v>
      </c>
      <c r="G17" s="176">
        <f t="shared" si="14"/>
        <v>0.70000000000000007</v>
      </c>
      <c r="H17" s="177">
        <f t="shared" si="7"/>
        <v>0</v>
      </c>
      <c r="I17" s="177">
        <f t="shared" si="0"/>
        <v>0</v>
      </c>
      <c r="J17" s="169">
        <f t="shared" ref="J17" si="17">SUM(H17:I17)</f>
        <v>0</v>
      </c>
      <c r="K17" s="174">
        <f t="shared" si="4"/>
        <v>0</v>
      </c>
      <c r="L17" s="169">
        <f t="shared" si="5"/>
        <v>0</v>
      </c>
      <c r="M17" s="207"/>
      <c r="N17" s="169">
        <f t="shared" si="13"/>
        <v>0</v>
      </c>
      <c r="O17" s="169">
        <f t="shared" si="6"/>
        <v>0</v>
      </c>
      <c r="P17" s="181"/>
      <c r="Q17" s="204"/>
      <c r="R17" s="204"/>
      <c r="S17" s="204"/>
      <c r="T17" s="218"/>
      <c r="U17" s="204"/>
      <c r="V17" s="170"/>
      <c r="W17" s="170"/>
    </row>
    <row r="18" spans="1:23" x14ac:dyDescent="0.35">
      <c r="A18" s="184" t="s">
        <v>398</v>
      </c>
      <c r="B18" s="184" t="s">
        <v>295</v>
      </c>
      <c r="C18" s="308">
        <f>21648</f>
        <v>21648</v>
      </c>
      <c r="D18" s="175">
        <f>1400/3600</f>
        <v>0.3888888888888889</v>
      </c>
      <c r="E18" s="175"/>
      <c r="F18" s="175">
        <v>0.14499999999999999</v>
      </c>
      <c r="G18" s="177">
        <f t="shared" si="14"/>
        <v>0.53388888888888886</v>
      </c>
      <c r="H18" s="177">
        <f t="shared" si="7"/>
        <v>8418.6666666666661</v>
      </c>
      <c r="I18" s="177">
        <f t="shared" si="0"/>
        <v>3138.9599999999996</v>
      </c>
      <c r="J18" s="169">
        <f t="shared" si="16"/>
        <v>11557.626666666665</v>
      </c>
      <c r="K18" s="174">
        <f t="shared" si="4"/>
        <v>902</v>
      </c>
      <c r="L18" s="169">
        <f t="shared" si="5"/>
        <v>77.62214342001576</v>
      </c>
      <c r="M18" s="207">
        <f>L18*(1/6)</f>
        <v>12.937023903335959</v>
      </c>
      <c r="N18" s="169">
        <f>(L18+M18)*0.12</f>
        <v>10.867100078802206</v>
      </c>
      <c r="O18" s="169">
        <f t="shared" si="6"/>
        <v>101.42626740215393</v>
      </c>
      <c r="P18" s="178"/>
      <c r="Q18" s="202"/>
      <c r="R18" s="202"/>
      <c r="S18" s="202"/>
      <c r="T18" s="216"/>
      <c r="U18" s="202"/>
      <c r="V18" s="185"/>
      <c r="W18" s="185"/>
    </row>
    <row r="19" spans="1:23" hidden="1" x14ac:dyDescent="0.35">
      <c r="A19" s="240" t="s">
        <v>323</v>
      </c>
      <c r="B19" s="240" t="s">
        <v>295</v>
      </c>
      <c r="C19" s="251">
        <v>0</v>
      </c>
      <c r="D19" s="238">
        <v>0.08</v>
      </c>
      <c r="E19" s="238"/>
      <c r="F19" s="238">
        <v>0.03</v>
      </c>
      <c r="G19" s="242">
        <f t="shared" ref="G19:G27" si="18">SUM(D19:F19)</f>
        <v>0.11</v>
      </c>
      <c r="H19" s="242">
        <f>D19*C19</f>
        <v>0</v>
      </c>
      <c r="I19" s="242">
        <f>F19*C19</f>
        <v>0</v>
      </c>
      <c r="J19" s="239">
        <f>SUM(H19:I19)</f>
        <v>0</v>
      </c>
      <c r="K19" s="174">
        <f t="shared" si="4"/>
        <v>0</v>
      </c>
      <c r="L19" s="169">
        <f t="shared" si="5"/>
        <v>0</v>
      </c>
      <c r="M19" s="207"/>
      <c r="N19" s="169">
        <f t="shared" si="13"/>
        <v>0</v>
      </c>
      <c r="O19" s="169">
        <f t="shared" si="6"/>
        <v>0</v>
      </c>
      <c r="P19" s="178"/>
      <c r="Q19" s="202"/>
      <c r="R19" s="202"/>
      <c r="S19" s="202"/>
      <c r="T19" s="216"/>
      <c r="U19" s="202"/>
      <c r="V19" s="170"/>
      <c r="W19" s="170"/>
    </row>
    <row r="20" spans="1:23" hidden="1" x14ac:dyDescent="0.35">
      <c r="A20" s="184" t="s">
        <v>339</v>
      </c>
      <c r="B20" s="184" t="s">
        <v>295</v>
      </c>
      <c r="C20" s="252"/>
      <c r="D20" s="175">
        <v>0.51600000000000001</v>
      </c>
      <c r="E20" s="175"/>
      <c r="F20" s="175">
        <v>0.14530000000000001</v>
      </c>
      <c r="G20" s="180">
        <f t="shared" si="18"/>
        <v>0.6613</v>
      </c>
      <c r="H20" s="177">
        <f>D20*C20</f>
        <v>0</v>
      </c>
      <c r="I20" s="177">
        <f>F20*C20</f>
        <v>0</v>
      </c>
      <c r="J20" s="169">
        <f>SUM(H20:I20)</f>
        <v>0</v>
      </c>
      <c r="K20" s="174">
        <f t="shared" si="4"/>
        <v>0</v>
      </c>
      <c r="L20" s="169">
        <f t="shared" si="5"/>
        <v>0</v>
      </c>
      <c r="M20" s="207">
        <f>L20*(1/6)</f>
        <v>0</v>
      </c>
      <c r="N20" s="169">
        <f t="shared" si="13"/>
        <v>0</v>
      </c>
      <c r="O20" s="169">
        <f t="shared" si="6"/>
        <v>0</v>
      </c>
      <c r="P20" s="178"/>
      <c r="Q20" s="202"/>
      <c r="R20" s="202"/>
      <c r="S20" s="202"/>
      <c r="T20" s="216"/>
      <c r="U20" s="202"/>
      <c r="V20" s="170"/>
      <c r="W20" s="170"/>
    </row>
    <row r="21" spans="1:23" ht="14.5" x14ac:dyDescent="0.35">
      <c r="A21" s="245" t="s">
        <v>543</v>
      </c>
      <c r="B21" s="184" t="s">
        <v>544</v>
      </c>
      <c r="C21" s="252">
        <v>1000</v>
      </c>
      <c r="D21" s="175">
        <v>0.42</v>
      </c>
      <c r="E21" s="175"/>
      <c r="F21" s="175">
        <f>500/3600</f>
        <v>0.1388888888888889</v>
      </c>
      <c r="G21" s="180">
        <f t="shared" si="18"/>
        <v>0.55888888888888888</v>
      </c>
      <c r="H21" s="177">
        <f>D21*C21</f>
        <v>420</v>
      </c>
      <c r="I21" s="177">
        <f>F21*C21</f>
        <v>138.88888888888889</v>
      </c>
      <c r="J21" s="169">
        <f>SUM(H21:I21)</f>
        <v>558.88888888888891</v>
      </c>
      <c r="K21" s="174">
        <f t="shared" si="4"/>
        <v>41.666666666666664</v>
      </c>
      <c r="L21" s="169">
        <f t="shared" si="5"/>
        <v>3.7535520691549062</v>
      </c>
      <c r="M21" s="207"/>
      <c r="N21" s="169">
        <f t="shared" si="13"/>
        <v>0.45042624829858874</v>
      </c>
      <c r="O21" s="169">
        <f t="shared" si="6"/>
        <v>4.2039783174534948</v>
      </c>
      <c r="P21" s="178"/>
      <c r="Q21" s="202"/>
      <c r="R21" s="202"/>
      <c r="S21" s="202"/>
      <c r="T21" s="216"/>
      <c r="U21" s="202"/>
      <c r="V21" s="170"/>
      <c r="W21" s="170"/>
    </row>
    <row r="22" spans="1:23" x14ac:dyDescent="0.35">
      <c r="A22" s="184" t="s">
        <v>545</v>
      </c>
      <c r="B22" s="184" t="s">
        <v>295</v>
      </c>
      <c r="C22" s="249">
        <v>16000</v>
      </c>
      <c r="D22" s="175">
        <v>0.3911</v>
      </c>
      <c r="E22" s="175"/>
      <c r="F22" s="175">
        <v>4.2700000000000002E-2</v>
      </c>
      <c r="G22" s="180">
        <f t="shared" si="18"/>
        <v>0.43380000000000002</v>
      </c>
      <c r="H22" s="177">
        <f t="shared" si="7"/>
        <v>6257.6</v>
      </c>
      <c r="I22" s="177">
        <f t="shared" si="0"/>
        <v>683.2</v>
      </c>
      <c r="J22" s="169">
        <f t="shared" si="16"/>
        <v>6940.8</v>
      </c>
      <c r="K22" s="174">
        <f t="shared" si="4"/>
        <v>666.66666666666663</v>
      </c>
      <c r="L22" s="169">
        <f t="shared" si="5"/>
        <v>46.615087040618953</v>
      </c>
      <c r="M22" s="207"/>
      <c r="N22" s="169">
        <f t="shared" si="13"/>
        <v>5.5938104448742738</v>
      </c>
      <c r="O22" s="169">
        <f t="shared" si="6"/>
        <v>52.208897485493225</v>
      </c>
      <c r="P22" s="178"/>
      <c r="Q22" s="202"/>
      <c r="R22" s="202"/>
      <c r="S22" s="202"/>
      <c r="T22" s="216"/>
      <c r="U22" s="202"/>
      <c r="V22" s="170"/>
      <c r="W22" s="170"/>
    </row>
    <row r="23" spans="1:23" x14ac:dyDescent="0.35">
      <c r="A23" s="184" t="s">
        <v>400</v>
      </c>
      <c r="B23" s="184" t="s">
        <v>295</v>
      </c>
      <c r="C23" s="249">
        <v>19000</v>
      </c>
      <c r="D23" s="175">
        <f>1200/3600</f>
        <v>0.33333333333333331</v>
      </c>
      <c r="E23" s="175"/>
      <c r="F23" s="175">
        <f>280/3600</f>
        <v>7.7777777777777779E-2</v>
      </c>
      <c r="G23" s="180">
        <f t="shared" si="18"/>
        <v>0.41111111111111109</v>
      </c>
      <c r="H23" s="177">
        <f t="shared" si="7"/>
        <v>6333.333333333333</v>
      </c>
      <c r="I23" s="177">
        <f t="shared" si="0"/>
        <v>1477.7777777777778</v>
      </c>
      <c r="J23" s="169">
        <f t="shared" si="16"/>
        <v>7811.1111111111113</v>
      </c>
      <c r="K23" s="174">
        <f t="shared" si="4"/>
        <v>791.66666666666663</v>
      </c>
      <c r="L23" s="169">
        <f t="shared" si="5"/>
        <v>52.460181006280294</v>
      </c>
      <c r="M23" s="207">
        <v>9</v>
      </c>
      <c r="N23" s="169">
        <f>(L23+M23)*0.12</f>
        <v>7.3752217207536352</v>
      </c>
      <c r="O23" s="169">
        <f t="shared" si="6"/>
        <v>68.835402727033923</v>
      </c>
      <c r="P23" s="178"/>
      <c r="Q23" s="202"/>
      <c r="R23" s="202"/>
      <c r="S23" s="202"/>
      <c r="T23" s="216"/>
      <c r="U23" s="202"/>
      <c r="V23" s="170"/>
      <c r="W23" s="170"/>
    </row>
    <row r="24" spans="1:23" x14ac:dyDescent="0.35">
      <c r="A24" s="184" t="s">
        <v>692</v>
      </c>
      <c r="B24" s="184" t="s">
        <v>410</v>
      </c>
      <c r="C24" s="249">
        <v>9284</v>
      </c>
      <c r="D24" s="175">
        <f>3300/3600</f>
        <v>0.91666666666666663</v>
      </c>
      <c r="E24" s="175"/>
      <c r="F24" s="175">
        <f>500/3600</f>
        <v>0.1388888888888889</v>
      </c>
      <c r="G24" s="180">
        <f t="shared" si="18"/>
        <v>1.0555555555555556</v>
      </c>
      <c r="H24" s="177">
        <f t="shared" si="7"/>
        <v>8510.3333333333321</v>
      </c>
      <c r="I24" s="177">
        <f t="shared" si="0"/>
        <v>1289.4444444444446</v>
      </c>
      <c r="J24" s="169">
        <f t="shared" si="16"/>
        <v>9799.7777777777774</v>
      </c>
      <c r="K24" s="174">
        <f t="shared" si="4"/>
        <v>386.83333333333331</v>
      </c>
      <c r="L24" s="169">
        <f t="shared" si="5"/>
        <v>65.816259521933276</v>
      </c>
      <c r="M24" s="207">
        <f>L24*(1/6)</f>
        <v>10.969376586988879</v>
      </c>
      <c r="N24" s="169">
        <f t="shared" si="13"/>
        <v>7.8979511426319924</v>
      </c>
      <c r="O24" s="169">
        <f t="shared" si="6"/>
        <v>84.683587251554144</v>
      </c>
      <c r="P24" s="178"/>
      <c r="Q24" s="202"/>
      <c r="R24" s="202"/>
      <c r="S24" s="202"/>
      <c r="T24" s="216"/>
      <c r="U24" s="202"/>
      <c r="V24" s="170"/>
      <c r="W24" s="170"/>
    </row>
    <row r="25" spans="1:23" hidden="1" x14ac:dyDescent="0.35">
      <c r="A25" s="184" t="s">
        <v>404</v>
      </c>
      <c r="B25" s="184" t="s">
        <v>410</v>
      </c>
      <c r="C25" s="249"/>
      <c r="D25" s="175">
        <v>0.79900000000000004</v>
      </c>
      <c r="E25" s="175"/>
      <c r="F25" s="175">
        <v>0.31900000000000001</v>
      </c>
      <c r="G25" s="180">
        <f t="shared" si="18"/>
        <v>1.1180000000000001</v>
      </c>
      <c r="H25" s="177">
        <f t="shared" si="7"/>
        <v>0</v>
      </c>
      <c r="I25" s="177">
        <f t="shared" si="0"/>
        <v>0</v>
      </c>
      <c r="J25" s="169">
        <f t="shared" si="16"/>
        <v>0</v>
      </c>
      <c r="K25" s="174">
        <f t="shared" si="4"/>
        <v>0</v>
      </c>
      <c r="L25" s="169">
        <f t="shared" si="5"/>
        <v>0</v>
      </c>
      <c r="M25" s="207"/>
      <c r="N25" s="169">
        <f t="shared" si="13"/>
        <v>0</v>
      </c>
      <c r="O25" s="169">
        <f t="shared" si="6"/>
        <v>0</v>
      </c>
      <c r="P25" s="178"/>
      <c r="Q25" s="202"/>
      <c r="R25" s="202"/>
      <c r="S25" s="202"/>
      <c r="T25" s="216"/>
      <c r="U25" s="202"/>
      <c r="V25" s="170"/>
      <c r="W25" s="170"/>
    </row>
    <row r="26" spans="1:23" ht="14.5" hidden="1" x14ac:dyDescent="0.35">
      <c r="A26" s="245" t="s">
        <v>541</v>
      </c>
      <c r="B26" s="184" t="s">
        <v>410</v>
      </c>
      <c r="C26" s="249"/>
      <c r="D26" s="175">
        <v>0.7</v>
      </c>
      <c r="E26" s="175"/>
      <c r="F26" s="175">
        <v>0.32</v>
      </c>
      <c r="G26" s="180">
        <f t="shared" si="18"/>
        <v>1.02</v>
      </c>
      <c r="H26" s="177">
        <f t="shared" si="7"/>
        <v>0</v>
      </c>
      <c r="I26" s="177">
        <f t="shared" si="0"/>
        <v>0</v>
      </c>
      <c r="J26" s="169">
        <f t="shared" ref="J26:J28" si="19">SUM(H26:I26)</f>
        <v>0</v>
      </c>
      <c r="K26" s="174">
        <f t="shared" si="4"/>
        <v>0</v>
      </c>
      <c r="L26" s="169">
        <f t="shared" si="5"/>
        <v>0</v>
      </c>
      <c r="M26" s="207"/>
      <c r="N26" s="169">
        <f t="shared" si="13"/>
        <v>0</v>
      </c>
      <c r="O26" s="169">
        <f t="shared" si="6"/>
        <v>0</v>
      </c>
      <c r="P26" s="178"/>
      <c r="Q26" s="202"/>
      <c r="R26" s="202"/>
      <c r="S26" s="202"/>
      <c r="T26" s="216"/>
      <c r="U26" s="202"/>
      <c r="V26" s="170"/>
      <c r="W26" s="170"/>
    </row>
    <row r="27" spans="1:23" ht="14.5" hidden="1" x14ac:dyDescent="0.35">
      <c r="A27" s="255" t="s">
        <v>614</v>
      </c>
      <c r="B27" s="184" t="s">
        <v>410</v>
      </c>
      <c r="C27" s="249"/>
      <c r="D27" s="175">
        <v>0.61</v>
      </c>
      <c r="E27" s="175"/>
      <c r="F27" s="175">
        <v>0.31</v>
      </c>
      <c r="G27" s="180">
        <f t="shared" si="18"/>
        <v>0.91999999999999993</v>
      </c>
      <c r="H27" s="177">
        <f t="shared" si="7"/>
        <v>0</v>
      </c>
      <c r="I27" s="177">
        <f t="shared" si="0"/>
        <v>0</v>
      </c>
      <c r="J27" s="169">
        <f t="shared" si="19"/>
        <v>0</v>
      </c>
      <c r="K27" s="174">
        <f t="shared" si="4"/>
        <v>0</v>
      </c>
      <c r="L27" s="169">
        <f t="shared" si="5"/>
        <v>0</v>
      </c>
      <c r="M27" s="207"/>
      <c r="N27" s="169">
        <f t="shared" si="13"/>
        <v>0</v>
      </c>
      <c r="O27" s="169">
        <f t="shared" si="6"/>
        <v>0</v>
      </c>
      <c r="P27" s="178"/>
      <c r="Q27" s="202"/>
      <c r="R27" s="202"/>
      <c r="S27" s="202"/>
      <c r="T27" s="216"/>
      <c r="U27" s="202"/>
      <c r="V27" s="170"/>
      <c r="W27" s="170"/>
    </row>
    <row r="28" spans="1:23" hidden="1" x14ac:dyDescent="0.35">
      <c r="A28" s="268" t="s">
        <v>324</v>
      </c>
      <c r="B28" s="268" t="s">
        <v>430</v>
      </c>
      <c r="C28" s="269">
        <v>0</v>
      </c>
      <c r="D28" s="270">
        <v>0.08</v>
      </c>
      <c r="E28" s="270"/>
      <c r="F28" s="270">
        <v>3.2000000000000001E-2</v>
      </c>
      <c r="G28" s="271">
        <f t="shared" ref="G28" si="20">SUM(D28:F28)</f>
        <v>0.112</v>
      </c>
      <c r="H28" s="271">
        <f t="shared" si="7"/>
        <v>0</v>
      </c>
      <c r="I28" s="271">
        <f t="shared" si="0"/>
        <v>0</v>
      </c>
      <c r="J28" s="272">
        <f t="shared" si="19"/>
        <v>0</v>
      </c>
      <c r="K28" s="174">
        <f t="shared" si="4"/>
        <v>0</v>
      </c>
      <c r="L28" s="169">
        <f t="shared" si="5"/>
        <v>0</v>
      </c>
      <c r="M28" s="207"/>
      <c r="N28" s="169">
        <f t="shared" si="13"/>
        <v>0</v>
      </c>
      <c r="O28" s="169">
        <f t="shared" si="6"/>
        <v>0</v>
      </c>
      <c r="P28" s="178"/>
      <c r="Q28" s="202"/>
      <c r="R28" s="202"/>
      <c r="S28" s="202"/>
      <c r="T28" s="216"/>
      <c r="U28" s="202"/>
      <c r="V28" s="170"/>
      <c r="W28" s="170"/>
    </row>
    <row r="29" spans="1:23" x14ac:dyDescent="0.35">
      <c r="A29" s="184" t="s">
        <v>407</v>
      </c>
      <c r="B29" s="184" t="s">
        <v>409</v>
      </c>
      <c r="C29" s="249">
        <v>18550</v>
      </c>
      <c r="D29" s="175">
        <f>0.065-T29</f>
        <v>3.5833333333333335E-2</v>
      </c>
      <c r="E29" s="175">
        <v>6.5000000000000002E-2</v>
      </c>
      <c r="F29" s="175">
        <v>2.1999999999999999E-2</v>
      </c>
      <c r="G29" s="176">
        <f t="shared" ref="G29" si="21">D29+F29</f>
        <v>5.7833333333333334E-2</v>
      </c>
      <c r="H29" s="177">
        <f t="shared" ref="H29" si="22">E29*C29</f>
        <v>1205.75</v>
      </c>
      <c r="I29" s="177">
        <f t="shared" si="0"/>
        <v>408.09999999999997</v>
      </c>
      <c r="J29" s="169">
        <f t="shared" ref="J29" si="23">SUM(H29:I29)</f>
        <v>1613.85</v>
      </c>
      <c r="K29" s="174">
        <f t="shared" si="4"/>
        <v>772.91666666666663</v>
      </c>
      <c r="L29" s="169">
        <f t="shared" si="5"/>
        <v>7.2050849810158333</v>
      </c>
      <c r="M29" s="207"/>
      <c r="N29" s="169">
        <f t="shared" si="13"/>
        <v>0.86461019772189995</v>
      </c>
      <c r="O29" s="169">
        <f t="shared" si="6"/>
        <v>8.0696951787377333</v>
      </c>
      <c r="P29" s="181"/>
      <c r="Q29" s="221">
        <f>15/3600</f>
        <v>4.1666666666666666E-3</v>
      </c>
      <c r="R29" s="221">
        <f>10/3600</f>
        <v>2.7777777777777779E-3</v>
      </c>
      <c r="S29" s="220">
        <f>2*40/3600</f>
        <v>2.2222222222222223E-2</v>
      </c>
      <c r="T29" s="221">
        <f>SUM(Q29:S29)</f>
        <v>2.9166666666666667E-2</v>
      </c>
      <c r="U29" s="204"/>
      <c r="V29" s="170"/>
      <c r="W29" s="170"/>
    </row>
    <row r="30" spans="1:23" hidden="1" x14ac:dyDescent="0.35">
      <c r="A30" s="299" t="s">
        <v>344</v>
      </c>
      <c r="B30" s="240" t="s">
        <v>355</v>
      </c>
      <c r="C30" s="250"/>
      <c r="D30" s="243">
        <v>4.0899999999999999E-2</v>
      </c>
      <c r="E30" s="243"/>
      <c r="F30" s="236">
        <v>6.4999999999999997E-3</v>
      </c>
      <c r="G30" s="242">
        <f t="shared" ref="G30:G32" si="24">SUM(D30:F30)</f>
        <v>4.7399999999999998E-2</v>
      </c>
      <c r="H30" s="242">
        <f t="shared" ref="H30:H35" si="25">D30*C30</f>
        <v>0</v>
      </c>
      <c r="I30" s="242">
        <f t="shared" si="0"/>
        <v>0</v>
      </c>
      <c r="J30" s="239">
        <f t="shared" ref="J30:J32" si="26">SUM(H30:I30)</f>
        <v>0</v>
      </c>
      <c r="K30" s="174">
        <f t="shared" si="4"/>
        <v>0</v>
      </c>
      <c r="L30" s="169">
        <f t="shared" si="5"/>
        <v>0</v>
      </c>
      <c r="M30" s="207"/>
      <c r="N30" s="169">
        <f t="shared" si="13"/>
        <v>0</v>
      </c>
      <c r="O30" s="169">
        <f t="shared" si="6"/>
        <v>0</v>
      </c>
      <c r="P30" s="181"/>
      <c r="Q30" s="204"/>
      <c r="R30" s="204"/>
      <c r="S30" s="204"/>
      <c r="T30" s="218"/>
      <c r="U30" s="204"/>
      <c r="V30" s="170"/>
      <c r="W30" s="170"/>
    </row>
    <row r="31" spans="1:23" hidden="1" x14ac:dyDescent="0.35">
      <c r="A31" s="184" t="s">
        <v>397</v>
      </c>
      <c r="B31" s="184" t="s">
        <v>428</v>
      </c>
      <c r="C31" s="249"/>
      <c r="D31" s="175">
        <v>0.29547200000000001</v>
      </c>
      <c r="E31" s="175"/>
      <c r="F31" s="175">
        <v>2.7777799999999998E-2</v>
      </c>
      <c r="G31" s="177">
        <f t="shared" si="24"/>
        <v>0.32324980000000003</v>
      </c>
      <c r="H31" s="177">
        <f t="shared" si="25"/>
        <v>0</v>
      </c>
      <c r="I31" s="177">
        <f t="shared" si="0"/>
        <v>0</v>
      </c>
      <c r="J31" s="169">
        <f t="shared" si="26"/>
        <v>0</v>
      </c>
      <c r="K31" s="174">
        <f t="shared" si="4"/>
        <v>0</v>
      </c>
      <c r="L31" s="169">
        <f t="shared" si="5"/>
        <v>0</v>
      </c>
      <c r="M31" s="207"/>
      <c r="N31" s="169">
        <f t="shared" si="13"/>
        <v>0</v>
      </c>
      <c r="O31" s="169">
        <f t="shared" si="6"/>
        <v>0</v>
      </c>
      <c r="P31" s="181"/>
      <c r="Q31" s="181"/>
      <c r="R31" s="181"/>
      <c r="S31" s="181"/>
      <c r="T31" s="224"/>
      <c r="U31" s="181"/>
      <c r="V31" s="184" t="s">
        <v>221</v>
      </c>
      <c r="W31" s="186"/>
    </row>
    <row r="32" spans="1:23" x14ac:dyDescent="0.35">
      <c r="A32" s="299" t="s">
        <v>666</v>
      </c>
      <c r="B32" s="240" t="s">
        <v>411</v>
      </c>
      <c r="C32" s="250">
        <v>21000</v>
      </c>
      <c r="D32" s="236">
        <v>4.0000000000000001E-3</v>
      </c>
      <c r="E32" s="236"/>
      <c r="F32" s="236">
        <v>2.5000000000000001E-3</v>
      </c>
      <c r="G32" s="242">
        <f t="shared" si="24"/>
        <v>6.5000000000000006E-3</v>
      </c>
      <c r="H32" s="242">
        <f t="shared" si="25"/>
        <v>84</v>
      </c>
      <c r="I32" s="242">
        <f t="shared" si="0"/>
        <v>52.5</v>
      </c>
      <c r="J32" s="239">
        <f t="shared" si="26"/>
        <v>136.5</v>
      </c>
      <c r="K32" s="174">
        <f t="shared" si="4"/>
        <v>875</v>
      </c>
      <c r="L32" s="169">
        <f t="shared" si="5"/>
        <v>0.91674725983236616</v>
      </c>
      <c r="M32" s="207"/>
      <c r="N32" s="169">
        <f t="shared" si="13"/>
        <v>0.11000967117988393</v>
      </c>
      <c r="O32" s="169">
        <f t="shared" si="6"/>
        <v>1.0267569310122502</v>
      </c>
      <c r="P32" s="181"/>
      <c r="Q32" s="181"/>
      <c r="R32" s="181"/>
      <c r="S32" s="181"/>
      <c r="T32" s="224"/>
      <c r="U32" s="181"/>
      <c r="V32" s="186"/>
      <c r="W32" s="186"/>
    </row>
    <row r="33" spans="1:23" x14ac:dyDescent="0.35">
      <c r="A33" s="172" t="s">
        <v>819</v>
      </c>
      <c r="B33" s="184" t="s">
        <v>354</v>
      </c>
      <c r="C33" s="249">
        <v>25902</v>
      </c>
      <c r="D33" s="180">
        <v>0.14499999999999999</v>
      </c>
      <c r="E33" s="180"/>
      <c r="F33" s="180">
        <v>8.0000000000000002E-3</v>
      </c>
      <c r="G33" s="176">
        <f t="shared" ref="G33" si="27">D33+F33</f>
        <v>0.153</v>
      </c>
      <c r="H33" s="177">
        <f t="shared" si="25"/>
        <v>3755.79</v>
      </c>
      <c r="I33" s="177">
        <f t="shared" si="0"/>
        <v>207.21600000000001</v>
      </c>
      <c r="J33" s="169">
        <f t="shared" ref="J33" si="28">SUM(H33:I33)</f>
        <v>3963.0059999999999</v>
      </c>
      <c r="K33" s="174">
        <f t="shared" si="4"/>
        <v>1079.25</v>
      </c>
      <c r="L33" s="169">
        <f t="shared" si="5"/>
        <v>26.6159332688588</v>
      </c>
      <c r="M33" s="207"/>
      <c r="N33" s="169">
        <f t="shared" si="13"/>
        <v>3.1939119922630561</v>
      </c>
      <c r="O33" s="169">
        <f t="shared" si="6"/>
        <v>29.809845261121858</v>
      </c>
      <c r="P33" s="178"/>
      <c r="Q33" s="178"/>
      <c r="R33" s="178"/>
      <c r="S33" s="178"/>
      <c r="T33" s="225"/>
      <c r="U33" s="178"/>
      <c r="V33" s="186"/>
      <c r="W33" s="186"/>
    </row>
    <row r="34" spans="1:23" x14ac:dyDescent="0.35">
      <c r="A34" s="240" t="s">
        <v>738</v>
      </c>
      <c r="B34" s="240" t="s">
        <v>617</v>
      </c>
      <c r="C34" s="250">
        <f>12200+7820</f>
        <v>20020</v>
      </c>
      <c r="D34" s="237">
        <v>6.6000000000000003E-2</v>
      </c>
      <c r="E34" s="237"/>
      <c r="F34" s="238">
        <v>1.2999999999999999E-2</v>
      </c>
      <c r="G34" s="242">
        <f t="shared" ref="G34" si="29">SUM(D34:F34)</f>
        <v>7.9000000000000001E-2</v>
      </c>
      <c r="H34" s="242">
        <f t="shared" si="25"/>
        <v>1321.3200000000002</v>
      </c>
      <c r="I34" s="242">
        <f t="shared" si="0"/>
        <v>260.26</v>
      </c>
      <c r="J34" s="239">
        <f t="shared" ref="J34:J38" si="30">SUM(H34:I34)</f>
        <v>1581.5800000000002</v>
      </c>
      <c r="K34" s="174">
        <f t="shared" si="4"/>
        <v>834.16666666666663</v>
      </c>
      <c r="L34" s="169">
        <f t="shared" si="5"/>
        <v>10.622044917257684</v>
      </c>
      <c r="M34" s="207"/>
      <c r="N34" s="169">
        <f t="shared" si="13"/>
        <v>1.274645390070922</v>
      </c>
      <c r="O34" s="169">
        <f t="shared" si="6"/>
        <v>11.896690307328607</v>
      </c>
      <c r="P34" s="178"/>
      <c r="Q34" s="178"/>
      <c r="R34" s="178"/>
      <c r="S34" s="178"/>
      <c r="T34" s="225"/>
      <c r="U34" s="178"/>
      <c r="V34" s="186"/>
      <c r="W34" s="186"/>
    </row>
    <row r="35" spans="1:23" x14ac:dyDescent="0.35">
      <c r="A35" s="240" t="s">
        <v>408</v>
      </c>
      <c r="B35" s="240" t="s">
        <v>412</v>
      </c>
      <c r="C35" s="250">
        <v>48500</v>
      </c>
      <c r="D35" s="237">
        <v>1.0416699999999999E-2</v>
      </c>
      <c r="E35" s="237"/>
      <c r="F35" s="238">
        <v>4.7999999999999996E-3</v>
      </c>
      <c r="G35" s="242">
        <f t="shared" ref="G35" si="31">SUM(D35:F35)</f>
        <v>1.52167E-2</v>
      </c>
      <c r="H35" s="242">
        <f t="shared" si="25"/>
        <v>505.20994999999994</v>
      </c>
      <c r="I35" s="242">
        <f t="shared" si="0"/>
        <v>232.79999999999998</v>
      </c>
      <c r="J35" s="239">
        <f t="shared" si="30"/>
        <v>738.00994999999989</v>
      </c>
      <c r="K35" s="174">
        <f t="shared" si="4"/>
        <v>2020.8333333333333</v>
      </c>
      <c r="L35" s="169">
        <f t="shared" si="5"/>
        <v>4.9565465156888031</v>
      </c>
      <c r="M35" s="207"/>
      <c r="N35" s="169">
        <f t="shared" si="13"/>
        <v>0.5947855818826564</v>
      </c>
      <c r="O35" s="169">
        <f t="shared" si="6"/>
        <v>5.5513320975714597</v>
      </c>
      <c r="P35" s="263"/>
      <c r="Q35" s="263"/>
      <c r="R35" s="263"/>
      <c r="S35" s="263"/>
      <c r="T35" s="264"/>
      <c r="U35" s="263"/>
      <c r="V35" s="186"/>
      <c r="W35" s="186"/>
    </row>
    <row r="36" spans="1:23" ht="14.5" x14ac:dyDescent="0.35">
      <c r="A36" s="184" t="s">
        <v>612</v>
      </c>
      <c r="B36" s="101" t="s">
        <v>613</v>
      </c>
      <c r="C36" s="249">
        <v>2600</v>
      </c>
      <c r="D36" s="179">
        <f>0.24-T36</f>
        <v>0.19333333333333333</v>
      </c>
      <c r="E36" s="179">
        <v>0.24</v>
      </c>
      <c r="F36" s="180">
        <v>0.02</v>
      </c>
      <c r="G36" s="176">
        <f t="shared" ref="G36:G41" si="32">D36+F36</f>
        <v>0.21333333333333332</v>
      </c>
      <c r="H36" s="177">
        <f t="shared" ref="H36:H39" si="33">E36*C36</f>
        <v>624</v>
      </c>
      <c r="I36" s="177">
        <f t="shared" si="0"/>
        <v>52</v>
      </c>
      <c r="J36" s="169">
        <f t="shared" si="30"/>
        <v>676</v>
      </c>
      <c r="K36" s="174">
        <f t="shared" si="4"/>
        <v>108.33333333333333</v>
      </c>
      <c r="L36" s="169">
        <f t="shared" si="5"/>
        <v>3.7251952145569165</v>
      </c>
      <c r="M36" s="207"/>
      <c r="N36" s="169">
        <f t="shared" si="13"/>
        <v>0.44702342574682996</v>
      </c>
      <c r="O36" s="169">
        <f t="shared" si="6"/>
        <v>4.1722186403037469</v>
      </c>
      <c r="P36" s="178"/>
      <c r="Q36" s="222">
        <f>36/3600</f>
        <v>0.01</v>
      </c>
      <c r="R36" s="178"/>
      <c r="S36" s="219">
        <f>22*6/3600</f>
        <v>3.6666666666666667E-2</v>
      </c>
      <c r="T36" s="221">
        <f>SUM(Q36:S36)</f>
        <v>4.6666666666666669E-2</v>
      </c>
      <c r="U36" s="178"/>
      <c r="V36" s="186"/>
      <c r="W36" s="186"/>
    </row>
    <row r="37" spans="1:23" ht="14.5" x14ac:dyDescent="0.3">
      <c r="A37" s="309" t="s">
        <v>817</v>
      </c>
      <c r="B37" s="255" t="s">
        <v>818</v>
      </c>
      <c r="C37" s="249">
        <v>621</v>
      </c>
      <c r="D37" s="179">
        <v>0.32200000000000001</v>
      </c>
      <c r="E37" s="179">
        <v>0.32200000000000001</v>
      </c>
      <c r="F37" s="180">
        <v>0.04</v>
      </c>
      <c r="G37" s="176">
        <f t="shared" si="32"/>
        <v>0.36199999999999999</v>
      </c>
      <c r="H37" s="177">
        <f t="shared" si="33"/>
        <v>199.96200000000002</v>
      </c>
      <c r="I37" s="177">
        <f t="shared" si="0"/>
        <v>24.84</v>
      </c>
      <c r="J37" s="169">
        <f t="shared" si="30"/>
        <v>224.80200000000002</v>
      </c>
      <c r="K37" s="174">
        <f t="shared" si="4"/>
        <v>25.875</v>
      </c>
      <c r="L37" s="169">
        <f t="shared" si="5"/>
        <v>1.5097920696324951</v>
      </c>
      <c r="M37" s="207"/>
      <c r="N37" s="169">
        <f t="shared" si="13"/>
        <v>0.1811750483558994</v>
      </c>
      <c r="O37" s="169">
        <f t="shared" si="6"/>
        <v>1.6909671179883945</v>
      </c>
      <c r="P37" s="178"/>
      <c r="Q37" s="222"/>
      <c r="R37" s="178"/>
      <c r="S37" s="219"/>
      <c r="T37" s="221"/>
      <c r="U37" s="178"/>
      <c r="V37" s="186"/>
      <c r="W37" s="186"/>
    </row>
    <row r="38" spans="1:23" ht="14.5" x14ac:dyDescent="0.35">
      <c r="A38" s="245" t="s">
        <v>806</v>
      </c>
      <c r="B38" s="255" t="s">
        <v>807</v>
      </c>
      <c r="C38" s="308">
        <v>10000</v>
      </c>
      <c r="D38" s="179">
        <f>0.26-T38</f>
        <v>0.20111111111111113</v>
      </c>
      <c r="E38" s="179">
        <v>0.28000000000000003</v>
      </c>
      <c r="F38" s="180">
        <v>0.03</v>
      </c>
      <c r="G38" s="176">
        <f t="shared" si="32"/>
        <v>0.23111111111111113</v>
      </c>
      <c r="H38" s="177">
        <f t="shared" si="33"/>
        <v>2800.0000000000005</v>
      </c>
      <c r="I38" s="177">
        <f t="shared" si="0"/>
        <v>300</v>
      </c>
      <c r="J38" s="169">
        <f t="shared" si="30"/>
        <v>3100.0000000000005</v>
      </c>
      <c r="K38" s="174">
        <f t="shared" si="4"/>
        <v>416.66666666666669</v>
      </c>
      <c r="L38" s="169">
        <f t="shared" si="5"/>
        <v>15.521646727320487</v>
      </c>
      <c r="M38" s="207"/>
      <c r="N38" s="169">
        <f t="shared" si="13"/>
        <v>1.8625976072784585</v>
      </c>
      <c r="O38" s="169">
        <f t="shared" si="6"/>
        <v>17.384244334598947</v>
      </c>
      <c r="P38" s="178"/>
      <c r="Q38" s="222">
        <f>36/3600</f>
        <v>0.01</v>
      </c>
      <c r="R38" s="178"/>
      <c r="S38" s="219">
        <f>22*8/3600</f>
        <v>4.8888888888888891E-2</v>
      </c>
      <c r="T38" s="221">
        <f>SUM(Q38:S38)</f>
        <v>5.8888888888888893E-2</v>
      </c>
      <c r="U38" s="178"/>
      <c r="V38" s="186"/>
      <c r="W38" s="186"/>
    </row>
    <row r="39" spans="1:23" ht="14.5" x14ac:dyDescent="0.35">
      <c r="A39" s="245" t="s">
        <v>810</v>
      </c>
      <c r="B39" s="255" t="s">
        <v>811</v>
      </c>
      <c r="C39" s="249">
        <v>1060</v>
      </c>
      <c r="D39" s="179">
        <f>0.176-T39</f>
        <v>0.1171111111111111</v>
      </c>
      <c r="E39" s="179">
        <v>0.17599999999999999</v>
      </c>
      <c r="F39" s="180">
        <v>2.9000000000000001E-2</v>
      </c>
      <c r="G39" s="176">
        <f t="shared" si="32"/>
        <v>0.14611111111111111</v>
      </c>
      <c r="H39" s="177">
        <f t="shared" si="33"/>
        <v>186.56</v>
      </c>
      <c r="I39" s="177">
        <f t="shared" si="0"/>
        <v>30.740000000000002</v>
      </c>
      <c r="J39" s="169">
        <f t="shared" ref="J39" si="34">SUM(H39:I39)</f>
        <v>217.3</v>
      </c>
      <c r="K39" s="174">
        <f t="shared" si="4"/>
        <v>44.166666666666664</v>
      </c>
      <c r="L39" s="169">
        <f t="shared" si="5"/>
        <v>1.0401742006351935</v>
      </c>
      <c r="M39" s="207"/>
      <c r="N39" s="169">
        <f t="shared" si="13"/>
        <v>0.12482090407622322</v>
      </c>
      <c r="O39" s="169">
        <f t="shared" si="6"/>
        <v>1.1649951047114167</v>
      </c>
      <c r="P39" s="178"/>
      <c r="Q39" s="222">
        <f>36/3600</f>
        <v>0.01</v>
      </c>
      <c r="R39" s="178"/>
      <c r="S39" s="219">
        <f>22*8/3600</f>
        <v>4.8888888888888891E-2</v>
      </c>
      <c r="T39" s="221">
        <f>SUM(Q39:S39)</f>
        <v>5.8888888888888893E-2</v>
      </c>
      <c r="U39" s="178"/>
      <c r="V39" s="186"/>
      <c r="W39" s="186"/>
    </row>
    <row r="40" spans="1:23" ht="14.5" x14ac:dyDescent="0.35">
      <c r="A40" s="261" t="s">
        <v>619</v>
      </c>
      <c r="B40" s="262" t="s">
        <v>620</v>
      </c>
      <c r="C40" s="250">
        <v>10000</v>
      </c>
      <c r="D40" s="237">
        <f>228/3600</f>
        <v>6.3333333333333339E-2</v>
      </c>
      <c r="E40" s="237"/>
      <c r="F40" s="238">
        <f>110/3600</f>
        <v>3.0555555555555555E-2</v>
      </c>
      <c r="G40" s="242">
        <f t="shared" ref="G40" si="35">SUM(D40:F40)</f>
        <v>9.3888888888888897E-2</v>
      </c>
      <c r="H40" s="242">
        <f t="shared" ref="H40" si="36">D40*C40</f>
        <v>633.33333333333337</v>
      </c>
      <c r="I40" s="242">
        <f t="shared" si="0"/>
        <v>305.55555555555554</v>
      </c>
      <c r="J40" s="239">
        <f t="shared" ref="J40" si="37">SUM(H40:I40)</f>
        <v>938.88888888888891</v>
      </c>
      <c r="K40" s="174">
        <f t="shared" si="4"/>
        <v>416.66666666666669</v>
      </c>
      <c r="L40" s="169">
        <f t="shared" si="5"/>
        <v>6.3056689829739483</v>
      </c>
      <c r="M40" s="207"/>
      <c r="N40" s="169">
        <f t="shared" si="13"/>
        <v>0.75668027795687376</v>
      </c>
      <c r="O40" s="169">
        <f t="shared" si="6"/>
        <v>7.062349260930822</v>
      </c>
      <c r="P40" s="178"/>
      <c r="U40" s="178"/>
      <c r="V40" s="186"/>
      <c r="W40" s="186"/>
    </row>
    <row r="41" spans="1:23" x14ac:dyDescent="0.35">
      <c r="A41" s="184" t="s">
        <v>405</v>
      </c>
      <c r="B41" s="184" t="s">
        <v>413</v>
      </c>
      <c r="C41" s="249">
        <v>2500</v>
      </c>
      <c r="D41" s="179">
        <f>0.76-T41</f>
        <v>0.66111111111111109</v>
      </c>
      <c r="E41" s="179">
        <v>0.76</v>
      </c>
      <c r="F41" s="180">
        <f>511/3600</f>
        <v>0.14194444444444446</v>
      </c>
      <c r="G41" s="176">
        <f t="shared" si="32"/>
        <v>0.80305555555555552</v>
      </c>
      <c r="H41" s="177">
        <f>E41*C41</f>
        <v>1900</v>
      </c>
      <c r="I41" s="177">
        <f t="shared" si="0"/>
        <v>354.86111111111114</v>
      </c>
      <c r="J41" s="169">
        <f t="shared" ref="J41" si="38">SUM(H41:I41)</f>
        <v>2254.8611111111113</v>
      </c>
      <c r="K41" s="174">
        <f t="shared" si="4"/>
        <v>104.16666666666667</v>
      </c>
      <c r="L41" s="169">
        <f t="shared" si="5"/>
        <v>13.483497803090003</v>
      </c>
      <c r="M41" s="207"/>
      <c r="N41" s="169">
        <f t="shared" si="13"/>
        <v>1.6180197363708004</v>
      </c>
      <c r="O41" s="169">
        <f t="shared" si="6"/>
        <v>15.101517539460804</v>
      </c>
      <c r="P41" s="178"/>
      <c r="Q41" s="222">
        <f>36/3600</f>
        <v>0.01</v>
      </c>
      <c r="R41" s="178"/>
      <c r="S41" s="219">
        <f>20*16/3600</f>
        <v>8.8888888888888892E-2</v>
      </c>
      <c r="T41" s="221">
        <f>SUM(Q41:S41)</f>
        <v>9.8888888888888887E-2</v>
      </c>
      <c r="U41" s="178"/>
      <c r="V41" s="186"/>
      <c r="W41" s="186"/>
    </row>
    <row r="42" spans="1:23" x14ac:dyDescent="0.35">
      <c r="A42" s="184"/>
      <c r="B42" s="184"/>
      <c r="C42" s="249"/>
      <c r="D42" s="179"/>
      <c r="E42" s="179"/>
      <c r="F42" s="180"/>
      <c r="G42" s="177"/>
      <c r="H42" s="177"/>
      <c r="I42" s="177"/>
      <c r="J42" s="169"/>
      <c r="K42" s="174"/>
      <c r="L42" s="169"/>
      <c r="M42" s="207"/>
      <c r="N42" s="169"/>
      <c r="O42" s="169">
        <f t="shared" si="6"/>
        <v>0</v>
      </c>
      <c r="P42" s="178"/>
      <c r="Q42" s="222"/>
      <c r="R42" s="178"/>
      <c r="S42" s="219"/>
      <c r="T42" s="221"/>
      <c r="U42" s="178"/>
      <c r="V42" s="186"/>
      <c r="W42" s="186"/>
    </row>
    <row r="43" spans="1:23" x14ac:dyDescent="0.35">
      <c r="A43" s="172" t="s">
        <v>426</v>
      </c>
      <c r="B43" s="184"/>
      <c r="C43" s="174"/>
      <c r="D43" s="180"/>
      <c r="E43" s="180"/>
      <c r="F43" s="180"/>
      <c r="G43" s="177"/>
      <c r="H43" s="177"/>
      <c r="I43" s="177"/>
      <c r="J43" s="169"/>
      <c r="K43" s="175"/>
      <c r="L43" s="169">
        <f>'Machine crew-Cable'!F13</f>
        <v>172</v>
      </c>
      <c r="M43" s="207">
        <f>'Machine crew-Cable'!G14</f>
        <v>28.666666666666668</v>
      </c>
      <c r="N43" s="169">
        <f>'Machine crew-Cable'!G16</f>
        <v>25</v>
      </c>
      <c r="O43" s="169">
        <f t="shared" si="6"/>
        <v>225.66666666666666</v>
      </c>
      <c r="P43" s="178"/>
      <c r="Q43" s="178"/>
      <c r="R43" s="178"/>
      <c r="S43" s="178"/>
      <c r="T43" s="225"/>
      <c r="U43" s="178"/>
      <c r="V43" s="187"/>
      <c r="W43" s="186"/>
    </row>
    <row r="44" spans="1:23" x14ac:dyDescent="0.35">
      <c r="A44" s="472" t="s">
        <v>172</v>
      </c>
      <c r="B44" s="472"/>
      <c r="C44" s="472"/>
      <c r="D44" s="472"/>
      <c r="E44" s="472"/>
      <c r="F44" s="472"/>
      <c r="G44" s="472"/>
      <c r="H44" s="473">
        <f>SUM(H3:H33)</f>
        <v>74424.320908888883</v>
      </c>
      <c r="I44" s="473">
        <f>SUM(I3:I33)</f>
        <v>15160.486184177778</v>
      </c>
      <c r="J44" s="473">
        <f>SUM(J3:J33)</f>
        <v>89584.807093066673</v>
      </c>
      <c r="K44" s="188"/>
      <c r="L44" s="169">
        <f>SUM(L3:L43)</f>
        <v>762.77056497868773</v>
      </c>
      <c r="M44" s="207">
        <f>SUM(M3:M43)</f>
        <v>61.573067156991513</v>
      </c>
      <c r="N44" s="207">
        <f>SUM(N3:N43)</f>
        <v>98.52491066584281</v>
      </c>
      <c r="O44" s="169"/>
      <c r="P44" s="178"/>
      <c r="Q44" s="178"/>
      <c r="R44" s="178"/>
      <c r="S44" s="178"/>
      <c r="T44" s="225"/>
      <c r="U44" s="178"/>
      <c r="V44" s="184"/>
      <c r="W44" s="186"/>
    </row>
    <row r="45" spans="1:23" x14ac:dyDescent="0.35">
      <c r="A45" s="472"/>
      <c r="B45" s="472"/>
      <c r="C45" s="472"/>
      <c r="D45" s="472"/>
      <c r="E45" s="472"/>
      <c r="F45" s="472"/>
      <c r="G45" s="472"/>
      <c r="H45" s="472"/>
      <c r="I45" s="472"/>
      <c r="J45" s="472"/>
      <c r="K45" s="184"/>
      <c r="L45" s="401">
        <f>L44+M44+N44</f>
        <v>922.86854280152215</v>
      </c>
      <c r="M45" s="401"/>
      <c r="N45" s="401"/>
      <c r="O45" s="169">
        <f>SUM(O3:O44)</f>
        <v>922.86854280152204</v>
      </c>
      <c r="P45" s="178"/>
      <c r="Q45" s="178"/>
      <c r="R45" s="178"/>
      <c r="S45" s="178"/>
      <c r="T45" s="225"/>
      <c r="U45" s="178"/>
      <c r="V45" s="187"/>
      <c r="W45" s="186"/>
    </row>
    <row r="46" spans="1:23" x14ac:dyDescent="0.35">
      <c r="A46" s="189"/>
      <c r="B46" s="189"/>
      <c r="C46" s="171"/>
      <c r="D46" s="171"/>
      <c r="E46" s="171"/>
      <c r="F46" s="171"/>
      <c r="G46" s="168"/>
      <c r="H46" s="168"/>
      <c r="I46" s="168"/>
      <c r="J46" s="193"/>
      <c r="K46" s="193"/>
      <c r="L46" s="190"/>
      <c r="M46" s="208"/>
      <c r="N46" s="304"/>
      <c r="O46" s="169"/>
      <c r="P46" s="168"/>
      <c r="Q46" s="168"/>
      <c r="R46" s="168"/>
      <c r="S46" s="168"/>
      <c r="T46" s="208"/>
      <c r="U46" s="168"/>
      <c r="V46" s="186"/>
      <c r="W46" s="186"/>
    </row>
    <row r="47" spans="1:23" ht="12.5" customHeight="1" x14ac:dyDescent="0.35">
      <c r="A47" s="189"/>
      <c r="B47" s="189"/>
      <c r="C47" s="171"/>
      <c r="D47" s="171"/>
      <c r="E47" s="171"/>
      <c r="F47" s="171"/>
      <c r="G47" s="168"/>
      <c r="H47" s="168"/>
      <c r="I47" s="168"/>
      <c r="J47" s="168"/>
      <c r="K47" s="168"/>
      <c r="L47" s="190"/>
      <c r="M47" s="208"/>
      <c r="N47" s="192"/>
      <c r="O47" s="169"/>
      <c r="P47" s="168"/>
      <c r="Q47" s="168"/>
      <c r="R47" s="168"/>
      <c r="S47" s="168"/>
      <c r="T47" s="208"/>
      <c r="U47" s="168"/>
      <c r="V47" s="186"/>
      <c r="W47" s="186"/>
    </row>
    <row r="48" spans="1:23" ht="35" customHeight="1" x14ac:dyDescent="0.35">
      <c r="A48" s="189"/>
      <c r="B48" s="189"/>
      <c r="C48" s="194"/>
      <c r="D48" s="171"/>
      <c r="E48" s="171"/>
      <c r="F48" s="171"/>
      <c r="G48" s="168"/>
      <c r="H48" s="168"/>
      <c r="I48" s="168"/>
      <c r="J48" s="191"/>
      <c r="K48" s="191"/>
      <c r="L48" s="190"/>
      <c r="M48" s="208"/>
      <c r="N48" s="168"/>
      <c r="O48" s="169"/>
      <c r="P48" s="168"/>
      <c r="Q48" s="168"/>
      <c r="R48" s="168"/>
      <c r="S48" s="168"/>
      <c r="T48" s="208"/>
      <c r="U48" s="168"/>
      <c r="V48" s="186"/>
      <c r="W48" s="186"/>
    </row>
    <row r="49" spans="1:23" ht="26" customHeight="1" x14ac:dyDescent="0.35">
      <c r="A49" s="189"/>
      <c r="B49" s="189"/>
      <c r="C49" s="171"/>
      <c r="D49" s="171"/>
      <c r="E49" s="171"/>
      <c r="F49" s="195"/>
      <c r="G49" s="190"/>
      <c r="H49" s="190"/>
      <c r="I49" s="190"/>
      <c r="J49" s="190"/>
      <c r="K49" s="190"/>
      <c r="L49" s="196"/>
      <c r="M49" s="209"/>
      <c r="N49" s="190"/>
      <c r="O49" s="169">
        <f t="shared" ref="O49:O53" si="39">L49+M49+N49</f>
        <v>0</v>
      </c>
      <c r="P49" s="168"/>
      <c r="Q49" s="168"/>
      <c r="R49" s="168"/>
      <c r="S49" s="168"/>
      <c r="T49" s="208"/>
      <c r="U49" s="168"/>
      <c r="V49" s="186"/>
      <c r="W49" s="186"/>
    </row>
    <row r="50" spans="1:23" x14ac:dyDescent="0.35">
      <c r="A50" s="170"/>
      <c r="B50" s="170"/>
      <c r="C50" s="197"/>
      <c r="D50" s="197"/>
      <c r="E50" s="197"/>
      <c r="F50" s="198"/>
      <c r="G50" s="199"/>
      <c r="H50" s="200"/>
      <c r="I50" s="200"/>
      <c r="J50" s="200"/>
      <c r="K50" s="200"/>
      <c r="L50" s="200"/>
      <c r="M50" s="210"/>
      <c r="N50" s="200"/>
      <c r="O50" s="169"/>
      <c r="P50" s="200"/>
      <c r="Q50" s="200"/>
      <c r="R50" s="200"/>
      <c r="S50" s="200"/>
      <c r="T50" s="210"/>
      <c r="U50" s="200"/>
      <c r="V50" s="186"/>
      <c r="W50" s="186"/>
    </row>
    <row r="51" spans="1:23" x14ac:dyDescent="0.35">
      <c r="A51" s="170"/>
      <c r="B51" s="170"/>
      <c r="C51" s="198"/>
      <c r="D51" s="198"/>
      <c r="E51" s="198"/>
      <c r="F51" s="198"/>
      <c r="G51" s="200"/>
      <c r="H51" s="200"/>
      <c r="I51" s="200"/>
      <c r="J51" s="200"/>
      <c r="K51" s="200"/>
      <c r="L51" s="200"/>
      <c r="M51" s="210"/>
      <c r="N51" s="200"/>
      <c r="O51" s="169">
        <f t="shared" si="39"/>
        <v>0</v>
      </c>
      <c r="P51" s="200"/>
      <c r="Q51" s="200"/>
      <c r="R51" s="200"/>
      <c r="S51" s="200"/>
      <c r="T51" s="210"/>
      <c r="U51" s="200"/>
      <c r="V51" s="186"/>
      <c r="W51" s="186"/>
    </row>
    <row r="52" spans="1:23" ht="15" customHeight="1" x14ac:dyDescent="0.35">
      <c r="A52" s="170"/>
      <c r="B52" s="170"/>
      <c r="C52" s="198"/>
      <c r="D52" s="198"/>
      <c r="E52" s="198"/>
      <c r="F52" s="198"/>
      <c r="G52" s="200"/>
      <c r="H52" s="200"/>
      <c r="I52" s="201"/>
      <c r="J52" s="200"/>
      <c r="K52" s="200"/>
      <c r="L52" s="200"/>
      <c r="M52" s="210"/>
      <c r="N52" s="200"/>
      <c r="O52" s="169">
        <f t="shared" si="39"/>
        <v>0</v>
      </c>
      <c r="P52" s="200"/>
      <c r="Q52" s="200"/>
      <c r="R52" s="200"/>
      <c r="S52" s="200"/>
      <c r="T52" s="210"/>
      <c r="U52" s="200"/>
      <c r="V52" s="186"/>
      <c r="W52" s="186"/>
    </row>
    <row r="53" spans="1:23" x14ac:dyDescent="0.35">
      <c r="A53" s="170"/>
      <c r="B53" s="170"/>
      <c r="C53" s="198"/>
      <c r="D53" s="198"/>
      <c r="E53" s="198"/>
      <c r="F53" s="198"/>
      <c r="G53" s="200"/>
      <c r="H53" s="200"/>
      <c r="I53" s="200"/>
      <c r="J53" s="201"/>
      <c r="K53" s="201"/>
      <c r="L53" s="200"/>
      <c r="M53" s="210"/>
      <c r="N53" s="200"/>
      <c r="O53" s="169">
        <f t="shared" si="39"/>
        <v>0</v>
      </c>
      <c r="P53" s="200"/>
      <c r="Q53" s="200"/>
      <c r="R53" s="200"/>
      <c r="S53" s="200"/>
      <c r="T53" s="210"/>
      <c r="U53" s="200"/>
      <c r="V53" s="184"/>
      <c r="W53" s="186"/>
    </row>
    <row r="54" spans="1:23" ht="15" customHeight="1" x14ac:dyDescent="0.35">
      <c r="A54" s="170"/>
      <c r="B54" s="170"/>
      <c r="C54" s="198"/>
      <c r="D54" s="198"/>
      <c r="E54" s="198"/>
      <c r="F54" s="198"/>
      <c r="G54" s="200"/>
      <c r="H54" s="200"/>
      <c r="I54" s="200"/>
      <c r="J54" s="200"/>
      <c r="K54" s="200"/>
      <c r="L54" s="200"/>
      <c r="M54" s="210"/>
      <c r="N54" s="200"/>
      <c r="O54" s="200"/>
      <c r="P54" s="200"/>
      <c r="Q54" s="200"/>
      <c r="R54" s="200"/>
      <c r="S54" s="200"/>
      <c r="T54" s="210"/>
      <c r="U54" s="200"/>
      <c r="V54" s="187"/>
      <c r="W54" s="186"/>
    </row>
    <row r="55" spans="1:23" x14ac:dyDescent="0.35">
      <c r="C55" s="166"/>
    </row>
    <row r="56" spans="1:23" x14ac:dyDescent="0.35">
      <c r="J56" s="164"/>
      <c r="K56" s="164"/>
      <c r="L56" s="164"/>
      <c r="M56" s="212"/>
      <c r="N56" s="164"/>
      <c r="O56" s="164"/>
    </row>
    <row r="57" spans="1:23" x14ac:dyDescent="0.35">
      <c r="C57" s="167"/>
      <c r="D57" s="166"/>
      <c r="E57" s="166"/>
    </row>
    <row r="58" spans="1:23" ht="14.5" customHeight="1" x14ac:dyDescent="0.35">
      <c r="J58" s="164"/>
      <c r="K58" s="164"/>
      <c r="L58" s="164"/>
      <c r="M58" s="212"/>
      <c r="N58" s="164"/>
      <c r="O58" s="164"/>
    </row>
    <row r="59" spans="1:23" ht="14.5" customHeight="1" x14ac:dyDescent="0.35">
      <c r="J59" s="164"/>
      <c r="K59" s="164"/>
      <c r="L59" s="273" t="s">
        <v>746</v>
      </c>
      <c r="M59" s="283">
        <v>26</v>
      </c>
      <c r="N59" s="164"/>
      <c r="O59" s="164"/>
    </row>
    <row r="60" spans="1:23" x14ac:dyDescent="0.35">
      <c r="L60" s="274" t="s">
        <v>747</v>
      </c>
      <c r="M60" s="275">
        <v>5</v>
      </c>
    </row>
    <row r="61" spans="1:23" x14ac:dyDescent="0.35">
      <c r="L61" s="274" t="s">
        <v>750</v>
      </c>
      <c r="M61" s="275">
        <v>6</v>
      </c>
    </row>
    <row r="62" spans="1:23" x14ac:dyDescent="0.35">
      <c r="L62" s="274" t="s">
        <v>748</v>
      </c>
      <c r="M62" s="275">
        <v>8</v>
      </c>
    </row>
    <row r="63" spans="1:23" x14ac:dyDescent="0.35">
      <c r="L63" s="274" t="s">
        <v>749</v>
      </c>
      <c r="M63" s="275">
        <v>40</v>
      </c>
    </row>
    <row r="64" spans="1:23" x14ac:dyDescent="0.35">
      <c r="L64" s="274"/>
      <c r="M64" s="275">
        <f>SUM(M59:M63)</f>
        <v>85</v>
      </c>
    </row>
  </sheetData>
  <mergeCells count="14">
    <mergeCell ref="M1:M2"/>
    <mergeCell ref="N1:N2"/>
    <mergeCell ref="P1:P2"/>
    <mergeCell ref="A44:G45"/>
    <mergeCell ref="H44:H45"/>
    <mergeCell ref="I44:I45"/>
    <mergeCell ref="J44:J45"/>
    <mergeCell ref="L45:N45"/>
    <mergeCell ref="A1:A2"/>
    <mergeCell ref="B1:B2"/>
    <mergeCell ref="C1:C2"/>
    <mergeCell ref="D1:G1"/>
    <mergeCell ref="H1:J1"/>
    <mergeCell ref="L1:L2"/>
  </mergeCells>
  <conditionalFormatting sqref="A3">
    <cfRule type="duplicateValues" dxfId="5" priority="2"/>
  </conditionalFormatting>
  <conditionalFormatting sqref="A21">
    <cfRule type="duplicateValues" dxfId="4" priority="1"/>
  </conditionalFormatting>
  <conditionalFormatting sqref="A23:A25">
    <cfRule type="duplicateValues" dxfId="3" priority="4"/>
  </conditionalFormatting>
  <conditionalFormatting sqref="A28">
    <cfRule type="duplicateValues" dxfId="2" priority="3"/>
  </conditionalFormatting>
  <conditionalFormatting sqref="A33 A35:A43">
    <cfRule type="duplicateValues" dxfId="1" priority="5"/>
  </conditionalFormatting>
  <hyperlinks>
    <hyperlink ref="N1" r:id="rId1" display="LR@12%" xr:uid="{95D97AB7-14BA-45A0-8082-86996CBCD95E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0F94-13D3-4D6C-BED9-71753A5A8A11}">
  <dimension ref="F5:G15"/>
  <sheetViews>
    <sheetView workbookViewId="0">
      <selection activeCell="M13" sqref="M13"/>
    </sheetView>
  </sheetViews>
  <sheetFormatPr defaultRowHeight="14.5" x14ac:dyDescent="0.35"/>
  <cols>
    <col min="6" max="6" width="16.453125" bestFit="1" customWidth="1"/>
  </cols>
  <sheetData>
    <row r="5" spans="6:7" x14ac:dyDescent="0.35">
      <c r="F5" s="390" t="s">
        <v>827</v>
      </c>
      <c r="G5" s="390"/>
    </row>
    <row r="6" spans="6:7" x14ac:dyDescent="0.35">
      <c r="F6" s="102" t="s">
        <v>828</v>
      </c>
      <c r="G6" s="102" t="s">
        <v>829</v>
      </c>
    </row>
    <row r="7" spans="6:7" x14ac:dyDescent="0.35">
      <c r="F7" s="42" t="s">
        <v>830</v>
      </c>
      <c r="G7" s="42">
        <v>19</v>
      </c>
    </row>
    <row r="8" spans="6:7" x14ac:dyDescent="0.35">
      <c r="F8" s="42" t="s">
        <v>831</v>
      </c>
      <c r="G8" s="42">
        <v>1</v>
      </c>
    </row>
    <row r="9" spans="6:7" x14ac:dyDescent="0.35">
      <c r="F9" s="42" t="s">
        <v>832</v>
      </c>
      <c r="G9" s="42">
        <v>61</v>
      </c>
    </row>
    <row r="10" spans="6:7" x14ac:dyDescent="0.35">
      <c r="F10" s="42" t="s">
        <v>833</v>
      </c>
      <c r="G10" s="42">
        <v>2</v>
      </c>
    </row>
    <row r="11" spans="6:7" x14ac:dyDescent="0.35">
      <c r="F11" s="42" t="s">
        <v>834</v>
      </c>
      <c r="G11" s="42">
        <v>3</v>
      </c>
    </row>
    <row r="12" spans="6:7" x14ac:dyDescent="0.35">
      <c r="F12" s="42" t="s">
        <v>835</v>
      </c>
      <c r="G12" s="42">
        <v>3</v>
      </c>
    </row>
    <row r="13" spans="6:7" x14ac:dyDescent="0.35">
      <c r="F13" s="42" t="s">
        <v>836</v>
      </c>
      <c r="G13" s="42">
        <v>3</v>
      </c>
    </row>
    <row r="14" spans="6:7" x14ac:dyDescent="0.35">
      <c r="F14" s="42"/>
      <c r="G14" s="42"/>
    </row>
    <row r="15" spans="6:7" x14ac:dyDescent="0.35">
      <c r="F15" s="42" t="s">
        <v>172</v>
      </c>
      <c r="G15" s="42">
        <f>SUM(G7:G13)</f>
        <v>92</v>
      </c>
    </row>
  </sheetData>
  <mergeCells count="1">
    <mergeCell ref="F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BD78-925F-4BCC-B14E-A0775F5276CC}">
  <dimension ref="C3:H9"/>
  <sheetViews>
    <sheetView workbookViewId="0">
      <selection activeCell="G14" sqref="G14"/>
    </sheetView>
  </sheetViews>
  <sheetFormatPr defaultRowHeight="14.5" x14ac:dyDescent="0.35"/>
  <cols>
    <col min="3" max="3" width="12.453125" bestFit="1" customWidth="1"/>
    <col min="4" max="4" width="30.453125" bestFit="1" customWidth="1"/>
    <col min="5" max="5" width="16.08984375" customWidth="1"/>
    <col min="6" max="6" width="26.90625" bestFit="1" customWidth="1"/>
  </cols>
  <sheetData>
    <row r="3" spans="3:8" x14ac:dyDescent="0.35">
      <c r="C3" s="42"/>
      <c r="D3" s="314" t="s">
        <v>799</v>
      </c>
      <c r="E3" s="314" t="s">
        <v>837</v>
      </c>
      <c r="F3" s="314" t="s">
        <v>839</v>
      </c>
      <c r="G3" s="314" t="s">
        <v>838</v>
      </c>
    </row>
    <row r="4" spans="3:8" x14ac:dyDescent="0.35">
      <c r="C4" s="42" t="s">
        <v>821</v>
      </c>
      <c r="D4" s="42" t="s">
        <v>789</v>
      </c>
      <c r="E4" s="103">
        <f>(439.156635800463+32)*0.88</f>
        <v>414.61783950440741</v>
      </c>
      <c r="F4" s="42"/>
      <c r="G4" s="42"/>
      <c r="H4">
        <v>0.88</v>
      </c>
    </row>
    <row r="5" spans="3:8" x14ac:dyDescent="0.35">
      <c r="C5" s="42"/>
      <c r="D5" s="42" t="s">
        <v>790</v>
      </c>
      <c r="E5" s="103">
        <f>(400.584717386632+19)*0.88</f>
        <v>369.23455130023615</v>
      </c>
      <c r="F5" s="42"/>
      <c r="G5" s="42"/>
    </row>
    <row r="6" spans="3:8" x14ac:dyDescent="0.35">
      <c r="C6" s="42"/>
      <c r="D6" s="42" t="s">
        <v>394</v>
      </c>
      <c r="E6" s="103">
        <f>(196.188319033121+26)*0.88</f>
        <v>195.52572074914647</v>
      </c>
      <c r="F6" s="42"/>
      <c r="G6" s="42"/>
    </row>
    <row r="7" spans="3:8" x14ac:dyDescent="0.35">
      <c r="C7" s="42"/>
      <c r="D7" s="42" t="s">
        <v>822</v>
      </c>
      <c r="E7" s="103">
        <v>44</v>
      </c>
      <c r="F7" s="42"/>
      <c r="G7" s="42"/>
    </row>
    <row r="8" spans="3:8" x14ac:dyDescent="0.35">
      <c r="C8" s="42"/>
      <c r="D8" s="42" t="s">
        <v>820</v>
      </c>
      <c r="E8" s="103">
        <v>198.88</v>
      </c>
      <c r="F8" s="42"/>
      <c r="G8" s="42"/>
    </row>
    <row r="9" spans="3:8" x14ac:dyDescent="0.35">
      <c r="C9" s="42"/>
      <c r="D9" s="284" t="s">
        <v>826</v>
      </c>
      <c r="E9" s="313">
        <f>SUM(E4:E8)</f>
        <v>1222.2581115537901</v>
      </c>
      <c r="F9" s="231">
        <v>1208</v>
      </c>
      <c r="G9" s="313">
        <f>F9-E9</f>
        <v>-14.258111553790059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0B6-8738-4A9A-BB68-C4CE8D20ACCF}">
  <sheetPr filterMode="1">
    <tabColor rgb="FF00B050"/>
  </sheetPr>
  <dimension ref="A2:F167"/>
  <sheetViews>
    <sheetView workbookViewId="0">
      <pane xSplit="4" ySplit="2" topLeftCell="E56" activePane="bottomRight" state="frozen"/>
      <selection pane="topRight" activeCell="E1" sqref="E1"/>
      <selection pane="bottomLeft" activeCell="A3" sqref="A3"/>
      <selection pane="bottomRight" activeCell="F172" sqref="F172"/>
    </sheetView>
  </sheetViews>
  <sheetFormatPr defaultColWidth="9.1796875" defaultRowHeight="14.5" x14ac:dyDescent="0.35"/>
  <cols>
    <col min="1" max="1" width="5.1796875" style="86" customWidth="1"/>
    <col min="2" max="2" width="10.1796875" style="86" bestFit="1" customWidth="1"/>
    <col min="3" max="3" width="19.54296875" style="86" customWidth="1"/>
    <col min="4" max="4" width="28.7265625" style="86" bestFit="1" customWidth="1"/>
    <col min="5" max="5" width="9.1796875" style="86"/>
    <col min="6" max="6" width="16.453125" style="86" bestFit="1" customWidth="1"/>
    <col min="7" max="16384" width="9.1796875" style="86"/>
  </cols>
  <sheetData>
    <row r="2" spans="1:6" ht="46" customHeight="1" x14ac:dyDescent="0.35">
      <c r="A2" s="265" t="s">
        <v>13</v>
      </c>
      <c r="B2" s="265" t="s">
        <v>621</v>
      </c>
      <c r="C2" s="265" t="s">
        <v>157</v>
      </c>
      <c r="D2" s="265" t="s">
        <v>303</v>
      </c>
      <c r="E2" s="265" t="s">
        <v>622</v>
      </c>
      <c r="F2" s="266" t="s">
        <v>623</v>
      </c>
    </row>
    <row r="3" spans="1:6" hidden="1" x14ac:dyDescent="0.35">
      <c r="A3" s="102" t="s">
        <v>238</v>
      </c>
      <c r="B3" s="102" t="s">
        <v>239</v>
      </c>
      <c r="C3" s="102" t="s">
        <v>241</v>
      </c>
      <c r="D3" s="102" t="s">
        <v>442</v>
      </c>
      <c r="E3" s="102">
        <v>2970</v>
      </c>
      <c r="F3" s="102"/>
    </row>
    <row r="4" spans="1:6" hidden="1" x14ac:dyDescent="0.35">
      <c r="A4" s="102" t="s">
        <v>238</v>
      </c>
      <c r="B4" s="102" t="s">
        <v>239</v>
      </c>
      <c r="C4" s="102" t="s">
        <v>624</v>
      </c>
      <c r="D4" s="102" t="s">
        <v>442</v>
      </c>
      <c r="E4" s="102">
        <v>1056</v>
      </c>
      <c r="F4" s="102"/>
    </row>
    <row r="5" spans="1:6" hidden="1" x14ac:dyDescent="0.35">
      <c r="A5" s="102" t="s">
        <v>238</v>
      </c>
      <c r="B5" s="102" t="s">
        <v>239</v>
      </c>
      <c r="C5" s="102" t="s">
        <v>625</v>
      </c>
      <c r="D5" s="102" t="s">
        <v>438</v>
      </c>
      <c r="E5" s="102">
        <v>396</v>
      </c>
      <c r="F5" s="102"/>
    </row>
    <row r="6" spans="1:6" hidden="1" x14ac:dyDescent="0.35">
      <c r="A6" s="102" t="s">
        <v>233</v>
      </c>
      <c r="B6" s="102" t="s">
        <v>249</v>
      </c>
      <c r="C6" s="102" t="s">
        <v>626</v>
      </c>
      <c r="D6" s="102" t="s">
        <v>437</v>
      </c>
      <c r="E6" s="102">
        <v>2880</v>
      </c>
      <c r="F6" s="102"/>
    </row>
    <row r="7" spans="1:6" hidden="1" x14ac:dyDescent="0.35">
      <c r="A7" s="102" t="s">
        <v>233</v>
      </c>
      <c r="B7" s="102" t="s">
        <v>234</v>
      </c>
      <c r="C7" s="102" t="s">
        <v>200</v>
      </c>
      <c r="D7" s="102" t="s">
        <v>440</v>
      </c>
      <c r="E7" s="102">
        <v>792</v>
      </c>
      <c r="F7" s="102"/>
    </row>
    <row r="8" spans="1:6" hidden="1" x14ac:dyDescent="0.35">
      <c r="A8" s="102" t="s">
        <v>238</v>
      </c>
      <c r="B8" s="102" t="s">
        <v>239</v>
      </c>
      <c r="C8" s="102" t="s">
        <v>242</v>
      </c>
      <c r="D8" s="102" t="s">
        <v>443</v>
      </c>
      <c r="E8" s="102">
        <v>37790</v>
      </c>
      <c r="F8" s="102"/>
    </row>
    <row r="9" spans="1:6" hidden="1" x14ac:dyDescent="0.35">
      <c r="A9" s="102" t="s">
        <v>238</v>
      </c>
      <c r="B9" s="102" t="s">
        <v>239</v>
      </c>
      <c r="C9" s="102" t="s">
        <v>584</v>
      </c>
      <c r="D9" s="102" t="s">
        <v>438</v>
      </c>
      <c r="E9" s="102">
        <v>264</v>
      </c>
      <c r="F9" s="102"/>
    </row>
    <row r="10" spans="1:6" hidden="1" x14ac:dyDescent="0.35">
      <c r="A10" s="102" t="s">
        <v>238</v>
      </c>
      <c r="B10" s="102" t="s">
        <v>239</v>
      </c>
      <c r="C10" s="102" t="s">
        <v>566</v>
      </c>
      <c r="D10" s="102" t="s">
        <v>442</v>
      </c>
      <c r="E10" s="102">
        <v>1056</v>
      </c>
      <c r="F10" s="102"/>
    </row>
    <row r="11" spans="1:6" hidden="1" x14ac:dyDescent="0.35">
      <c r="A11" s="102" t="s">
        <v>238</v>
      </c>
      <c r="B11" s="102" t="s">
        <v>239</v>
      </c>
      <c r="C11" s="102" t="s">
        <v>243</v>
      </c>
      <c r="D11" s="102" t="s">
        <v>443</v>
      </c>
      <c r="E11" s="102">
        <v>10032</v>
      </c>
      <c r="F11" s="102"/>
    </row>
    <row r="12" spans="1:6" hidden="1" x14ac:dyDescent="0.35">
      <c r="A12" s="102" t="s">
        <v>238</v>
      </c>
      <c r="B12" s="102" t="s">
        <v>239</v>
      </c>
      <c r="C12" s="102" t="s">
        <v>202</v>
      </c>
      <c r="D12" s="102" t="s">
        <v>438</v>
      </c>
      <c r="E12" s="102">
        <v>5280</v>
      </c>
      <c r="F12" s="102"/>
    </row>
    <row r="13" spans="1:6" hidden="1" x14ac:dyDescent="0.35">
      <c r="A13" s="102" t="s">
        <v>238</v>
      </c>
      <c r="B13" s="102" t="s">
        <v>245</v>
      </c>
      <c r="C13" s="102" t="s">
        <v>627</v>
      </c>
      <c r="D13" s="102" t="s">
        <v>444</v>
      </c>
      <c r="E13" s="102">
        <v>6264</v>
      </c>
      <c r="F13" s="102"/>
    </row>
    <row r="14" spans="1:6" hidden="1" x14ac:dyDescent="0.35">
      <c r="A14" s="102" t="s">
        <v>238</v>
      </c>
      <c r="B14" s="102" t="s">
        <v>245</v>
      </c>
      <c r="C14" s="102" t="s">
        <v>628</v>
      </c>
      <c r="D14" s="102" t="s">
        <v>444</v>
      </c>
      <c r="E14" s="102">
        <v>11160</v>
      </c>
      <c r="F14" s="102"/>
    </row>
    <row r="15" spans="1:6" hidden="1" x14ac:dyDescent="0.35">
      <c r="A15" s="102" t="s">
        <v>238</v>
      </c>
      <c r="B15" s="102" t="s">
        <v>245</v>
      </c>
      <c r="C15" s="102" t="s">
        <v>629</v>
      </c>
      <c r="D15" s="102" t="s">
        <v>444</v>
      </c>
      <c r="E15" s="102">
        <v>288</v>
      </c>
      <c r="F15" s="102"/>
    </row>
    <row r="16" spans="1:6" hidden="1" x14ac:dyDescent="0.35">
      <c r="A16" s="102" t="s">
        <v>238</v>
      </c>
      <c r="B16" s="102" t="s">
        <v>245</v>
      </c>
      <c r="C16" s="102" t="s">
        <v>630</v>
      </c>
      <c r="D16" s="102" t="s">
        <v>444</v>
      </c>
      <c r="E16" s="102">
        <v>576</v>
      </c>
      <c r="F16" s="102"/>
    </row>
    <row r="17" spans="1:6" hidden="1" x14ac:dyDescent="0.35">
      <c r="A17" s="102" t="s">
        <v>233</v>
      </c>
      <c r="B17" s="102" t="s">
        <v>249</v>
      </c>
      <c r="C17" s="102" t="s">
        <v>208</v>
      </c>
      <c r="D17" s="102" t="s">
        <v>437</v>
      </c>
      <c r="E17" s="102">
        <v>2016</v>
      </c>
      <c r="F17" s="102"/>
    </row>
    <row r="18" spans="1:6" hidden="1" x14ac:dyDescent="0.35">
      <c r="A18" s="102" t="s">
        <v>238</v>
      </c>
      <c r="B18" s="102" t="s">
        <v>245</v>
      </c>
      <c r="C18" s="102" t="s">
        <v>209</v>
      </c>
      <c r="D18" s="102" t="s">
        <v>444</v>
      </c>
      <c r="E18" s="102">
        <v>144</v>
      </c>
      <c r="F18" s="102"/>
    </row>
    <row r="19" spans="1:6" hidden="1" x14ac:dyDescent="0.35">
      <c r="A19" s="102" t="s">
        <v>233</v>
      </c>
      <c r="B19" s="102" t="s">
        <v>234</v>
      </c>
      <c r="C19" s="102" t="s">
        <v>204</v>
      </c>
      <c r="D19" s="102" t="s">
        <v>440</v>
      </c>
      <c r="E19" s="102">
        <v>924</v>
      </c>
      <c r="F19" s="102"/>
    </row>
    <row r="20" spans="1:6" hidden="1" x14ac:dyDescent="0.35">
      <c r="A20" s="102" t="s">
        <v>238</v>
      </c>
      <c r="B20" s="102" t="s">
        <v>239</v>
      </c>
      <c r="C20" s="102" t="s">
        <v>631</v>
      </c>
      <c r="D20" s="102" t="s">
        <v>438</v>
      </c>
      <c r="E20" s="102">
        <v>2640</v>
      </c>
      <c r="F20" s="102"/>
    </row>
    <row r="21" spans="1:6" hidden="1" x14ac:dyDescent="0.35">
      <c r="A21" s="102" t="s">
        <v>238</v>
      </c>
      <c r="B21" s="102" t="s">
        <v>632</v>
      </c>
      <c r="C21" s="102" t="s">
        <v>633</v>
      </c>
      <c r="D21" s="102" t="s">
        <v>438</v>
      </c>
      <c r="E21" s="102">
        <v>1584</v>
      </c>
      <c r="F21" s="102"/>
    </row>
    <row r="22" spans="1:6" hidden="1" x14ac:dyDescent="0.35">
      <c r="A22" s="102" t="s">
        <v>238</v>
      </c>
      <c r="B22" s="102" t="s">
        <v>234</v>
      </c>
      <c r="C22" s="102" t="s">
        <v>634</v>
      </c>
      <c r="D22" s="102" t="s">
        <v>443</v>
      </c>
      <c r="E22" s="102">
        <v>43758</v>
      </c>
      <c r="F22" s="102"/>
    </row>
    <row r="23" spans="1:6" hidden="1" x14ac:dyDescent="0.35">
      <c r="A23" s="102" t="s">
        <v>233</v>
      </c>
      <c r="B23" s="102" t="s">
        <v>234</v>
      </c>
      <c r="C23" s="102" t="s">
        <v>206</v>
      </c>
      <c r="D23" s="102" t="s">
        <v>443</v>
      </c>
      <c r="E23" s="102">
        <v>3960</v>
      </c>
      <c r="F23" s="102"/>
    </row>
    <row r="24" spans="1:6" hidden="1" x14ac:dyDescent="0.35">
      <c r="A24" s="102" t="s">
        <v>238</v>
      </c>
      <c r="B24" s="102" t="s">
        <v>239</v>
      </c>
      <c r="C24" s="102" t="s">
        <v>635</v>
      </c>
      <c r="D24" s="102" t="s">
        <v>438</v>
      </c>
      <c r="E24" s="102">
        <v>198</v>
      </c>
      <c r="F24" s="102"/>
    </row>
    <row r="25" spans="1:6" hidden="1" x14ac:dyDescent="0.35">
      <c r="A25" s="102" t="s">
        <v>238</v>
      </c>
      <c r="B25" s="102" t="s">
        <v>239</v>
      </c>
      <c r="C25" s="102" t="s">
        <v>447</v>
      </c>
      <c r="D25" s="102" t="s">
        <v>438</v>
      </c>
      <c r="E25" s="102">
        <v>198</v>
      </c>
      <c r="F25" s="102"/>
    </row>
    <row r="26" spans="1:6" hidden="1" x14ac:dyDescent="0.35">
      <c r="A26" s="102" t="s">
        <v>238</v>
      </c>
      <c r="B26" s="102" t="s">
        <v>239</v>
      </c>
      <c r="C26" s="102" t="s">
        <v>567</v>
      </c>
      <c r="D26" s="102" t="s">
        <v>438</v>
      </c>
      <c r="E26" s="102">
        <v>1122</v>
      </c>
      <c r="F26" s="102"/>
    </row>
    <row r="27" spans="1:6" hidden="1" x14ac:dyDescent="0.35">
      <c r="A27" s="102" t="s">
        <v>233</v>
      </c>
      <c r="B27" s="102" t="s">
        <v>234</v>
      </c>
      <c r="C27" s="102" t="s">
        <v>636</v>
      </c>
      <c r="D27" s="102" t="s">
        <v>440</v>
      </c>
      <c r="E27" s="102">
        <v>2046</v>
      </c>
      <c r="F27" s="102"/>
    </row>
    <row r="28" spans="1:6" hidden="1" x14ac:dyDescent="0.35">
      <c r="A28" s="102" t="s">
        <v>238</v>
      </c>
      <c r="B28" s="102" t="s">
        <v>245</v>
      </c>
      <c r="C28" s="102" t="s">
        <v>637</v>
      </c>
      <c r="D28" s="102" t="s">
        <v>564</v>
      </c>
      <c r="E28" s="102">
        <v>288</v>
      </c>
      <c r="F28" s="102"/>
    </row>
    <row r="29" spans="1:6" hidden="1" x14ac:dyDescent="0.35">
      <c r="A29" s="102" t="s">
        <v>238</v>
      </c>
      <c r="B29" s="102" t="s">
        <v>245</v>
      </c>
      <c r="C29" s="102" t="s">
        <v>210</v>
      </c>
      <c r="D29" s="102" t="s">
        <v>564</v>
      </c>
      <c r="E29" s="102">
        <v>576</v>
      </c>
      <c r="F29" s="102"/>
    </row>
    <row r="30" spans="1:6" hidden="1" x14ac:dyDescent="0.35">
      <c r="A30" s="102" t="s">
        <v>238</v>
      </c>
      <c r="B30" s="102" t="s">
        <v>249</v>
      </c>
      <c r="C30" s="102" t="s">
        <v>638</v>
      </c>
      <c r="D30" s="102" t="s">
        <v>437</v>
      </c>
      <c r="E30" s="102">
        <v>34236</v>
      </c>
      <c r="F30" s="102"/>
    </row>
    <row r="31" spans="1:6" hidden="1" x14ac:dyDescent="0.35">
      <c r="A31" s="102" t="s">
        <v>233</v>
      </c>
      <c r="B31" s="102" t="s">
        <v>249</v>
      </c>
      <c r="C31" s="102" t="s">
        <v>565</v>
      </c>
      <c r="D31" s="102" t="s">
        <v>437</v>
      </c>
      <c r="E31" s="102">
        <v>2160</v>
      </c>
      <c r="F31" s="102"/>
    </row>
    <row r="32" spans="1:6" hidden="1" x14ac:dyDescent="0.35">
      <c r="A32" s="102" t="s">
        <v>238</v>
      </c>
      <c r="B32" s="102" t="s">
        <v>245</v>
      </c>
      <c r="C32" s="102" t="s">
        <v>639</v>
      </c>
      <c r="D32" s="102" t="s">
        <v>561</v>
      </c>
      <c r="E32" s="102">
        <v>1408</v>
      </c>
      <c r="F32" s="102"/>
    </row>
    <row r="33" spans="1:6" hidden="1" x14ac:dyDescent="0.35">
      <c r="A33" s="102" t="s">
        <v>238</v>
      </c>
      <c r="B33" s="102" t="s">
        <v>245</v>
      </c>
      <c r="C33" s="102" t="s">
        <v>212</v>
      </c>
      <c r="D33" s="102" t="s">
        <v>561</v>
      </c>
      <c r="E33" s="102">
        <v>2112</v>
      </c>
      <c r="F33" s="102"/>
    </row>
    <row r="34" spans="1:6" hidden="1" x14ac:dyDescent="0.35">
      <c r="A34" s="102" t="s">
        <v>238</v>
      </c>
      <c r="B34" s="102" t="s">
        <v>245</v>
      </c>
      <c r="C34" s="102" t="s">
        <v>640</v>
      </c>
      <c r="D34" s="102" t="s">
        <v>444</v>
      </c>
      <c r="E34" s="102">
        <v>216</v>
      </c>
      <c r="F34" s="102"/>
    </row>
    <row r="35" spans="1:6" hidden="1" x14ac:dyDescent="0.35">
      <c r="A35" s="102" t="s">
        <v>233</v>
      </c>
      <c r="B35" s="102" t="s">
        <v>249</v>
      </c>
      <c r="C35" s="102" t="s">
        <v>641</v>
      </c>
      <c r="D35" s="102" t="s">
        <v>437</v>
      </c>
      <c r="E35" s="102">
        <v>1440</v>
      </c>
      <c r="F35" s="102"/>
    </row>
    <row r="36" spans="1:6" hidden="1" x14ac:dyDescent="0.35">
      <c r="A36" s="102" t="s">
        <v>449</v>
      </c>
      <c r="B36" s="102" t="s">
        <v>642</v>
      </c>
      <c r="C36" s="102" t="s">
        <v>643</v>
      </c>
      <c r="D36" s="102" t="s">
        <v>644</v>
      </c>
      <c r="E36" s="102">
        <v>200</v>
      </c>
      <c r="F36" s="102"/>
    </row>
    <row r="37" spans="1:6" hidden="1" x14ac:dyDescent="0.35">
      <c r="A37" s="102" t="s">
        <v>449</v>
      </c>
      <c r="B37" s="102" t="s">
        <v>642</v>
      </c>
      <c r="C37" s="102" t="s">
        <v>645</v>
      </c>
      <c r="D37" s="102" t="s">
        <v>646</v>
      </c>
      <c r="E37" s="102">
        <v>200</v>
      </c>
      <c r="F37" s="102"/>
    </row>
    <row r="38" spans="1:6" hidden="1" x14ac:dyDescent="0.35">
      <c r="A38" s="102" t="s">
        <v>449</v>
      </c>
      <c r="B38" s="102" t="s">
        <v>642</v>
      </c>
      <c r="C38" s="102" t="s">
        <v>647</v>
      </c>
      <c r="D38" s="102" t="s">
        <v>648</v>
      </c>
      <c r="E38" s="102">
        <v>100</v>
      </c>
      <c r="F38" s="102"/>
    </row>
    <row r="39" spans="1:6" hidden="1" x14ac:dyDescent="0.35">
      <c r="A39" s="102" t="s">
        <v>449</v>
      </c>
      <c r="B39" s="102" t="s">
        <v>642</v>
      </c>
      <c r="C39" s="102" t="s">
        <v>649</v>
      </c>
      <c r="D39" s="102" t="s">
        <v>648</v>
      </c>
      <c r="E39" s="102">
        <v>100</v>
      </c>
      <c r="F39" s="102"/>
    </row>
    <row r="40" spans="1:6" hidden="1" x14ac:dyDescent="0.35">
      <c r="A40" s="102" t="s">
        <v>449</v>
      </c>
      <c r="B40" s="102" t="s">
        <v>642</v>
      </c>
      <c r="C40" s="102" t="s">
        <v>650</v>
      </c>
      <c r="D40" s="102" t="s">
        <v>648</v>
      </c>
      <c r="E40" s="102">
        <v>200</v>
      </c>
      <c r="F40" s="102"/>
    </row>
    <row r="41" spans="1:6" hidden="1" x14ac:dyDescent="0.35">
      <c r="A41" s="102" t="s">
        <v>449</v>
      </c>
      <c r="B41" s="102" t="s">
        <v>642</v>
      </c>
      <c r="C41" s="102" t="s">
        <v>651</v>
      </c>
      <c r="D41" s="102" t="s">
        <v>648</v>
      </c>
      <c r="E41" s="102">
        <v>200</v>
      </c>
      <c r="F41" s="102"/>
    </row>
    <row r="42" spans="1:6" hidden="1" x14ac:dyDescent="0.35">
      <c r="A42" s="102" t="s">
        <v>449</v>
      </c>
      <c r="B42" s="102" t="s">
        <v>453</v>
      </c>
      <c r="C42" s="102" t="s">
        <v>451</v>
      </c>
      <c r="D42" s="102" t="s">
        <v>452</v>
      </c>
      <c r="E42" s="102">
        <v>18432</v>
      </c>
      <c r="F42" s="102"/>
    </row>
    <row r="43" spans="1:6" hidden="1" x14ac:dyDescent="0.35">
      <c r="A43" s="102" t="s">
        <v>449</v>
      </c>
      <c r="B43" s="102" t="s">
        <v>450</v>
      </c>
      <c r="C43" s="102" t="s">
        <v>454</v>
      </c>
      <c r="D43" s="102" t="s">
        <v>455</v>
      </c>
      <c r="E43" s="102">
        <v>61734</v>
      </c>
      <c r="F43" s="102"/>
    </row>
    <row r="44" spans="1:6" hidden="1" x14ac:dyDescent="0.35">
      <c r="A44" s="102" t="s">
        <v>55</v>
      </c>
      <c r="B44" s="102" t="s">
        <v>337</v>
      </c>
      <c r="C44" s="102" t="s">
        <v>84</v>
      </c>
      <c r="D44" s="102" t="s">
        <v>456</v>
      </c>
      <c r="E44" s="102">
        <v>2000</v>
      </c>
      <c r="F44" s="102"/>
    </row>
    <row r="45" spans="1:6" hidden="1" x14ac:dyDescent="0.35">
      <c r="A45" s="102" t="s">
        <v>55</v>
      </c>
      <c r="B45" s="102" t="s">
        <v>337</v>
      </c>
      <c r="C45" s="102" t="s">
        <v>334</v>
      </c>
      <c r="D45" s="102" t="s">
        <v>457</v>
      </c>
      <c r="E45" s="102">
        <v>13120</v>
      </c>
      <c r="F45" s="102"/>
    </row>
    <row r="46" spans="1:6" hidden="1" x14ac:dyDescent="0.35">
      <c r="A46" s="102" t="s">
        <v>55</v>
      </c>
      <c r="B46" s="102" t="s">
        <v>311</v>
      </c>
      <c r="C46" s="102" t="s">
        <v>69</v>
      </c>
      <c r="D46" s="102" t="s">
        <v>458</v>
      </c>
      <c r="E46" s="102">
        <v>2880</v>
      </c>
      <c r="F46" s="102"/>
    </row>
    <row r="47" spans="1:6" hidden="1" x14ac:dyDescent="0.35">
      <c r="A47" s="102" t="s">
        <v>55</v>
      </c>
      <c r="B47" s="102" t="s">
        <v>311</v>
      </c>
      <c r="C47" s="102" t="s">
        <v>66</v>
      </c>
      <c r="D47" s="102" t="s">
        <v>459</v>
      </c>
      <c r="E47" s="102">
        <v>7920</v>
      </c>
      <c r="F47" s="102"/>
    </row>
    <row r="48" spans="1:6" hidden="1" x14ac:dyDescent="0.35">
      <c r="A48" s="102" t="s">
        <v>55</v>
      </c>
      <c r="B48" s="102" t="s">
        <v>311</v>
      </c>
      <c r="C48" s="102" t="s">
        <v>118</v>
      </c>
      <c r="D48" s="102" t="s">
        <v>460</v>
      </c>
      <c r="E48" s="102">
        <v>4320</v>
      </c>
      <c r="F48" s="102"/>
    </row>
    <row r="49" spans="1:6" hidden="1" x14ac:dyDescent="0.35">
      <c r="A49" s="102" t="s">
        <v>55</v>
      </c>
      <c r="B49" s="102" t="s">
        <v>337</v>
      </c>
      <c r="C49" s="102" t="s">
        <v>304</v>
      </c>
      <c r="D49" s="102" t="s">
        <v>461</v>
      </c>
      <c r="E49" s="102">
        <v>29820</v>
      </c>
      <c r="F49" s="102"/>
    </row>
    <row r="50" spans="1:6" hidden="1" x14ac:dyDescent="0.35">
      <c r="A50" s="102" t="s">
        <v>55</v>
      </c>
      <c r="B50" s="102" t="s">
        <v>335</v>
      </c>
      <c r="C50" s="102" t="s">
        <v>462</v>
      </c>
      <c r="D50" s="102" t="s">
        <v>463</v>
      </c>
      <c r="E50" s="102">
        <v>700</v>
      </c>
      <c r="F50" s="102"/>
    </row>
    <row r="51" spans="1:6" hidden="1" x14ac:dyDescent="0.35">
      <c r="A51" s="102" t="s">
        <v>55</v>
      </c>
      <c r="B51" s="102" t="s">
        <v>335</v>
      </c>
      <c r="C51" s="102" t="s">
        <v>652</v>
      </c>
      <c r="D51" s="102" t="s">
        <v>463</v>
      </c>
      <c r="E51" s="102">
        <v>2100</v>
      </c>
      <c r="F51" s="102"/>
    </row>
    <row r="52" spans="1:6" hidden="1" x14ac:dyDescent="0.35">
      <c r="A52" s="102" t="s">
        <v>55</v>
      </c>
      <c r="B52" s="102" t="s">
        <v>335</v>
      </c>
      <c r="C52" s="102" t="s">
        <v>608</v>
      </c>
      <c r="D52" s="102" t="s">
        <v>463</v>
      </c>
      <c r="E52" s="102">
        <v>1025</v>
      </c>
      <c r="F52" s="102"/>
    </row>
    <row r="53" spans="1:6" hidden="1" x14ac:dyDescent="0.35">
      <c r="A53" s="102" t="s">
        <v>55</v>
      </c>
      <c r="B53" s="102" t="s">
        <v>335</v>
      </c>
      <c r="C53" s="102" t="s">
        <v>407</v>
      </c>
      <c r="D53" s="102" t="s">
        <v>463</v>
      </c>
      <c r="E53" s="102">
        <v>11250</v>
      </c>
      <c r="F53" s="102"/>
    </row>
    <row r="54" spans="1:6" hidden="1" x14ac:dyDescent="0.35">
      <c r="A54" s="102" t="s">
        <v>55</v>
      </c>
      <c r="B54" s="102" t="s">
        <v>335</v>
      </c>
      <c r="C54" s="102" t="s">
        <v>653</v>
      </c>
      <c r="D54" s="102" t="s">
        <v>463</v>
      </c>
      <c r="E54" s="102">
        <v>5000</v>
      </c>
      <c r="F54" s="102"/>
    </row>
    <row r="55" spans="1:6" hidden="1" x14ac:dyDescent="0.35">
      <c r="A55" s="102" t="s">
        <v>233</v>
      </c>
      <c r="B55" s="102" t="s">
        <v>654</v>
      </c>
      <c r="C55" s="102" t="s">
        <v>655</v>
      </c>
      <c r="D55" s="102" t="s">
        <v>656</v>
      </c>
      <c r="E55" s="102">
        <v>4800</v>
      </c>
      <c r="F55" s="102"/>
    </row>
    <row r="56" spans="1:6" x14ac:dyDescent="0.35">
      <c r="A56" s="102" t="s">
        <v>531</v>
      </c>
      <c r="B56" s="102" t="s">
        <v>347</v>
      </c>
      <c r="C56" s="102" t="s">
        <v>570</v>
      </c>
      <c r="D56" s="102" t="s">
        <v>571</v>
      </c>
      <c r="E56" s="102">
        <v>35000</v>
      </c>
      <c r="F56" s="102"/>
    </row>
    <row r="57" spans="1:6" hidden="1" x14ac:dyDescent="0.35">
      <c r="A57" s="102" t="s">
        <v>55</v>
      </c>
      <c r="B57" s="102" t="s">
        <v>312</v>
      </c>
      <c r="C57" s="102" t="s">
        <v>469</v>
      </c>
      <c r="D57" s="102" t="s">
        <v>470</v>
      </c>
      <c r="E57" s="102">
        <v>40680</v>
      </c>
      <c r="F57" s="102"/>
    </row>
    <row r="58" spans="1:6" hidden="1" x14ac:dyDescent="0.35">
      <c r="A58" s="102" t="s">
        <v>55</v>
      </c>
      <c r="B58" s="102" t="s">
        <v>336</v>
      </c>
      <c r="C58" s="102" t="s">
        <v>53</v>
      </c>
      <c r="D58" s="102" t="s">
        <v>456</v>
      </c>
      <c r="E58" s="102">
        <v>32000</v>
      </c>
      <c r="F58" s="102"/>
    </row>
    <row r="59" spans="1:6" hidden="1" x14ac:dyDescent="0.35">
      <c r="A59" s="102" t="s">
        <v>468</v>
      </c>
      <c r="B59" s="102" t="s">
        <v>473</v>
      </c>
      <c r="C59" s="231" t="s">
        <v>471</v>
      </c>
      <c r="D59" s="231" t="s">
        <v>472</v>
      </c>
      <c r="E59" s="231">
        <v>79760</v>
      </c>
      <c r="F59" s="102"/>
    </row>
    <row r="60" spans="1:6" hidden="1" x14ac:dyDescent="0.35">
      <c r="A60" s="102" t="s">
        <v>468</v>
      </c>
      <c r="B60" s="102" t="s">
        <v>473</v>
      </c>
      <c r="C60" s="231" t="s">
        <v>474</v>
      </c>
      <c r="D60" s="231" t="s">
        <v>475</v>
      </c>
      <c r="E60" s="231">
        <v>160000</v>
      </c>
      <c r="F60" s="102"/>
    </row>
    <row r="61" spans="1:6" hidden="1" x14ac:dyDescent="0.35">
      <c r="A61" s="102" t="s">
        <v>468</v>
      </c>
      <c r="B61" s="102" t="s">
        <v>473</v>
      </c>
      <c r="C61" s="231" t="s">
        <v>592</v>
      </c>
      <c r="D61" s="231" t="s">
        <v>593</v>
      </c>
      <c r="E61" s="231">
        <v>40000</v>
      </c>
      <c r="F61" s="102"/>
    </row>
    <row r="62" spans="1:6" hidden="1" x14ac:dyDescent="0.35">
      <c r="A62" s="102" t="s">
        <v>468</v>
      </c>
      <c r="B62" s="102" t="s">
        <v>473</v>
      </c>
      <c r="C62" s="231" t="s">
        <v>476</v>
      </c>
      <c r="D62" s="231" t="s">
        <v>477</v>
      </c>
      <c r="E62" s="231">
        <v>9000</v>
      </c>
      <c r="F62" s="102"/>
    </row>
    <row r="63" spans="1:6" hidden="1" x14ac:dyDescent="0.35">
      <c r="A63" s="102" t="s">
        <v>468</v>
      </c>
      <c r="B63" s="102" t="s">
        <v>473</v>
      </c>
      <c r="C63" s="231" t="s">
        <v>478</v>
      </c>
      <c r="D63" s="231" t="s">
        <v>479</v>
      </c>
      <c r="E63" s="231">
        <v>9725</v>
      </c>
      <c r="F63" s="102"/>
    </row>
    <row r="64" spans="1:6" hidden="1" x14ac:dyDescent="0.35">
      <c r="A64" s="102" t="s">
        <v>468</v>
      </c>
      <c r="B64" s="102" t="s">
        <v>473</v>
      </c>
      <c r="C64" s="231" t="s">
        <v>657</v>
      </c>
      <c r="D64" s="231" t="s">
        <v>658</v>
      </c>
      <c r="E64" s="231">
        <v>6000</v>
      </c>
      <c r="F64" s="102"/>
    </row>
    <row r="65" spans="1:6" hidden="1" x14ac:dyDescent="0.35">
      <c r="A65" s="102" t="s">
        <v>55</v>
      </c>
      <c r="B65" s="102" t="s">
        <v>335</v>
      </c>
      <c r="C65" s="102" t="s">
        <v>480</v>
      </c>
      <c r="D65" s="102" t="s">
        <v>481</v>
      </c>
      <c r="E65" s="102">
        <v>210000</v>
      </c>
      <c r="F65" s="102"/>
    </row>
    <row r="66" spans="1:6" hidden="1" x14ac:dyDescent="0.35">
      <c r="A66" s="102" t="s">
        <v>43</v>
      </c>
      <c r="B66" s="102" t="s">
        <v>75</v>
      </c>
      <c r="C66" s="102" t="s">
        <v>73</v>
      </c>
      <c r="D66" s="102" t="s">
        <v>482</v>
      </c>
      <c r="E66" s="102">
        <v>26050</v>
      </c>
      <c r="F66" s="102"/>
    </row>
    <row r="67" spans="1:6" hidden="1" x14ac:dyDescent="0.35">
      <c r="A67" s="102" t="s">
        <v>485</v>
      </c>
      <c r="B67" s="102" t="s">
        <v>315</v>
      </c>
      <c r="C67" s="102" t="s">
        <v>600</v>
      </c>
      <c r="D67" s="102" t="s">
        <v>601</v>
      </c>
      <c r="E67" s="102">
        <v>17000</v>
      </c>
      <c r="F67" s="102"/>
    </row>
    <row r="68" spans="1:6" hidden="1" x14ac:dyDescent="0.35">
      <c r="A68" s="102" t="s">
        <v>485</v>
      </c>
      <c r="B68" s="102" t="s">
        <v>315</v>
      </c>
      <c r="C68" s="102" t="s">
        <v>659</v>
      </c>
      <c r="D68" s="102" t="s">
        <v>660</v>
      </c>
      <c r="E68" s="102">
        <v>1900</v>
      </c>
      <c r="F68" s="102"/>
    </row>
    <row r="69" spans="1:6" hidden="1" x14ac:dyDescent="0.35">
      <c r="A69" s="102" t="s">
        <v>485</v>
      </c>
      <c r="B69" s="102" t="s">
        <v>315</v>
      </c>
      <c r="C69" s="102" t="s">
        <v>483</v>
      </c>
      <c r="D69" s="102" t="s">
        <v>484</v>
      </c>
      <c r="E69" s="102">
        <v>328000</v>
      </c>
      <c r="F69" s="102"/>
    </row>
    <row r="70" spans="1:6" hidden="1" x14ac:dyDescent="0.35">
      <c r="A70" s="102" t="s">
        <v>468</v>
      </c>
      <c r="B70" s="102" t="s">
        <v>473</v>
      </c>
      <c r="C70" s="231" t="s">
        <v>661</v>
      </c>
      <c r="D70" s="231" t="s">
        <v>662</v>
      </c>
      <c r="E70" s="231">
        <v>11679</v>
      </c>
      <c r="F70" s="102"/>
    </row>
    <row r="71" spans="1:6" hidden="1" x14ac:dyDescent="0.35">
      <c r="A71" s="102" t="s">
        <v>488</v>
      </c>
      <c r="B71" s="102" t="s">
        <v>313</v>
      </c>
      <c r="C71" s="102" t="s">
        <v>286</v>
      </c>
      <c r="D71" s="102" t="s">
        <v>487</v>
      </c>
      <c r="E71" s="102">
        <v>3472</v>
      </c>
      <c r="F71" s="102">
        <v>2240</v>
      </c>
    </row>
    <row r="72" spans="1:6" hidden="1" x14ac:dyDescent="0.35">
      <c r="A72" s="102" t="s">
        <v>488</v>
      </c>
      <c r="B72" s="102" t="s">
        <v>313</v>
      </c>
      <c r="C72" s="102" t="s">
        <v>287</v>
      </c>
      <c r="D72" s="102" t="s">
        <v>489</v>
      </c>
      <c r="E72" s="102">
        <v>3920</v>
      </c>
      <c r="F72" s="102">
        <v>2240</v>
      </c>
    </row>
    <row r="73" spans="1:6" hidden="1" x14ac:dyDescent="0.35">
      <c r="A73" s="102" t="s">
        <v>663</v>
      </c>
      <c r="B73" s="102" t="s">
        <v>664</v>
      </c>
      <c r="C73" s="102" t="s">
        <v>403</v>
      </c>
      <c r="D73" s="102" t="s">
        <v>665</v>
      </c>
      <c r="E73" s="102">
        <v>81200</v>
      </c>
      <c r="F73" s="102"/>
    </row>
    <row r="74" spans="1:6" hidden="1" x14ac:dyDescent="0.35">
      <c r="A74" s="102" t="s">
        <v>663</v>
      </c>
      <c r="B74" s="102" t="s">
        <v>664</v>
      </c>
      <c r="C74" s="102" t="s">
        <v>666</v>
      </c>
      <c r="D74" s="102" t="s">
        <v>667</v>
      </c>
      <c r="E74" s="102">
        <v>40000</v>
      </c>
      <c r="F74" s="102"/>
    </row>
    <row r="75" spans="1:6" hidden="1" x14ac:dyDescent="0.35">
      <c r="A75" s="102" t="s">
        <v>485</v>
      </c>
      <c r="B75" s="102" t="s">
        <v>322</v>
      </c>
      <c r="C75" s="102" t="s">
        <v>323</v>
      </c>
      <c r="D75" s="102" t="s">
        <v>490</v>
      </c>
      <c r="E75" s="102"/>
      <c r="F75" s="102">
        <v>5000</v>
      </c>
    </row>
    <row r="76" spans="1:6" hidden="1" x14ac:dyDescent="0.35">
      <c r="A76" s="102" t="s">
        <v>485</v>
      </c>
      <c r="B76" s="102" t="s">
        <v>322</v>
      </c>
      <c r="C76" s="102" t="s">
        <v>324</v>
      </c>
      <c r="D76" s="102" t="s">
        <v>491</v>
      </c>
      <c r="E76" s="102"/>
      <c r="F76" s="102">
        <v>5000</v>
      </c>
    </row>
    <row r="77" spans="1:6" hidden="1" x14ac:dyDescent="0.35">
      <c r="A77" s="102" t="s">
        <v>663</v>
      </c>
      <c r="B77" s="102" t="s">
        <v>664</v>
      </c>
      <c r="C77" s="102" t="s">
        <v>668</v>
      </c>
      <c r="D77" s="102" t="s">
        <v>669</v>
      </c>
      <c r="E77" s="102">
        <v>1000</v>
      </c>
      <c r="F77" s="102"/>
    </row>
    <row r="78" spans="1:6" hidden="1" x14ac:dyDescent="0.35">
      <c r="A78" s="102" t="s">
        <v>663</v>
      </c>
      <c r="B78" s="102" t="s">
        <v>664</v>
      </c>
      <c r="C78" s="102" t="s">
        <v>670</v>
      </c>
      <c r="D78" s="102" t="s">
        <v>671</v>
      </c>
      <c r="E78" s="102">
        <v>600</v>
      </c>
      <c r="F78" s="102"/>
    </row>
    <row r="79" spans="1:6" hidden="1" x14ac:dyDescent="0.35">
      <c r="A79" s="102" t="s">
        <v>663</v>
      </c>
      <c r="B79" s="102" t="s">
        <v>664</v>
      </c>
      <c r="C79" s="102" t="s">
        <v>672</v>
      </c>
      <c r="D79" s="102" t="s">
        <v>673</v>
      </c>
      <c r="E79" s="102">
        <v>1000</v>
      </c>
      <c r="F79" s="102"/>
    </row>
    <row r="80" spans="1:6" hidden="1" x14ac:dyDescent="0.35">
      <c r="A80" s="102" t="s">
        <v>663</v>
      </c>
      <c r="B80" s="102" t="s">
        <v>664</v>
      </c>
      <c r="C80" s="102" t="s">
        <v>674</v>
      </c>
      <c r="D80" s="102" t="s">
        <v>675</v>
      </c>
      <c r="E80" s="102">
        <v>1000</v>
      </c>
      <c r="F80" s="102"/>
    </row>
    <row r="81" spans="1:6" hidden="1" x14ac:dyDescent="0.35">
      <c r="A81" s="102" t="s">
        <v>493</v>
      </c>
      <c r="B81" s="102" t="s">
        <v>494</v>
      </c>
      <c r="C81" s="102" t="s">
        <v>405</v>
      </c>
      <c r="D81" s="102" t="s">
        <v>492</v>
      </c>
      <c r="E81" s="102">
        <v>1920</v>
      </c>
      <c r="F81" s="102"/>
    </row>
    <row r="82" spans="1:6" hidden="1" x14ac:dyDescent="0.35">
      <c r="A82" s="102" t="s">
        <v>468</v>
      </c>
      <c r="B82" s="102" t="s">
        <v>343</v>
      </c>
      <c r="C82" s="102" t="s">
        <v>344</v>
      </c>
      <c r="D82" s="102" t="s">
        <v>495</v>
      </c>
      <c r="E82" s="102">
        <v>20970</v>
      </c>
      <c r="F82" s="102"/>
    </row>
    <row r="83" spans="1:6" hidden="1" x14ac:dyDescent="0.35">
      <c r="A83" s="102" t="s">
        <v>493</v>
      </c>
      <c r="B83" s="102" t="s">
        <v>676</v>
      </c>
      <c r="C83" s="102" t="s">
        <v>408</v>
      </c>
      <c r="D83" s="102" t="s">
        <v>553</v>
      </c>
      <c r="E83" s="102">
        <v>11680</v>
      </c>
      <c r="F83" s="102"/>
    </row>
    <row r="84" spans="1:6" hidden="1" x14ac:dyDescent="0.35">
      <c r="A84" s="102" t="s">
        <v>493</v>
      </c>
      <c r="B84" s="102" t="s">
        <v>676</v>
      </c>
      <c r="C84" s="102" t="s">
        <v>551</v>
      </c>
      <c r="D84" s="102" t="s">
        <v>552</v>
      </c>
      <c r="E84" s="102">
        <v>11680</v>
      </c>
      <c r="F84" s="102"/>
    </row>
    <row r="85" spans="1:6" hidden="1" x14ac:dyDescent="0.35">
      <c r="A85" s="102" t="s">
        <v>55</v>
      </c>
      <c r="B85" s="102" t="s">
        <v>677</v>
      </c>
      <c r="C85" s="102" t="s">
        <v>612</v>
      </c>
      <c r="D85" s="102" t="s">
        <v>613</v>
      </c>
      <c r="E85" s="102">
        <v>24000</v>
      </c>
      <c r="F85" s="102"/>
    </row>
    <row r="86" spans="1:6" hidden="1" x14ac:dyDescent="0.35">
      <c r="A86" s="102" t="s">
        <v>485</v>
      </c>
      <c r="B86" s="102" t="s">
        <v>325</v>
      </c>
      <c r="C86" s="102" t="s">
        <v>326</v>
      </c>
      <c r="D86" s="102" t="s">
        <v>497</v>
      </c>
      <c r="E86" s="102">
        <v>22400</v>
      </c>
      <c r="F86" s="102"/>
    </row>
    <row r="87" spans="1:6" hidden="1" x14ac:dyDescent="0.35">
      <c r="A87" s="102" t="s">
        <v>485</v>
      </c>
      <c r="B87" s="102" t="s">
        <v>325</v>
      </c>
      <c r="C87" s="102" t="s">
        <v>678</v>
      </c>
      <c r="D87" s="102" t="s">
        <v>679</v>
      </c>
      <c r="E87" s="102">
        <v>14040</v>
      </c>
      <c r="F87" s="102"/>
    </row>
    <row r="88" spans="1:6" hidden="1" x14ac:dyDescent="0.35">
      <c r="A88" s="102" t="s">
        <v>485</v>
      </c>
      <c r="B88" s="102" t="s">
        <v>315</v>
      </c>
      <c r="C88" s="102" t="s">
        <v>680</v>
      </c>
      <c r="D88" s="102" t="s">
        <v>681</v>
      </c>
      <c r="E88" s="102">
        <v>46600</v>
      </c>
      <c r="F88" s="102"/>
    </row>
    <row r="89" spans="1:6" hidden="1" x14ac:dyDescent="0.35">
      <c r="A89" s="102" t="s">
        <v>485</v>
      </c>
      <c r="B89" s="102" t="s">
        <v>315</v>
      </c>
      <c r="C89" s="102" t="s">
        <v>682</v>
      </c>
      <c r="D89" s="102" t="s">
        <v>683</v>
      </c>
      <c r="E89" s="102">
        <v>46900</v>
      </c>
      <c r="F89" s="102"/>
    </row>
    <row r="90" spans="1:6" hidden="1" x14ac:dyDescent="0.35">
      <c r="A90" s="102" t="s">
        <v>486</v>
      </c>
      <c r="B90" s="102" t="s">
        <v>540</v>
      </c>
      <c r="C90" s="102" t="s">
        <v>684</v>
      </c>
      <c r="D90" s="102" t="s">
        <v>539</v>
      </c>
      <c r="E90" s="102">
        <v>700</v>
      </c>
      <c r="F90" s="102"/>
    </row>
    <row r="91" spans="1:6" hidden="1" x14ac:dyDescent="0.35">
      <c r="A91" s="102" t="s">
        <v>486</v>
      </c>
      <c r="B91" s="102" t="s">
        <v>540</v>
      </c>
      <c r="C91" s="102" t="s">
        <v>685</v>
      </c>
      <c r="D91" s="102" t="s">
        <v>686</v>
      </c>
      <c r="E91" s="102">
        <v>700</v>
      </c>
      <c r="F91" s="102"/>
    </row>
    <row r="92" spans="1:6" hidden="1" x14ac:dyDescent="0.35">
      <c r="A92" s="102" t="s">
        <v>486</v>
      </c>
      <c r="B92" s="102" t="s">
        <v>540</v>
      </c>
      <c r="C92" s="102" t="s">
        <v>687</v>
      </c>
      <c r="D92" s="102" t="s">
        <v>539</v>
      </c>
      <c r="E92" s="102">
        <v>700</v>
      </c>
      <c r="F92" s="102"/>
    </row>
    <row r="93" spans="1:6" hidden="1" x14ac:dyDescent="0.35">
      <c r="A93" s="102" t="s">
        <v>486</v>
      </c>
      <c r="B93" s="102" t="s">
        <v>540</v>
      </c>
      <c r="C93" s="102" t="s">
        <v>688</v>
      </c>
      <c r="D93" s="102" t="s">
        <v>539</v>
      </c>
      <c r="E93" s="102">
        <v>700</v>
      </c>
      <c r="F93" s="102"/>
    </row>
    <row r="94" spans="1:6" hidden="1" x14ac:dyDescent="0.35">
      <c r="A94" s="102" t="s">
        <v>486</v>
      </c>
      <c r="B94" s="102" t="s">
        <v>540</v>
      </c>
      <c r="C94" s="102" t="s">
        <v>689</v>
      </c>
      <c r="D94" s="102" t="s">
        <v>539</v>
      </c>
      <c r="E94" s="102">
        <v>700</v>
      </c>
      <c r="F94" s="102"/>
    </row>
    <row r="95" spans="1:6" hidden="1" x14ac:dyDescent="0.35">
      <c r="A95" s="102" t="s">
        <v>486</v>
      </c>
      <c r="B95" s="102" t="s">
        <v>540</v>
      </c>
      <c r="C95" s="102" t="s">
        <v>690</v>
      </c>
      <c r="D95" s="102" t="s">
        <v>539</v>
      </c>
      <c r="E95" s="102">
        <v>700</v>
      </c>
      <c r="F95" s="102"/>
    </row>
    <row r="96" spans="1:6" hidden="1" x14ac:dyDescent="0.35">
      <c r="A96" s="102" t="s">
        <v>486</v>
      </c>
      <c r="B96" s="102" t="s">
        <v>540</v>
      </c>
      <c r="C96" s="102" t="s">
        <v>691</v>
      </c>
      <c r="D96" s="102" t="s">
        <v>539</v>
      </c>
      <c r="E96" s="102">
        <v>700</v>
      </c>
      <c r="F96" s="102"/>
    </row>
    <row r="97" spans="1:6" hidden="1" x14ac:dyDescent="0.35">
      <c r="A97" s="102" t="s">
        <v>486</v>
      </c>
      <c r="B97" s="102" t="s">
        <v>540</v>
      </c>
      <c r="C97" s="102" t="s">
        <v>692</v>
      </c>
      <c r="D97" s="102" t="s">
        <v>539</v>
      </c>
      <c r="E97" s="102">
        <v>700</v>
      </c>
      <c r="F97" s="102"/>
    </row>
    <row r="98" spans="1:6" hidden="1" x14ac:dyDescent="0.35">
      <c r="A98" s="102" t="s">
        <v>486</v>
      </c>
      <c r="B98" s="102" t="s">
        <v>316</v>
      </c>
      <c r="C98" s="102" t="s">
        <v>602</v>
      </c>
      <c r="D98" s="102" t="s">
        <v>603</v>
      </c>
      <c r="E98" s="102">
        <v>10000</v>
      </c>
      <c r="F98" s="102">
        <v>5000</v>
      </c>
    </row>
    <row r="99" spans="1:6" hidden="1" x14ac:dyDescent="0.35">
      <c r="A99" s="102" t="s">
        <v>486</v>
      </c>
      <c r="B99" s="102" t="s">
        <v>316</v>
      </c>
      <c r="C99" s="102" t="s">
        <v>498</v>
      </c>
      <c r="D99" s="102" t="s">
        <v>499</v>
      </c>
      <c r="E99" s="102">
        <v>3875</v>
      </c>
      <c r="F99" s="102"/>
    </row>
    <row r="100" spans="1:6" hidden="1" x14ac:dyDescent="0.35">
      <c r="A100" s="102" t="s">
        <v>486</v>
      </c>
      <c r="B100" s="102" t="s">
        <v>316</v>
      </c>
      <c r="C100" s="102" t="s">
        <v>501</v>
      </c>
      <c r="D100" s="102" t="s">
        <v>502</v>
      </c>
      <c r="E100" s="102">
        <v>3930</v>
      </c>
      <c r="F100" s="102"/>
    </row>
    <row r="101" spans="1:6" hidden="1" x14ac:dyDescent="0.35">
      <c r="A101" s="102" t="s">
        <v>485</v>
      </c>
      <c r="B101" s="102" t="s">
        <v>315</v>
      </c>
      <c r="C101" s="102" t="s">
        <v>693</v>
      </c>
      <c r="D101" s="102" t="s">
        <v>694</v>
      </c>
      <c r="E101" s="102">
        <v>16000</v>
      </c>
      <c r="F101" s="102"/>
    </row>
    <row r="102" spans="1:6" hidden="1" x14ac:dyDescent="0.35">
      <c r="A102" s="102" t="s">
        <v>486</v>
      </c>
      <c r="B102" s="102" t="s">
        <v>316</v>
      </c>
      <c r="C102" s="102" t="s">
        <v>339</v>
      </c>
      <c r="D102" s="102" t="s">
        <v>542</v>
      </c>
      <c r="E102" s="102">
        <v>6310</v>
      </c>
      <c r="F102" s="102">
        <v>12500</v>
      </c>
    </row>
    <row r="103" spans="1:6" hidden="1" x14ac:dyDescent="0.35">
      <c r="A103" s="102" t="s">
        <v>486</v>
      </c>
      <c r="B103" s="102" t="s">
        <v>341</v>
      </c>
      <c r="C103" s="102" t="s">
        <v>604</v>
      </c>
      <c r="D103" s="102" t="s">
        <v>605</v>
      </c>
      <c r="E103" s="102">
        <v>200</v>
      </c>
      <c r="F103" s="102">
        <v>10000</v>
      </c>
    </row>
    <row r="104" spans="1:6" hidden="1" x14ac:dyDescent="0.35">
      <c r="A104" s="102" t="s">
        <v>486</v>
      </c>
      <c r="B104" s="102" t="s">
        <v>341</v>
      </c>
      <c r="C104" s="102" t="s">
        <v>505</v>
      </c>
      <c r="D104" s="102" t="s">
        <v>506</v>
      </c>
      <c r="E104" s="102">
        <v>1101</v>
      </c>
      <c r="F104" s="102"/>
    </row>
    <row r="105" spans="1:6" hidden="1" x14ac:dyDescent="0.35">
      <c r="A105" s="102" t="s">
        <v>486</v>
      </c>
      <c r="B105" s="102" t="s">
        <v>341</v>
      </c>
      <c r="C105" s="102" t="s">
        <v>507</v>
      </c>
      <c r="D105" s="102" t="s">
        <v>506</v>
      </c>
      <c r="E105" s="102">
        <v>660</v>
      </c>
      <c r="F105" s="102"/>
    </row>
    <row r="106" spans="1:6" hidden="1" x14ac:dyDescent="0.35">
      <c r="A106" s="102" t="s">
        <v>43</v>
      </c>
      <c r="B106" s="102" t="s">
        <v>340</v>
      </c>
      <c r="C106" s="102" t="s">
        <v>606</v>
      </c>
      <c r="D106" s="102" t="s">
        <v>607</v>
      </c>
      <c r="E106" s="102">
        <v>6810</v>
      </c>
      <c r="F106" s="102"/>
    </row>
    <row r="107" spans="1:6" hidden="1" x14ac:dyDescent="0.35">
      <c r="A107" s="102" t="s">
        <v>486</v>
      </c>
      <c r="B107" s="102" t="s">
        <v>341</v>
      </c>
      <c r="C107" s="102" t="s">
        <v>406</v>
      </c>
      <c r="D107" s="102" t="s">
        <v>508</v>
      </c>
      <c r="E107" s="102">
        <v>680</v>
      </c>
      <c r="F107" s="102"/>
    </row>
    <row r="108" spans="1:6" hidden="1" x14ac:dyDescent="0.35">
      <c r="A108" s="102" t="s">
        <v>486</v>
      </c>
      <c r="B108" s="102" t="s">
        <v>341</v>
      </c>
      <c r="C108" s="102" t="s">
        <v>695</v>
      </c>
      <c r="D108" s="102" t="s">
        <v>696</v>
      </c>
      <c r="E108" s="102"/>
      <c r="F108" s="102">
        <v>5000</v>
      </c>
    </row>
    <row r="109" spans="1:6" hidden="1" x14ac:dyDescent="0.35">
      <c r="A109" s="102" t="s">
        <v>493</v>
      </c>
      <c r="B109" s="102" t="s">
        <v>494</v>
      </c>
      <c r="C109" s="102" t="s">
        <v>697</v>
      </c>
      <c r="D109" s="102" t="s">
        <v>698</v>
      </c>
      <c r="E109" s="102">
        <v>10</v>
      </c>
      <c r="F109" s="102"/>
    </row>
    <row r="110" spans="1:6" hidden="1" x14ac:dyDescent="0.35">
      <c r="A110" s="102" t="s">
        <v>486</v>
      </c>
      <c r="B110" s="102" t="s">
        <v>554</v>
      </c>
      <c r="C110" s="102" t="s">
        <v>543</v>
      </c>
      <c r="D110" s="102" t="s">
        <v>555</v>
      </c>
      <c r="E110" s="102">
        <v>2000</v>
      </c>
      <c r="F110" s="102"/>
    </row>
    <row r="111" spans="1:6" hidden="1" x14ac:dyDescent="0.35">
      <c r="A111" s="102" t="s">
        <v>55</v>
      </c>
      <c r="B111" s="102" t="s">
        <v>699</v>
      </c>
      <c r="C111" s="102" t="s">
        <v>618</v>
      </c>
      <c r="D111" s="102" t="s">
        <v>700</v>
      </c>
      <c r="E111" s="102">
        <v>547</v>
      </c>
      <c r="F111" s="102"/>
    </row>
    <row r="112" spans="1:6" hidden="1" x14ac:dyDescent="0.35">
      <c r="A112" s="102" t="s">
        <v>233</v>
      </c>
      <c r="B112" s="102" t="s">
        <v>254</v>
      </c>
      <c r="C112" s="102" t="s">
        <v>585</v>
      </c>
      <c r="D112" s="102" t="s">
        <v>512</v>
      </c>
      <c r="E112" s="102">
        <v>792</v>
      </c>
      <c r="F112" s="102"/>
    </row>
    <row r="113" spans="1:6" hidden="1" x14ac:dyDescent="0.35">
      <c r="A113" s="102" t="s">
        <v>233</v>
      </c>
      <c r="B113" s="102" t="s">
        <v>254</v>
      </c>
      <c r="C113" s="102" t="s">
        <v>586</v>
      </c>
      <c r="D113" s="102" t="s">
        <v>510</v>
      </c>
      <c r="E113" s="102">
        <v>528</v>
      </c>
      <c r="F113" s="102"/>
    </row>
    <row r="114" spans="1:6" hidden="1" x14ac:dyDescent="0.35">
      <c r="A114" s="102" t="s">
        <v>233</v>
      </c>
      <c r="B114" s="102" t="s">
        <v>254</v>
      </c>
      <c r="C114" s="102" t="s">
        <v>701</v>
      </c>
      <c r="D114" s="102" t="s">
        <v>510</v>
      </c>
      <c r="E114" s="102">
        <v>132</v>
      </c>
      <c r="F114" s="102"/>
    </row>
    <row r="115" spans="1:6" hidden="1" x14ac:dyDescent="0.35">
      <c r="A115" s="102" t="s">
        <v>233</v>
      </c>
      <c r="B115" s="102" t="s">
        <v>254</v>
      </c>
      <c r="C115" s="102" t="s">
        <v>576</v>
      </c>
      <c r="D115" s="102" t="s">
        <v>510</v>
      </c>
      <c r="E115" s="102">
        <v>594</v>
      </c>
      <c r="F115" s="102"/>
    </row>
    <row r="116" spans="1:6" hidden="1" x14ac:dyDescent="0.35">
      <c r="A116" s="102" t="s">
        <v>233</v>
      </c>
      <c r="B116" s="102" t="s">
        <v>254</v>
      </c>
      <c r="C116" s="102" t="s">
        <v>702</v>
      </c>
      <c r="D116" s="102" t="s">
        <v>510</v>
      </c>
      <c r="E116" s="102">
        <v>198</v>
      </c>
      <c r="F116" s="102"/>
    </row>
    <row r="117" spans="1:6" hidden="1" x14ac:dyDescent="0.35">
      <c r="A117" s="102" t="s">
        <v>233</v>
      </c>
      <c r="B117" s="102" t="s">
        <v>254</v>
      </c>
      <c r="C117" s="102" t="s">
        <v>703</v>
      </c>
      <c r="D117" s="102" t="s">
        <v>510</v>
      </c>
      <c r="E117" s="102">
        <v>660</v>
      </c>
      <c r="F117" s="102"/>
    </row>
    <row r="118" spans="1:6" hidden="1" x14ac:dyDescent="0.35">
      <c r="A118" s="102" t="s">
        <v>233</v>
      </c>
      <c r="B118" s="102" t="s">
        <v>254</v>
      </c>
      <c r="C118" s="102" t="s">
        <v>704</v>
      </c>
      <c r="D118" s="102" t="s">
        <v>510</v>
      </c>
      <c r="E118" s="102">
        <v>264</v>
      </c>
      <c r="F118" s="102"/>
    </row>
    <row r="119" spans="1:6" hidden="1" x14ac:dyDescent="0.35">
      <c r="A119" s="102" t="s">
        <v>233</v>
      </c>
      <c r="B119" s="102" t="s">
        <v>254</v>
      </c>
      <c r="C119" s="102" t="s">
        <v>705</v>
      </c>
      <c r="D119" s="102" t="s">
        <v>510</v>
      </c>
      <c r="E119" s="102">
        <v>462</v>
      </c>
      <c r="F119" s="102"/>
    </row>
    <row r="120" spans="1:6" hidden="1" x14ac:dyDescent="0.35">
      <c r="A120" s="102" t="s">
        <v>233</v>
      </c>
      <c r="B120" s="102" t="s">
        <v>254</v>
      </c>
      <c r="C120" s="102" t="s">
        <v>706</v>
      </c>
      <c r="D120" s="102" t="s">
        <v>510</v>
      </c>
      <c r="E120" s="102">
        <v>660</v>
      </c>
      <c r="F120" s="102"/>
    </row>
    <row r="121" spans="1:6" hidden="1" x14ac:dyDescent="0.35">
      <c r="A121" s="102" t="s">
        <v>233</v>
      </c>
      <c r="B121" s="102" t="s">
        <v>254</v>
      </c>
      <c r="C121" s="102" t="s">
        <v>707</v>
      </c>
      <c r="D121" s="102" t="s">
        <v>521</v>
      </c>
      <c r="E121" s="102">
        <v>1848</v>
      </c>
      <c r="F121" s="102"/>
    </row>
    <row r="122" spans="1:6" hidden="1" x14ac:dyDescent="0.35">
      <c r="A122" s="102" t="s">
        <v>233</v>
      </c>
      <c r="B122" s="102" t="s">
        <v>254</v>
      </c>
      <c r="C122" s="102" t="s">
        <v>708</v>
      </c>
      <c r="D122" s="102" t="s">
        <v>510</v>
      </c>
      <c r="E122" s="102">
        <v>264</v>
      </c>
      <c r="F122" s="102"/>
    </row>
    <row r="123" spans="1:6" hidden="1" x14ac:dyDescent="0.35">
      <c r="A123" s="102" t="s">
        <v>233</v>
      </c>
      <c r="B123" s="102" t="s">
        <v>246</v>
      </c>
      <c r="C123" s="102" t="s">
        <v>709</v>
      </c>
      <c r="D123" s="102" t="s">
        <v>514</v>
      </c>
      <c r="E123" s="102">
        <v>264</v>
      </c>
      <c r="F123" s="102"/>
    </row>
    <row r="124" spans="1:6" hidden="1" x14ac:dyDescent="0.35">
      <c r="A124" s="102" t="s">
        <v>233</v>
      </c>
      <c r="B124" s="102" t="s">
        <v>246</v>
      </c>
      <c r="C124" s="102" t="s">
        <v>710</v>
      </c>
      <c r="D124" s="102" t="s">
        <v>514</v>
      </c>
      <c r="E124" s="102">
        <v>264</v>
      </c>
      <c r="F124" s="102"/>
    </row>
    <row r="125" spans="1:6" hidden="1" x14ac:dyDescent="0.35">
      <c r="A125" s="102" t="s">
        <v>233</v>
      </c>
      <c r="B125" s="102" t="s">
        <v>246</v>
      </c>
      <c r="C125" s="102" t="s">
        <v>711</v>
      </c>
      <c r="D125" s="102" t="s">
        <v>514</v>
      </c>
      <c r="E125" s="102">
        <v>288</v>
      </c>
      <c r="F125" s="102"/>
    </row>
    <row r="126" spans="1:6" hidden="1" x14ac:dyDescent="0.35">
      <c r="A126" s="102" t="s">
        <v>233</v>
      </c>
      <c r="B126" s="102" t="s">
        <v>246</v>
      </c>
      <c r="C126" s="102" t="s">
        <v>579</v>
      </c>
      <c r="D126" s="102" t="s">
        <v>514</v>
      </c>
      <c r="E126" s="102">
        <v>528</v>
      </c>
      <c r="F126" s="102"/>
    </row>
    <row r="127" spans="1:6" hidden="1" x14ac:dyDescent="0.35">
      <c r="A127" s="102" t="s">
        <v>233</v>
      </c>
      <c r="B127" s="102" t="s">
        <v>246</v>
      </c>
      <c r="C127" s="102" t="s">
        <v>219</v>
      </c>
      <c r="D127" s="102" t="s">
        <v>574</v>
      </c>
      <c r="E127" s="102">
        <v>528</v>
      </c>
      <c r="F127" s="102"/>
    </row>
    <row r="128" spans="1:6" hidden="1" x14ac:dyDescent="0.35">
      <c r="A128" s="102" t="s">
        <v>233</v>
      </c>
      <c r="B128" s="102" t="s">
        <v>246</v>
      </c>
      <c r="C128" s="102" t="s">
        <v>712</v>
      </c>
      <c r="D128" s="102" t="s">
        <v>574</v>
      </c>
      <c r="E128" s="102">
        <v>1848</v>
      </c>
      <c r="F128" s="102"/>
    </row>
    <row r="129" spans="1:6" hidden="1" x14ac:dyDescent="0.35">
      <c r="A129" s="102" t="s">
        <v>233</v>
      </c>
      <c r="B129" s="102" t="s">
        <v>246</v>
      </c>
      <c r="C129" s="102" t="s">
        <v>713</v>
      </c>
      <c r="D129" s="102" t="s">
        <v>514</v>
      </c>
      <c r="E129" s="102">
        <v>5632</v>
      </c>
      <c r="F129" s="102"/>
    </row>
    <row r="130" spans="1:6" hidden="1" x14ac:dyDescent="0.35">
      <c r="A130" s="102" t="s">
        <v>233</v>
      </c>
      <c r="B130" s="102" t="s">
        <v>246</v>
      </c>
      <c r="C130" s="102" t="s">
        <v>714</v>
      </c>
      <c r="D130" s="102" t="s">
        <v>514</v>
      </c>
      <c r="E130" s="102">
        <v>528</v>
      </c>
      <c r="F130" s="102"/>
    </row>
    <row r="131" spans="1:6" hidden="1" x14ac:dyDescent="0.35">
      <c r="A131" s="102" t="s">
        <v>233</v>
      </c>
      <c r="B131" s="102" t="s">
        <v>246</v>
      </c>
      <c r="C131" s="102" t="s">
        <v>715</v>
      </c>
      <c r="D131" s="102" t="s">
        <v>514</v>
      </c>
      <c r="E131" s="102">
        <v>216</v>
      </c>
      <c r="F131" s="102"/>
    </row>
    <row r="132" spans="1:6" hidden="1" x14ac:dyDescent="0.35">
      <c r="A132" s="102" t="s">
        <v>233</v>
      </c>
      <c r="B132" s="102" t="s">
        <v>317</v>
      </c>
      <c r="C132" s="102" t="s">
        <v>517</v>
      </c>
      <c r="D132" s="102" t="s">
        <v>518</v>
      </c>
      <c r="E132" s="102">
        <v>11088</v>
      </c>
      <c r="F132" s="102"/>
    </row>
    <row r="133" spans="1:6" hidden="1" x14ac:dyDescent="0.35">
      <c r="A133" s="102" t="s">
        <v>233</v>
      </c>
      <c r="B133" s="102" t="s">
        <v>254</v>
      </c>
      <c r="C133" s="102" t="s">
        <v>569</v>
      </c>
      <c r="D133" s="102" t="s">
        <v>510</v>
      </c>
      <c r="E133" s="102">
        <v>1188</v>
      </c>
      <c r="F133" s="102"/>
    </row>
    <row r="134" spans="1:6" hidden="1" x14ac:dyDescent="0.35">
      <c r="A134" s="102" t="s">
        <v>233</v>
      </c>
      <c r="B134" s="102" t="s">
        <v>254</v>
      </c>
      <c r="C134" s="102" t="s">
        <v>716</v>
      </c>
      <c r="D134" s="102" t="s">
        <v>512</v>
      </c>
      <c r="E134" s="102">
        <v>1260</v>
      </c>
      <c r="F134" s="102"/>
    </row>
    <row r="135" spans="1:6" hidden="1" x14ac:dyDescent="0.35">
      <c r="A135" s="102" t="s">
        <v>233</v>
      </c>
      <c r="B135" s="102" t="s">
        <v>254</v>
      </c>
      <c r="C135" s="102" t="s">
        <v>519</v>
      </c>
      <c r="D135" s="102" t="s">
        <v>510</v>
      </c>
      <c r="E135" s="102">
        <v>6336</v>
      </c>
      <c r="F135" s="102"/>
    </row>
    <row r="136" spans="1:6" hidden="1" x14ac:dyDescent="0.35">
      <c r="A136" s="102" t="s">
        <v>233</v>
      </c>
      <c r="B136" s="102" t="s">
        <v>254</v>
      </c>
      <c r="C136" s="102" t="s">
        <v>717</v>
      </c>
      <c r="D136" s="102" t="s">
        <v>718</v>
      </c>
      <c r="E136" s="102">
        <v>396</v>
      </c>
      <c r="F136" s="102"/>
    </row>
    <row r="137" spans="1:6" hidden="1" x14ac:dyDescent="0.35">
      <c r="A137" s="102" t="s">
        <v>233</v>
      </c>
      <c r="B137" s="102" t="s">
        <v>254</v>
      </c>
      <c r="C137" s="102" t="s">
        <v>520</v>
      </c>
      <c r="D137" s="102" t="s">
        <v>521</v>
      </c>
      <c r="E137" s="102">
        <v>31416</v>
      </c>
      <c r="F137" s="102"/>
    </row>
    <row r="138" spans="1:6" hidden="1" x14ac:dyDescent="0.35">
      <c r="A138" s="102" t="s">
        <v>233</v>
      </c>
      <c r="B138" s="102" t="s">
        <v>254</v>
      </c>
      <c r="C138" s="102" t="s">
        <v>719</v>
      </c>
      <c r="D138" s="102" t="s">
        <v>521</v>
      </c>
      <c r="E138" s="102">
        <v>1188</v>
      </c>
      <c r="F138" s="102"/>
    </row>
    <row r="139" spans="1:6" hidden="1" x14ac:dyDescent="0.35">
      <c r="A139" s="102" t="s">
        <v>233</v>
      </c>
      <c r="B139" s="102" t="s">
        <v>254</v>
      </c>
      <c r="C139" s="102" t="s">
        <v>720</v>
      </c>
      <c r="D139" s="102" t="s">
        <v>721</v>
      </c>
      <c r="E139" s="102">
        <v>3960</v>
      </c>
      <c r="F139" s="102"/>
    </row>
    <row r="140" spans="1:6" hidden="1" x14ac:dyDescent="0.35">
      <c r="A140" s="102" t="s">
        <v>233</v>
      </c>
      <c r="B140" s="102" t="s">
        <v>254</v>
      </c>
      <c r="C140" s="102" t="s">
        <v>262</v>
      </c>
      <c r="D140" s="102" t="s">
        <v>510</v>
      </c>
      <c r="E140" s="102">
        <v>1980</v>
      </c>
      <c r="F140" s="102"/>
    </row>
    <row r="141" spans="1:6" hidden="1" x14ac:dyDescent="0.35">
      <c r="A141" s="102" t="s">
        <v>233</v>
      </c>
      <c r="B141" s="102" t="s">
        <v>254</v>
      </c>
      <c r="C141" s="102" t="s">
        <v>572</v>
      </c>
      <c r="D141" s="102" t="s">
        <v>510</v>
      </c>
      <c r="E141" s="102">
        <v>528</v>
      </c>
      <c r="F141" s="102"/>
    </row>
    <row r="142" spans="1:6" hidden="1" x14ac:dyDescent="0.35">
      <c r="A142" s="102" t="s">
        <v>233</v>
      </c>
      <c r="B142" s="102" t="s">
        <v>254</v>
      </c>
      <c r="C142" s="102" t="s">
        <v>722</v>
      </c>
      <c r="D142" s="102" t="s">
        <v>512</v>
      </c>
      <c r="E142" s="102">
        <v>396</v>
      </c>
      <c r="F142" s="102"/>
    </row>
    <row r="143" spans="1:6" hidden="1" x14ac:dyDescent="0.35">
      <c r="A143" s="102" t="s">
        <v>233</v>
      </c>
      <c r="B143" s="102" t="s">
        <v>254</v>
      </c>
      <c r="C143" s="102" t="s">
        <v>580</v>
      </c>
      <c r="D143" s="102" t="s">
        <v>512</v>
      </c>
      <c r="E143" s="102">
        <v>198</v>
      </c>
      <c r="F143" s="102"/>
    </row>
    <row r="144" spans="1:6" hidden="1" x14ac:dyDescent="0.35">
      <c r="A144" s="102" t="s">
        <v>233</v>
      </c>
      <c r="B144" s="102" t="s">
        <v>254</v>
      </c>
      <c r="C144" s="102" t="s">
        <v>523</v>
      </c>
      <c r="D144" s="102" t="s">
        <v>510</v>
      </c>
      <c r="E144" s="102">
        <v>10206</v>
      </c>
      <c r="F144" s="102"/>
    </row>
    <row r="145" spans="1:6" hidden="1" x14ac:dyDescent="0.35">
      <c r="A145" s="102" t="s">
        <v>233</v>
      </c>
      <c r="B145" s="102" t="s">
        <v>254</v>
      </c>
      <c r="C145" s="102" t="s">
        <v>214</v>
      </c>
      <c r="D145" s="102" t="s">
        <v>512</v>
      </c>
      <c r="E145" s="102">
        <v>495</v>
      </c>
      <c r="F145" s="102"/>
    </row>
    <row r="146" spans="1:6" hidden="1" x14ac:dyDescent="0.35">
      <c r="A146" s="102" t="s">
        <v>233</v>
      </c>
      <c r="B146" s="102" t="s">
        <v>254</v>
      </c>
      <c r="C146" s="102" t="s">
        <v>216</v>
      </c>
      <c r="D146" s="102" t="s">
        <v>512</v>
      </c>
      <c r="E146" s="102">
        <v>1980</v>
      </c>
      <c r="F146" s="102"/>
    </row>
    <row r="147" spans="1:6" hidden="1" x14ac:dyDescent="0.35">
      <c r="A147" s="102" t="s">
        <v>233</v>
      </c>
      <c r="B147" s="102" t="s">
        <v>246</v>
      </c>
      <c r="C147" s="102" t="s">
        <v>723</v>
      </c>
      <c r="D147" s="102" t="s">
        <v>516</v>
      </c>
      <c r="E147" s="102">
        <v>528</v>
      </c>
      <c r="F147" s="102"/>
    </row>
    <row r="148" spans="1:6" hidden="1" x14ac:dyDescent="0.35">
      <c r="A148" s="102" t="s">
        <v>233</v>
      </c>
      <c r="B148" s="102" t="s">
        <v>246</v>
      </c>
      <c r="C148" s="102" t="s">
        <v>724</v>
      </c>
      <c r="D148" s="102" t="s">
        <v>514</v>
      </c>
      <c r="E148" s="102">
        <v>176</v>
      </c>
      <c r="F148" s="102"/>
    </row>
    <row r="149" spans="1:6" hidden="1" x14ac:dyDescent="0.35">
      <c r="A149" s="102" t="s">
        <v>233</v>
      </c>
      <c r="B149" s="102" t="s">
        <v>246</v>
      </c>
      <c r="C149" s="102" t="s">
        <v>220</v>
      </c>
      <c r="D149" s="102" t="s">
        <v>514</v>
      </c>
      <c r="E149" s="102">
        <v>1056</v>
      </c>
      <c r="F149" s="102"/>
    </row>
    <row r="150" spans="1:6" hidden="1" x14ac:dyDescent="0.35">
      <c r="A150" s="102" t="s">
        <v>233</v>
      </c>
      <c r="B150" s="102" t="s">
        <v>246</v>
      </c>
      <c r="C150" s="102" t="s">
        <v>725</v>
      </c>
      <c r="D150" s="102" t="s">
        <v>574</v>
      </c>
      <c r="E150" s="102">
        <v>84780</v>
      </c>
      <c r="F150" s="102"/>
    </row>
    <row r="151" spans="1:6" hidden="1" x14ac:dyDescent="0.35">
      <c r="A151" s="102" t="s">
        <v>233</v>
      </c>
      <c r="B151" s="102" t="s">
        <v>246</v>
      </c>
      <c r="C151" s="102" t="s">
        <v>573</v>
      </c>
      <c r="D151" s="102" t="s">
        <v>574</v>
      </c>
      <c r="E151" s="102">
        <v>6840</v>
      </c>
      <c r="F151" s="102"/>
    </row>
    <row r="152" spans="1:6" hidden="1" x14ac:dyDescent="0.35">
      <c r="A152" s="102" t="s">
        <v>233</v>
      </c>
      <c r="B152" s="102" t="s">
        <v>246</v>
      </c>
      <c r="C152" s="102" t="s">
        <v>726</v>
      </c>
      <c r="D152" s="102" t="s">
        <v>574</v>
      </c>
      <c r="E152" s="102">
        <v>1944</v>
      </c>
      <c r="F152" s="102"/>
    </row>
    <row r="153" spans="1:6" hidden="1" x14ac:dyDescent="0.35">
      <c r="A153" s="102" t="s">
        <v>233</v>
      </c>
      <c r="B153" s="102" t="s">
        <v>246</v>
      </c>
      <c r="C153" s="102" t="s">
        <v>727</v>
      </c>
      <c r="D153" s="102" t="s">
        <v>728</v>
      </c>
      <c r="E153" s="102">
        <v>176</v>
      </c>
      <c r="F153" s="102"/>
    </row>
    <row r="154" spans="1:6" hidden="1" x14ac:dyDescent="0.35">
      <c r="A154" s="102" t="s">
        <v>233</v>
      </c>
      <c r="B154" s="102" t="s">
        <v>254</v>
      </c>
      <c r="C154" s="102" t="s">
        <v>217</v>
      </c>
      <c r="D154" s="102" t="s">
        <v>521</v>
      </c>
      <c r="E154" s="102">
        <v>1056</v>
      </c>
      <c r="F154" s="102"/>
    </row>
    <row r="155" spans="1:6" hidden="1" x14ac:dyDescent="0.35">
      <c r="A155" s="102" t="s">
        <v>233</v>
      </c>
      <c r="B155" s="102" t="s">
        <v>254</v>
      </c>
      <c r="C155" s="102" t="s">
        <v>528</v>
      </c>
      <c r="D155" s="102" t="s">
        <v>512</v>
      </c>
      <c r="E155" s="102">
        <v>2</v>
      </c>
      <c r="F155" s="102"/>
    </row>
    <row r="156" spans="1:6" hidden="1" x14ac:dyDescent="0.35">
      <c r="A156" s="102" t="s">
        <v>233</v>
      </c>
      <c r="B156" s="102" t="s">
        <v>246</v>
      </c>
      <c r="C156" s="102" t="s">
        <v>729</v>
      </c>
      <c r="D156" s="102" t="s">
        <v>514</v>
      </c>
      <c r="E156" s="102">
        <v>288</v>
      </c>
      <c r="F156" s="102"/>
    </row>
    <row r="157" spans="1:6" hidden="1" x14ac:dyDescent="0.35">
      <c r="A157" s="267" t="s">
        <v>485</v>
      </c>
      <c r="B157" s="267" t="s">
        <v>730</v>
      </c>
      <c r="C157" s="267" t="s">
        <v>619</v>
      </c>
      <c r="D157" s="267" t="s">
        <v>731</v>
      </c>
      <c r="E157" s="267">
        <v>8000</v>
      </c>
      <c r="F157" s="267">
        <v>10000</v>
      </c>
    </row>
    <row r="158" spans="1:6" hidden="1" x14ac:dyDescent="0.35">
      <c r="A158" s="267" t="s">
        <v>485</v>
      </c>
      <c r="B158" s="267" t="s">
        <v>730</v>
      </c>
      <c r="C158" s="267" t="s">
        <v>732</v>
      </c>
      <c r="D158" s="267" t="s">
        <v>733</v>
      </c>
      <c r="E158" s="267">
        <v>8000</v>
      </c>
      <c r="F158" s="267">
        <v>10000</v>
      </c>
    </row>
    <row r="159" spans="1:6" hidden="1" x14ac:dyDescent="0.35">
      <c r="A159" s="102" t="s">
        <v>485</v>
      </c>
      <c r="B159" s="102" t="s">
        <v>730</v>
      </c>
      <c r="C159" s="231" t="s">
        <v>734</v>
      </c>
      <c r="D159" s="231" t="s">
        <v>735</v>
      </c>
      <c r="E159" s="231">
        <v>8000</v>
      </c>
      <c r="F159" s="231">
        <v>10000</v>
      </c>
    </row>
    <row r="160" spans="1:6" hidden="1" x14ac:dyDescent="0.35">
      <c r="A160" s="102" t="s">
        <v>736</v>
      </c>
      <c r="B160" s="102" t="s">
        <v>737</v>
      </c>
      <c r="C160" s="102" t="s">
        <v>738</v>
      </c>
      <c r="D160" s="102" t="s">
        <v>739</v>
      </c>
      <c r="E160" s="102">
        <v>5480</v>
      </c>
      <c r="F160" s="102"/>
    </row>
    <row r="161" spans="1:6" x14ac:dyDescent="0.35">
      <c r="A161" s="102" t="s">
        <v>531</v>
      </c>
      <c r="B161" s="102" t="s">
        <v>347</v>
      </c>
      <c r="C161" s="102" t="s">
        <v>740</v>
      </c>
      <c r="D161" s="102" t="s">
        <v>741</v>
      </c>
      <c r="E161" s="102">
        <v>4000</v>
      </c>
      <c r="F161" s="102"/>
    </row>
    <row r="162" spans="1:6" x14ac:dyDescent="0.35">
      <c r="A162" s="102" t="s">
        <v>531</v>
      </c>
      <c r="B162" s="102" t="s">
        <v>331</v>
      </c>
      <c r="C162" s="102" t="s">
        <v>742</v>
      </c>
      <c r="D162" s="102" t="s">
        <v>743</v>
      </c>
      <c r="E162" s="102">
        <v>240</v>
      </c>
      <c r="F162" s="102"/>
    </row>
    <row r="163" spans="1:6" x14ac:dyDescent="0.35">
      <c r="A163" s="102" t="s">
        <v>531</v>
      </c>
      <c r="B163" s="102" t="s">
        <v>347</v>
      </c>
      <c r="C163" s="102" t="s">
        <v>744</v>
      </c>
      <c r="D163" s="102" t="s">
        <v>745</v>
      </c>
      <c r="E163" s="102">
        <v>4800</v>
      </c>
      <c r="F163" s="102"/>
    </row>
    <row r="164" spans="1:6" x14ac:dyDescent="0.35">
      <c r="A164" s="102" t="s">
        <v>531</v>
      </c>
      <c r="B164" s="102" t="s">
        <v>347</v>
      </c>
      <c r="C164" s="102" t="s">
        <v>558</v>
      </c>
      <c r="D164" s="102" t="s">
        <v>559</v>
      </c>
      <c r="E164" s="102">
        <v>12000</v>
      </c>
      <c r="F164" s="102"/>
    </row>
    <row r="165" spans="1:6" hidden="1" x14ac:dyDescent="0.35">
      <c r="A165" s="102" t="s">
        <v>485</v>
      </c>
      <c r="B165" s="102" t="s">
        <v>347</v>
      </c>
      <c r="C165" s="102" t="s">
        <v>532</v>
      </c>
      <c r="D165" s="102" t="s">
        <v>533</v>
      </c>
      <c r="E165" s="102">
        <v>31000</v>
      </c>
      <c r="F165" s="102"/>
    </row>
    <row r="166" spans="1:6" hidden="1" x14ac:dyDescent="0.35">
      <c r="A166" s="102" t="s">
        <v>468</v>
      </c>
      <c r="B166" s="102" t="s">
        <v>345</v>
      </c>
      <c r="C166" s="102" t="s">
        <v>534</v>
      </c>
      <c r="D166" s="102" t="s">
        <v>535</v>
      </c>
      <c r="E166" s="102">
        <v>89040</v>
      </c>
      <c r="F166" s="102"/>
    </row>
    <row r="167" spans="1:6" hidden="1" x14ac:dyDescent="0.35">
      <c r="A167" s="102" t="s">
        <v>486</v>
      </c>
      <c r="B167" s="102" t="s">
        <v>316</v>
      </c>
      <c r="C167" s="102" t="s">
        <v>536</v>
      </c>
      <c r="D167" s="102" t="s">
        <v>537</v>
      </c>
      <c r="E167" s="102">
        <v>17010</v>
      </c>
      <c r="F167" s="102">
        <v>10800</v>
      </c>
    </row>
  </sheetData>
  <autoFilter ref="A2:F167" xr:uid="{03317E19-1A61-4DC3-9D45-6D631AD9C1CF}">
    <filterColumn colId="0">
      <filters>
        <filter val="612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ED4D-DB31-4F77-A795-E767C1BA3BF6}">
  <sheetPr filterMode="1">
    <tabColor rgb="FF00B050"/>
  </sheetPr>
  <dimension ref="A1:N18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164" sqref="Q164"/>
    </sheetView>
  </sheetViews>
  <sheetFormatPr defaultColWidth="9.1796875" defaultRowHeight="14.5" x14ac:dyDescent="0.35"/>
  <cols>
    <col min="1" max="1" width="5.1796875" style="86" customWidth="1"/>
    <col min="2" max="2" width="10.1796875" style="86" bestFit="1" customWidth="1"/>
    <col min="3" max="3" width="19.54296875" style="86" customWidth="1"/>
    <col min="4" max="4" width="28.7265625" style="86" bestFit="1" customWidth="1"/>
    <col min="5" max="5" width="9.26953125" style="86" hidden="1" customWidth="1"/>
    <col min="6" max="6" width="13.54296875" style="86" hidden="1" customWidth="1"/>
    <col min="7" max="8" width="0" style="86" hidden="1" customWidth="1"/>
    <col min="9" max="9" width="9.1796875" style="86"/>
    <col min="10" max="10" width="16.453125" style="86" bestFit="1" customWidth="1"/>
    <col min="11" max="16384" width="9.1796875" style="86"/>
  </cols>
  <sheetData>
    <row r="1" spans="1:14" x14ac:dyDescent="0.35">
      <c r="G1" s="277">
        <v>25506.692217727272</v>
      </c>
    </row>
    <row r="2" spans="1:14" ht="46" customHeight="1" x14ac:dyDescent="0.35">
      <c r="A2" s="265" t="s">
        <v>13</v>
      </c>
      <c r="B2" s="265" t="s">
        <v>621</v>
      </c>
      <c r="C2" s="265" t="s">
        <v>157</v>
      </c>
      <c r="D2" s="265" t="s">
        <v>303</v>
      </c>
      <c r="E2" s="278" t="s">
        <v>752</v>
      </c>
      <c r="F2" s="278" t="s">
        <v>753</v>
      </c>
      <c r="G2" s="278" t="s">
        <v>754</v>
      </c>
      <c r="H2" s="278" t="s">
        <v>755</v>
      </c>
      <c r="I2" s="265" t="s">
        <v>622</v>
      </c>
      <c r="J2" s="266" t="s">
        <v>756</v>
      </c>
      <c r="K2" s="86" t="s">
        <v>787</v>
      </c>
      <c r="L2" s="86" t="s">
        <v>788</v>
      </c>
    </row>
    <row r="3" spans="1:14" x14ac:dyDescent="0.35">
      <c r="A3" s="102" t="s">
        <v>238</v>
      </c>
      <c r="B3" s="102" t="s">
        <v>239</v>
      </c>
      <c r="C3" s="102" t="s">
        <v>241</v>
      </c>
      <c r="D3" s="102" t="s">
        <v>442</v>
      </c>
      <c r="E3" s="102">
        <v>3630</v>
      </c>
      <c r="F3" s="103">
        <v>762492.23</v>
      </c>
      <c r="G3" s="247">
        <v>8.6646844318181824</v>
      </c>
      <c r="H3" s="279">
        <v>2.3869654082143755E-3</v>
      </c>
      <c r="I3" s="280">
        <v>2970</v>
      </c>
      <c r="J3" s="102"/>
      <c r="K3" s="86">
        <f>VLOOKUP(C3,'[4]PB Order'!$C$11:$G$120,5,0)</f>
        <v>1.6999999999999999E-3</v>
      </c>
      <c r="L3" s="86">
        <f>VLOOKUP(C3,'[4]PB Order'!$C$11:$F$120,4,0)</f>
        <v>3.0000000000000001E-3</v>
      </c>
      <c r="M3" s="86">
        <f>I3*K3</f>
        <v>5.0489999999999995</v>
      </c>
      <c r="N3" s="86">
        <f>I3*L3</f>
        <v>8.91</v>
      </c>
    </row>
    <row r="4" spans="1:14" x14ac:dyDescent="0.35">
      <c r="A4" s="102" t="s">
        <v>238</v>
      </c>
      <c r="B4" s="102" t="s">
        <v>239</v>
      </c>
      <c r="C4" s="102" t="s">
        <v>624</v>
      </c>
      <c r="D4" s="102" t="s">
        <v>442</v>
      </c>
      <c r="E4" s="102">
        <v>1056</v>
      </c>
      <c r="F4" s="103">
        <v>245843.35</v>
      </c>
      <c r="G4" s="247">
        <v>2.7936744318181819</v>
      </c>
      <c r="H4" s="279">
        <v>2.6455250301308541E-3</v>
      </c>
      <c r="I4" s="280">
        <v>1056</v>
      </c>
      <c r="J4" s="102"/>
      <c r="K4" s="86">
        <v>3.3E-3</v>
      </c>
      <c r="L4" s="86">
        <v>3.0000000000000001E-3</v>
      </c>
      <c r="M4" s="86">
        <f t="shared" ref="M4:M48" si="0">I4*K4</f>
        <v>3.4847999999999999</v>
      </c>
      <c r="N4" s="86">
        <f t="shared" ref="N4:N48" si="1">I4*L4</f>
        <v>3.1680000000000001</v>
      </c>
    </row>
    <row r="5" spans="1:14" x14ac:dyDescent="0.35">
      <c r="A5" s="102" t="s">
        <v>238</v>
      </c>
      <c r="B5" s="102" t="s">
        <v>239</v>
      </c>
      <c r="C5" s="102" t="s">
        <v>625</v>
      </c>
      <c r="D5" s="102" t="s">
        <v>438</v>
      </c>
      <c r="E5" s="102">
        <v>792</v>
      </c>
      <c r="F5" s="103">
        <v>219970.55</v>
      </c>
      <c r="G5" s="247">
        <v>2.499665340909091</v>
      </c>
      <c r="H5" s="279">
        <v>3.1561431072084484E-3</v>
      </c>
      <c r="I5" s="280">
        <v>396</v>
      </c>
      <c r="J5" s="102"/>
      <c r="K5" s="86">
        <f>VLOOKUP(C5,'[4]PB Order'!$C$11:$G$120,5,0)</f>
        <v>3.0000000000000001E-3</v>
      </c>
      <c r="L5" s="86">
        <f>VLOOKUP(C5,'[4]PB Order'!$C$11:$F$120,4,0)</f>
        <v>2.5000000000000001E-2</v>
      </c>
      <c r="M5" s="86">
        <f t="shared" si="0"/>
        <v>1.1879999999999999</v>
      </c>
      <c r="N5" s="86">
        <f t="shared" si="1"/>
        <v>9.9</v>
      </c>
    </row>
    <row r="6" spans="1:14" x14ac:dyDescent="0.35">
      <c r="A6" s="102" t="s">
        <v>238</v>
      </c>
      <c r="B6" s="102" t="s">
        <v>239</v>
      </c>
      <c r="C6" s="102" t="s">
        <v>757</v>
      </c>
      <c r="D6" s="102" t="s">
        <v>438</v>
      </c>
      <c r="E6" s="102">
        <v>132</v>
      </c>
      <c r="F6" s="103">
        <v>75981.84</v>
      </c>
      <c r="G6" s="247">
        <v>0.86342999999999992</v>
      </c>
      <c r="H6" s="279">
        <v>6.5411363636363627E-3</v>
      </c>
      <c r="I6" s="280">
        <v>132</v>
      </c>
      <c r="J6" s="102"/>
      <c r="K6" s="86">
        <v>3.3E-3</v>
      </c>
      <c r="L6" s="86">
        <v>3.0000000000000001E-3</v>
      </c>
      <c r="M6" s="86">
        <f t="shared" si="0"/>
        <v>0.43559999999999999</v>
      </c>
      <c r="N6" s="86">
        <f t="shared" si="1"/>
        <v>0.39600000000000002</v>
      </c>
    </row>
    <row r="7" spans="1:14" x14ac:dyDescent="0.35">
      <c r="A7" s="102" t="s">
        <v>233</v>
      </c>
      <c r="B7" s="102" t="s">
        <v>249</v>
      </c>
      <c r="C7" s="102" t="s">
        <v>626</v>
      </c>
      <c r="D7" s="102" t="s">
        <v>437</v>
      </c>
      <c r="E7" s="102">
        <v>5472</v>
      </c>
      <c r="F7" s="103">
        <v>1265680.8700000001</v>
      </c>
      <c r="G7" s="247">
        <v>14.38273715909091</v>
      </c>
      <c r="H7" s="279">
        <v>2.6284241884303563E-3</v>
      </c>
      <c r="I7" s="280">
        <v>5472</v>
      </c>
      <c r="J7" s="102"/>
      <c r="K7" s="86">
        <f>VLOOKUP(C7,'[4]PB Order'!$C$11:$G$120,5,0)</f>
        <v>5.0000000000000001E-3</v>
      </c>
      <c r="L7" s="86">
        <f>VLOOKUP(C7,'[4]PB Order'!$C$11:$F$120,4,0)</f>
        <v>1.9875E-2</v>
      </c>
      <c r="M7" s="86">
        <f t="shared" si="0"/>
        <v>27.36</v>
      </c>
      <c r="N7" s="86">
        <f t="shared" si="1"/>
        <v>108.756</v>
      </c>
    </row>
    <row r="8" spans="1:14" x14ac:dyDescent="0.35">
      <c r="A8" s="102" t="s">
        <v>233</v>
      </c>
      <c r="B8" s="102" t="s">
        <v>234</v>
      </c>
      <c r="C8" s="102" t="s">
        <v>200</v>
      </c>
      <c r="D8" s="102" t="s">
        <v>440</v>
      </c>
      <c r="E8" s="102">
        <v>792</v>
      </c>
      <c r="F8" s="103">
        <v>117591.15000000001</v>
      </c>
      <c r="G8" s="247">
        <v>1.3362630681818184</v>
      </c>
      <c r="H8" s="279">
        <v>1.6872008436639122E-3</v>
      </c>
      <c r="I8" s="280">
        <v>792</v>
      </c>
      <c r="J8" s="102"/>
      <c r="K8" s="86">
        <f>VLOOKUP(C8,'[4]PB Order'!$C$11:$G$120,5,0)</f>
        <v>3.3E-3</v>
      </c>
      <c r="L8" s="86">
        <f>VLOOKUP(C8,'[4]PB Order'!$C$11:$F$120,4,0)</f>
        <v>2.7E-2</v>
      </c>
      <c r="M8" s="86">
        <f t="shared" si="0"/>
        <v>2.6135999999999999</v>
      </c>
      <c r="N8" s="86">
        <f t="shared" si="1"/>
        <v>21.384</v>
      </c>
    </row>
    <row r="9" spans="1:14" x14ac:dyDescent="0.35">
      <c r="A9" s="102" t="s">
        <v>238</v>
      </c>
      <c r="B9" s="102" t="s">
        <v>239</v>
      </c>
      <c r="C9" s="102" t="s">
        <v>242</v>
      </c>
      <c r="D9" s="102" t="s">
        <v>443</v>
      </c>
      <c r="E9" s="102">
        <v>69216</v>
      </c>
      <c r="F9" s="103">
        <v>13288484.41</v>
      </c>
      <c r="G9" s="247">
        <v>151.00550465909092</v>
      </c>
      <c r="H9" s="279">
        <v>2.1816560428093348E-3</v>
      </c>
      <c r="I9" s="280">
        <v>40656</v>
      </c>
      <c r="J9" s="102"/>
      <c r="K9" s="86">
        <f>VLOOKUP(C9,'[4]PB Order'!$C$11:$G$120,5,0)</f>
        <v>2.1810000000000002E-3</v>
      </c>
      <c r="L9" s="86">
        <f>VLOOKUP(C9,'[4]PB Order'!$C$11:$F$120,4,0)</f>
        <v>1.3086E-2</v>
      </c>
      <c r="M9" s="86">
        <f t="shared" si="0"/>
        <v>88.670736000000005</v>
      </c>
      <c r="N9" s="86">
        <f t="shared" si="1"/>
        <v>532.02441599999997</v>
      </c>
    </row>
    <row r="10" spans="1:14" x14ac:dyDescent="0.35">
      <c r="A10" s="102" t="s">
        <v>238</v>
      </c>
      <c r="B10" s="102" t="s">
        <v>239</v>
      </c>
      <c r="C10" s="102" t="s">
        <v>584</v>
      </c>
      <c r="D10" s="102" t="s">
        <v>438</v>
      </c>
      <c r="E10" s="102">
        <v>264</v>
      </c>
      <c r="F10" s="103">
        <v>71614.710000000006</v>
      </c>
      <c r="G10" s="247">
        <v>0.81380352272727285</v>
      </c>
      <c r="H10" s="279">
        <v>3.08258910123967E-3</v>
      </c>
      <c r="I10" s="280">
        <v>264</v>
      </c>
      <c r="J10" s="102"/>
      <c r="K10" s="86">
        <v>3.3E-3</v>
      </c>
      <c r="L10" s="86">
        <v>3.0000000000000001E-3</v>
      </c>
      <c r="M10" s="86">
        <f t="shared" si="0"/>
        <v>0.87119999999999997</v>
      </c>
      <c r="N10" s="86">
        <f t="shared" si="1"/>
        <v>0.79200000000000004</v>
      </c>
    </row>
    <row r="11" spans="1:14" x14ac:dyDescent="0.35">
      <c r="A11" s="102" t="s">
        <v>238</v>
      </c>
      <c r="B11" s="102" t="s">
        <v>239</v>
      </c>
      <c r="C11" s="102" t="s">
        <v>566</v>
      </c>
      <c r="D11" s="102" t="s">
        <v>442</v>
      </c>
      <c r="E11" s="102">
        <v>1056</v>
      </c>
      <c r="F11" s="103">
        <v>405242.79</v>
      </c>
      <c r="G11" s="247">
        <v>4.6050317045454543</v>
      </c>
      <c r="H11" s="279">
        <v>4.3608254777892557E-3</v>
      </c>
      <c r="I11" s="280">
        <v>1056</v>
      </c>
      <c r="J11" s="102"/>
      <c r="K11" s="86">
        <v>3.3E-3</v>
      </c>
      <c r="L11" s="86">
        <v>3.0000000000000001E-3</v>
      </c>
      <c r="M11" s="86">
        <f t="shared" si="0"/>
        <v>3.4847999999999999</v>
      </c>
      <c r="N11" s="86">
        <f t="shared" si="1"/>
        <v>3.1680000000000001</v>
      </c>
    </row>
    <row r="12" spans="1:14" x14ac:dyDescent="0.35">
      <c r="A12" s="102" t="s">
        <v>238</v>
      </c>
      <c r="B12" s="102" t="s">
        <v>239</v>
      </c>
      <c r="C12" s="102" t="s">
        <v>243</v>
      </c>
      <c r="D12" s="102" t="s">
        <v>443</v>
      </c>
      <c r="E12" s="102">
        <v>22044</v>
      </c>
      <c r="F12" s="103">
        <v>3209253.04</v>
      </c>
      <c r="G12" s="247">
        <v>36.468784545454547</v>
      </c>
      <c r="H12" s="279">
        <v>1.6543632981969945E-3</v>
      </c>
      <c r="I12" s="280">
        <v>10032</v>
      </c>
      <c r="J12" s="102"/>
      <c r="K12" s="86">
        <f>VLOOKUP(C12,'[4]PB Order'!$C$11:$G$120,5,0)</f>
        <v>2E-3</v>
      </c>
      <c r="L12" s="86">
        <f>VLOOKUP(C12,'[4]PB Order'!$C$11:$F$120,4,0)</f>
        <v>1.7999999999999999E-2</v>
      </c>
      <c r="M12" s="86">
        <f t="shared" si="0"/>
        <v>20.064</v>
      </c>
      <c r="N12" s="86">
        <f t="shared" si="1"/>
        <v>180.57599999999999</v>
      </c>
    </row>
    <row r="13" spans="1:14" x14ac:dyDescent="0.35">
      <c r="A13" s="102" t="s">
        <v>238</v>
      </c>
      <c r="B13" s="102" t="s">
        <v>239</v>
      </c>
      <c r="C13" s="102" t="s">
        <v>202</v>
      </c>
      <c r="D13" s="102" t="s">
        <v>438</v>
      </c>
      <c r="E13" s="102">
        <v>5280</v>
      </c>
      <c r="F13" s="103">
        <v>1880791.62</v>
      </c>
      <c r="G13" s="247">
        <v>21.372632045454548</v>
      </c>
      <c r="H13" s="279">
        <v>4.0478469783057852E-3</v>
      </c>
      <c r="I13" s="280">
        <v>1716</v>
      </c>
      <c r="J13" s="102"/>
      <c r="K13" s="86">
        <f>VLOOKUP(C13,'[4]PB Order'!$C$11:$G$120,5,0)</f>
        <v>3.0000000000000001E-3</v>
      </c>
      <c r="L13" s="86">
        <f>VLOOKUP(C13,'[4]PB Order'!$C$11:$F$120,4,0)</f>
        <v>3.5000000000000003E-2</v>
      </c>
      <c r="M13" s="86">
        <f t="shared" si="0"/>
        <v>5.1479999999999997</v>
      </c>
      <c r="N13" s="86">
        <f t="shared" si="1"/>
        <v>60.06</v>
      </c>
    </row>
    <row r="14" spans="1:14" x14ac:dyDescent="0.35">
      <c r="A14" s="102" t="s">
        <v>238</v>
      </c>
      <c r="B14" s="102" t="s">
        <v>245</v>
      </c>
      <c r="C14" s="102" t="s">
        <v>627</v>
      </c>
      <c r="D14" s="102" t="s">
        <v>444</v>
      </c>
      <c r="E14" s="102">
        <v>6264</v>
      </c>
      <c r="F14" s="103">
        <v>436377.06</v>
      </c>
      <c r="G14" s="247">
        <v>4.9588302272727276</v>
      </c>
      <c r="H14" s="279">
        <v>7.9163956374085685E-4</v>
      </c>
      <c r="I14" s="280">
        <v>6264</v>
      </c>
      <c r="J14" s="102"/>
      <c r="K14" s="86">
        <v>3.3E-3</v>
      </c>
      <c r="L14" s="86">
        <v>3.0000000000000001E-3</v>
      </c>
      <c r="M14" s="86">
        <f t="shared" si="0"/>
        <v>20.671199999999999</v>
      </c>
      <c r="N14" s="86">
        <f t="shared" si="1"/>
        <v>18.792000000000002</v>
      </c>
    </row>
    <row r="15" spans="1:14" x14ac:dyDescent="0.35">
      <c r="A15" s="102" t="s">
        <v>238</v>
      </c>
      <c r="B15" s="102" t="s">
        <v>245</v>
      </c>
      <c r="C15" s="102" t="s">
        <v>628</v>
      </c>
      <c r="D15" s="102" t="s">
        <v>444</v>
      </c>
      <c r="E15" s="102">
        <v>13320</v>
      </c>
      <c r="F15" s="103">
        <v>1257764.8899999999</v>
      </c>
      <c r="G15" s="247">
        <v>14.292782840909089</v>
      </c>
      <c r="H15" s="279">
        <v>1.0730317448129946E-3</v>
      </c>
      <c r="I15" s="280">
        <v>11160</v>
      </c>
      <c r="J15" s="102"/>
      <c r="K15" s="86">
        <f>VLOOKUP(C15,'[4]PB Order'!$C$11:$G$120,5,0)</f>
        <v>3.3E-3</v>
      </c>
      <c r="L15" s="86">
        <f>VLOOKUP(C15,'[4]PB Order'!$C$11:$F$120,4,0)</f>
        <v>1.44175E-2</v>
      </c>
      <c r="M15" s="86">
        <f t="shared" si="0"/>
        <v>36.828000000000003</v>
      </c>
      <c r="N15" s="86">
        <f t="shared" si="1"/>
        <v>160.89930000000001</v>
      </c>
    </row>
    <row r="16" spans="1:14" x14ac:dyDescent="0.35">
      <c r="A16" s="102" t="s">
        <v>238</v>
      </c>
      <c r="B16" s="102" t="s">
        <v>245</v>
      </c>
      <c r="C16" s="102" t="s">
        <v>629</v>
      </c>
      <c r="D16" s="102" t="s">
        <v>444</v>
      </c>
      <c r="E16" s="102">
        <v>576</v>
      </c>
      <c r="F16" s="103">
        <v>82301.740000000005</v>
      </c>
      <c r="G16" s="247">
        <v>0.93524704545454551</v>
      </c>
      <c r="H16" s="279">
        <v>1.6236927872474748E-3</v>
      </c>
      <c r="I16" s="280">
        <v>288</v>
      </c>
      <c r="J16" s="102"/>
      <c r="K16" s="86">
        <f>VLOOKUP(C16,'[4]PB Order'!$C$11:$G$120,5,0)</f>
        <v>2.1000000000000001E-2</v>
      </c>
      <c r="L16" s="86">
        <f>VLOOKUP(C16,'[4]PB Order'!$C$11:$F$120,4,0)</f>
        <v>2.6275799999999998E-2</v>
      </c>
      <c r="M16" s="86">
        <f t="shared" si="0"/>
        <v>6.048</v>
      </c>
      <c r="N16" s="86">
        <f t="shared" si="1"/>
        <v>7.5674303999999992</v>
      </c>
    </row>
    <row r="17" spans="1:14" x14ac:dyDescent="0.35">
      <c r="A17" s="102" t="s">
        <v>238</v>
      </c>
      <c r="B17" s="102" t="s">
        <v>245</v>
      </c>
      <c r="C17" s="102" t="s">
        <v>630</v>
      </c>
      <c r="D17" s="102" t="s">
        <v>444</v>
      </c>
      <c r="E17" s="102">
        <v>576</v>
      </c>
      <c r="F17" s="103">
        <v>161624.59</v>
      </c>
      <c r="G17" s="247">
        <v>1.8366430681818182</v>
      </c>
      <c r="H17" s="279">
        <v>3.1886164378156566E-3</v>
      </c>
      <c r="I17" s="280">
        <v>576</v>
      </c>
      <c r="J17" s="102"/>
      <c r="K17" s="86">
        <v>3.3E-3</v>
      </c>
      <c r="L17" s="86">
        <v>3.0000000000000001E-3</v>
      </c>
      <c r="M17" s="86">
        <f t="shared" si="0"/>
        <v>1.9008</v>
      </c>
      <c r="N17" s="86">
        <f t="shared" si="1"/>
        <v>1.728</v>
      </c>
    </row>
    <row r="18" spans="1:14" x14ac:dyDescent="0.35">
      <c r="A18" s="102" t="s">
        <v>238</v>
      </c>
      <c r="B18" s="102" t="s">
        <v>245</v>
      </c>
      <c r="C18" s="102" t="s">
        <v>250</v>
      </c>
      <c r="D18" s="102" t="s">
        <v>444</v>
      </c>
      <c r="E18" s="102">
        <v>2288</v>
      </c>
      <c r="F18" s="103">
        <v>516075.64</v>
      </c>
      <c r="G18" s="247">
        <v>5.864495909090909</v>
      </c>
      <c r="H18" s="279">
        <v>2.5631538064208518E-3</v>
      </c>
      <c r="I18" s="280">
        <v>2288</v>
      </c>
      <c r="J18" s="102"/>
      <c r="K18" s="86">
        <f>VLOOKUP(C18,'[4]PB Order'!$C$11:$G$120,5,0)</f>
        <v>1.2E-2</v>
      </c>
      <c r="L18" s="86">
        <f>VLOOKUP(C18,'[4]PB Order'!$C$11:$F$120,4,0)</f>
        <v>2.8000000000000001E-2</v>
      </c>
      <c r="M18" s="86">
        <f t="shared" si="0"/>
        <v>27.456</v>
      </c>
      <c r="N18" s="86">
        <f t="shared" si="1"/>
        <v>64.064000000000007</v>
      </c>
    </row>
    <row r="19" spans="1:14" x14ac:dyDescent="0.35">
      <c r="A19" s="102" t="s">
        <v>233</v>
      </c>
      <c r="B19" s="102" t="s">
        <v>249</v>
      </c>
      <c r="C19" s="102" t="s">
        <v>208</v>
      </c>
      <c r="D19" s="102" t="s">
        <v>437</v>
      </c>
      <c r="E19" s="102">
        <v>6048</v>
      </c>
      <c r="F19" s="103">
        <v>832534.36</v>
      </c>
      <c r="G19" s="247">
        <v>9.4606177272727265</v>
      </c>
      <c r="H19" s="279">
        <v>1.5642555765993265E-3</v>
      </c>
      <c r="I19" s="280">
        <v>6048</v>
      </c>
      <c r="J19" s="102"/>
      <c r="K19" s="86">
        <f>VLOOKUP(C19,'[4]PB Order'!$C$11:$G$120,5,0)</f>
        <v>0.01</v>
      </c>
      <c r="L19" s="86">
        <f>VLOOKUP(C19,'[4]PB Order'!$C$11:$F$120,4,0)</f>
        <v>2.895E-2</v>
      </c>
      <c r="M19" s="86">
        <f t="shared" si="0"/>
        <v>60.480000000000004</v>
      </c>
      <c r="N19" s="86">
        <f t="shared" si="1"/>
        <v>175.08959999999999</v>
      </c>
    </row>
    <row r="20" spans="1:14" x14ac:dyDescent="0.35">
      <c r="A20" s="102" t="s">
        <v>238</v>
      </c>
      <c r="B20" s="102" t="s">
        <v>245</v>
      </c>
      <c r="C20" s="102" t="s">
        <v>209</v>
      </c>
      <c r="D20" s="102" t="s">
        <v>444</v>
      </c>
      <c r="E20" s="102">
        <v>144</v>
      </c>
      <c r="F20" s="103">
        <v>46607.4</v>
      </c>
      <c r="G20" s="247">
        <v>0.52962954545454544</v>
      </c>
      <c r="H20" s="279">
        <v>3.6779829545454546E-3</v>
      </c>
      <c r="I20" s="280">
        <v>144</v>
      </c>
      <c r="J20" s="102"/>
      <c r="K20" s="86">
        <f>VLOOKUP(C20,'[4]PB Order'!$C$11:$G$120,5,0)</f>
        <v>0.03</v>
      </c>
      <c r="L20" s="86">
        <f>VLOOKUP(C20,'[4]PB Order'!$C$11:$F$120,4,0)</f>
        <v>2.9000000000000001E-2</v>
      </c>
      <c r="M20" s="86">
        <f t="shared" si="0"/>
        <v>4.32</v>
      </c>
      <c r="N20" s="86">
        <f t="shared" si="1"/>
        <v>4.1760000000000002</v>
      </c>
    </row>
    <row r="21" spans="1:14" x14ac:dyDescent="0.35">
      <c r="A21" s="102" t="s">
        <v>233</v>
      </c>
      <c r="B21" s="102" t="s">
        <v>234</v>
      </c>
      <c r="C21" s="102" t="s">
        <v>204</v>
      </c>
      <c r="D21" s="102" t="s">
        <v>440</v>
      </c>
      <c r="E21" s="102">
        <v>924</v>
      </c>
      <c r="F21" s="103">
        <v>118223.37</v>
      </c>
      <c r="G21" s="247">
        <v>1.3434473863636363</v>
      </c>
      <c r="H21" s="279">
        <v>1.4539473878394332E-3</v>
      </c>
      <c r="I21" s="280">
        <v>924</v>
      </c>
      <c r="J21" s="102"/>
      <c r="K21" s="86">
        <v>3.3E-3</v>
      </c>
      <c r="L21" s="86">
        <v>3.0000000000000001E-3</v>
      </c>
      <c r="M21" s="86">
        <f t="shared" si="0"/>
        <v>3.0491999999999999</v>
      </c>
      <c r="N21" s="86">
        <f t="shared" si="1"/>
        <v>2.7720000000000002</v>
      </c>
    </row>
    <row r="22" spans="1:14" x14ac:dyDescent="0.35">
      <c r="A22" s="102" t="s">
        <v>238</v>
      </c>
      <c r="B22" s="102" t="s">
        <v>239</v>
      </c>
      <c r="C22" s="102" t="s">
        <v>631</v>
      </c>
      <c r="D22" s="102" t="s">
        <v>438</v>
      </c>
      <c r="E22" s="102">
        <v>2640</v>
      </c>
      <c r="F22" s="103">
        <v>280487.17000000004</v>
      </c>
      <c r="G22" s="247">
        <v>3.1873542045454548</v>
      </c>
      <c r="H22" s="279">
        <v>1.2073311380853995E-3</v>
      </c>
      <c r="I22" s="280">
        <v>2640</v>
      </c>
      <c r="J22" s="102"/>
      <c r="K22" s="86">
        <v>3.3E-3</v>
      </c>
      <c r="L22" s="86">
        <v>3.0000000000000001E-3</v>
      </c>
      <c r="M22" s="86">
        <f t="shared" si="0"/>
        <v>8.7119999999999997</v>
      </c>
      <c r="N22" s="86">
        <f t="shared" si="1"/>
        <v>7.92</v>
      </c>
    </row>
    <row r="23" spans="1:14" x14ac:dyDescent="0.35">
      <c r="A23" s="102" t="s">
        <v>238</v>
      </c>
      <c r="B23" s="102" t="s">
        <v>239</v>
      </c>
      <c r="C23" s="102" t="s">
        <v>758</v>
      </c>
      <c r="D23" s="102" t="s">
        <v>438</v>
      </c>
      <c r="E23" s="102">
        <v>2772</v>
      </c>
      <c r="F23" s="103">
        <v>446437.9</v>
      </c>
      <c r="G23" s="247">
        <v>5.0731579545454544</v>
      </c>
      <c r="H23" s="279">
        <v>1.830143562245835E-3</v>
      </c>
      <c r="I23" s="280">
        <v>2772</v>
      </c>
      <c r="J23" s="102"/>
      <c r="K23" s="86">
        <v>3.3E-3</v>
      </c>
      <c r="L23" s="86">
        <f>VLOOKUP(C23,'[4]PB Order'!$C$11:$F$120,4,0)</f>
        <v>2.8000000000000001E-2</v>
      </c>
      <c r="M23" s="86">
        <f t="shared" si="0"/>
        <v>9.1476000000000006</v>
      </c>
      <c r="N23" s="86">
        <f t="shared" si="1"/>
        <v>77.616</v>
      </c>
    </row>
    <row r="24" spans="1:14" x14ac:dyDescent="0.35">
      <c r="A24" s="102" t="s">
        <v>238</v>
      </c>
      <c r="B24" s="102" t="s">
        <v>632</v>
      </c>
      <c r="C24" s="102" t="s">
        <v>633</v>
      </c>
      <c r="D24" s="102" t="s">
        <v>438</v>
      </c>
      <c r="E24" s="102">
        <v>1584</v>
      </c>
      <c r="F24" s="103">
        <v>287559.09999999998</v>
      </c>
      <c r="G24" s="247">
        <v>3.2677170454545452</v>
      </c>
      <c r="H24" s="279">
        <v>2.0629526802112027E-3</v>
      </c>
      <c r="I24" s="280">
        <v>1584</v>
      </c>
      <c r="J24" s="102"/>
      <c r="K24" s="86">
        <v>3.3E-3</v>
      </c>
      <c r="L24" s="86">
        <v>3.0000000000000001E-3</v>
      </c>
      <c r="M24" s="86">
        <f t="shared" si="0"/>
        <v>5.2271999999999998</v>
      </c>
      <c r="N24" s="86">
        <f t="shared" si="1"/>
        <v>4.7519999999999998</v>
      </c>
    </row>
    <row r="25" spans="1:14" x14ac:dyDescent="0.35">
      <c r="A25" s="102" t="s">
        <v>238</v>
      </c>
      <c r="B25" s="102" t="s">
        <v>234</v>
      </c>
      <c r="C25" s="102" t="s">
        <v>634</v>
      </c>
      <c r="D25" s="102" t="s">
        <v>443</v>
      </c>
      <c r="E25" s="102">
        <v>49401</v>
      </c>
      <c r="F25" s="103">
        <v>12489499.899999999</v>
      </c>
      <c r="G25" s="247">
        <v>141.92613522727271</v>
      </c>
      <c r="H25" s="279">
        <v>2.872940532120255E-3</v>
      </c>
      <c r="I25" s="280">
        <v>49401</v>
      </c>
      <c r="J25" s="102"/>
      <c r="K25" s="86">
        <f>VLOOKUP(C25,'[4]PB Order'!$C$11:$G$120,5,0)</f>
        <v>2.5000000000000001E-3</v>
      </c>
      <c r="L25" s="86">
        <f>VLOOKUP(C25,'[4]PB Order'!$C$11:$F$120,4,0)</f>
        <v>1.7000000000000001E-2</v>
      </c>
      <c r="M25" s="86">
        <f t="shared" si="0"/>
        <v>123.5025</v>
      </c>
      <c r="N25" s="86">
        <f t="shared" si="1"/>
        <v>839.81700000000001</v>
      </c>
    </row>
    <row r="26" spans="1:14" x14ac:dyDescent="0.35">
      <c r="A26" s="102" t="s">
        <v>233</v>
      </c>
      <c r="B26" s="102" t="s">
        <v>234</v>
      </c>
      <c r="C26" s="102" t="s">
        <v>206</v>
      </c>
      <c r="D26" s="102" t="s">
        <v>443</v>
      </c>
      <c r="E26" s="102">
        <v>19206</v>
      </c>
      <c r="F26" s="103">
        <v>3092779.87</v>
      </c>
      <c r="G26" s="247">
        <v>35.14522579545455</v>
      </c>
      <c r="H26" s="279">
        <v>1.8299086637225113E-3</v>
      </c>
      <c r="I26" s="280">
        <v>7524</v>
      </c>
      <c r="J26" s="102"/>
      <c r="K26" s="86">
        <f>VLOOKUP(C26,'[4]PB Order'!$C$11:$G$120,5,0)</f>
        <v>2.7899999999999999E-3</v>
      </c>
      <c r="L26" s="86">
        <f>VLOOKUP(C26,'[4]PB Order'!$C$11:$F$120,4,0)</f>
        <v>2.9760000000000002E-2</v>
      </c>
      <c r="M26" s="86">
        <f t="shared" si="0"/>
        <v>20.991959999999999</v>
      </c>
      <c r="N26" s="86">
        <f t="shared" si="1"/>
        <v>223.91424000000001</v>
      </c>
    </row>
    <row r="27" spans="1:14" x14ac:dyDescent="0.35">
      <c r="A27" s="102" t="s">
        <v>238</v>
      </c>
      <c r="B27" s="102" t="s">
        <v>239</v>
      </c>
      <c r="C27" s="102" t="s">
        <v>446</v>
      </c>
      <c r="D27" s="102" t="s">
        <v>438</v>
      </c>
      <c r="E27" s="102">
        <v>2640</v>
      </c>
      <c r="F27" s="103">
        <v>453315.8</v>
      </c>
      <c r="G27" s="247">
        <v>5.1513159090909086</v>
      </c>
      <c r="H27" s="279">
        <v>1.9512560261707988E-3</v>
      </c>
      <c r="I27" s="280">
        <v>1320</v>
      </c>
      <c r="J27" s="102"/>
      <c r="K27" s="86">
        <f>VLOOKUP(C27,'[4]PB Order'!$C$11:$G$120,5,0)</f>
        <v>8.2000000000000007E-3</v>
      </c>
      <c r="L27" s="86">
        <f>VLOOKUP(C27,'[4]PB Order'!$C$11:$F$120,4,0)</f>
        <v>1.95E-2</v>
      </c>
      <c r="M27" s="86">
        <f t="shared" si="0"/>
        <v>10.824000000000002</v>
      </c>
      <c r="N27" s="86">
        <f t="shared" si="1"/>
        <v>25.74</v>
      </c>
    </row>
    <row r="28" spans="1:14" x14ac:dyDescent="0.35">
      <c r="A28" s="102" t="s">
        <v>238</v>
      </c>
      <c r="B28" s="102" t="s">
        <v>239</v>
      </c>
      <c r="C28" s="102" t="s">
        <v>635</v>
      </c>
      <c r="D28" s="102" t="s">
        <v>438</v>
      </c>
      <c r="E28" s="102">
        <v>198</v>
      </c>
      <c r="F28" s="103">
        <v>232536.32000000001</v>
      </c>
      <c r="G28" s="247">
        <v>2.6424581818181818</v>
      </c>
      <c r="H28" s="279">
        <v>1.334574839302112E-2</v>
      </c>
      <c r="I28" s="280">
        <v>198</v>
      </c>
      <c r="J28" s="102"/>
      <c r="K28" s="86">
        <v>3.3E-3</v>
      </c>
      <c r="L28" s="86">
        <v>3.0000000000000001E-3</v>
      </c>
      <c r="M28" s="86">
        <f t="shared" si="0"/>
        <v>0.65339999999999998</v>
      </c>
      <c r="N28" s="86">
        <f t="shared" si="1"/>
        <v>0.59399999999999997</v>
      </c>
    </row>
    <row r="29" spans="1:14" x14ac:dyDescent="0.35">
      <c r="A29" s="102" t="s">
        <v>238</v>
      </c>
      <c r="B29" s="102" t="s">
        <v>239</v>
      </c>
      <c r="C29" s="102" t="s">
        <v>447</v>
      </c>
      <c r="D29" s="102" t="s">
        <v>438</v>
      </c>
      <c r="E29" s="102">
        <v>198</v>
      </c>
      <c r="F29" s="103">
        <v>64618.79</v>
      </c>
      <c r="G29" s="247">
        <v>0.73430443181818184</v>
      </c>
      <c r="H29" s="279">
        <v>3.7086082415059688E-3</v>
      </c>
      <c r="I29" s="280">
        <v>198</v>
      </c>
      <c r="J29" s="102"/>
      <c r="K29" s="86">
        <v>3.3E-3</v>
      </c>
      <c r="L29" s="86">
        <v>3.0000000000000001E-3</v>
      </c>
      <c r="M29" s="86">
        <f t="shared" si="0"/>
        <v>0.65339999999999998</v>
      </c>
      <c r="N29" s="86">
        <f t="shared" si="1"/>
        <v>0.59399999999999997</v>
      </c>
    </row>
    <row r="30" spans="1:14" x14ac:dyDescent="0.35">
      <c r="A30" s="102" t="s">
        <v>238</v>
      </c>
      <c r="B30" s="102" t="s">
        <v>239</v>
      </c>
      <c r="C30" s="102" t="s">
        <v>567</v>
      </c>
      <c r="D30" s="102" t="s">
        <v>438</v>
      </c>
      <c r="E30" s="102">
        <v>1122</v>
      </c>
      <c r="F30" s="103">
        <v>341157.83</v>
      </c>
      <c r="G30" s="247">
        <v>3.8767935227272727</v>
      </c>
      <c r="H30" s="279">
        <v>3.4552526940528276E-3</v>
      </c>
      <c r="I30" s="280">
        <v>1122</v>
      </c>
      <c r="J30" s="102"/>
      <c r="K30" s="86">
        <f>VLOOKUP(C30,'[4]PB Order'!$C$11:$G$120,5,0)</f>
        <v>3.3E-3</v>
      </c>
      <c r="L30" s="86">
        <v>3.0000000000000001E-3</v>
      </c>
      <c r="M30" s="86">
        <f t="shared" si="0"/>
        <v>3.7025999999999999</v>
      </c>
      <c r="N30" s="86">
        <f t="shared" si="1"/>
        <v>3.3660000000000001</v>
      </c>
    </row>
    <row r="31" spans="1:14" x14ac:dyDescent="0.35">
      <c r="A31" s="102" t="s">
        <v>233</v>
      </c>
      <c r="B31" s="102" t="s">
        <v>234</v>
      </c>
      <c r="C31" s="102" t="s">
        <v>636</v>
      </c>
      <c r="D31" s="102" t="s">
        <v>440</v>
      </c>
      <c r="E31" s="102">
        <v>2046</v>
      </c>
      <c r="F31" s="103">
        <v>1197514.81</v>
      </c>
      <c r="G31" s="247">
        <v>13.608122840909092</v>
      </c>
      <c r="H31" s="279">
        <v>6.6510864325068876E-3</v>
      </c>
      <c r="I31" s="280">
        <v>1848</v>
      </c>
      <c r="J31" s="102"/>
      <c r="K31" s="86">
        <v>3.3E-3</v>
      </c>
      <c r="L31" s="86">
        <v>3.0000000000000001E-3</v>
      </c>
      <c r="M31" s="86">
        <f t="shared" si="0"/>
        <v>6.0983999999999998</v>
      </c>
      <c r="N31" s="86">
        <f t="shared" si="1"/>
        <v>5.5440000000000005</v>
      </c>
    </row>
    <row r="32" spans="1:14" x14ac:dyDescent="0.35">
      <c r="A32" s="102" t="s">
        <v>238</v>
      </c>
      <c r="B32" s="102" t="s">
        <v>245</v>
      </c>
      <c r="C32" s="102" t="s">
        <v>637</v>
      </c>
      <c r="D32" s="102" t="s">
        <v>564</v>
      </c>
      <c r="E32" s="102">
        <v>576</v>
      </c>
      <c r="F32" s="103">
        <v>111385.16</v>
      </c>
      <c r="G32" s="247">
        <v>1.2657404545454545</v>
      </c>
      <c r="H32" s="279">
        <v>2.1974660669191919E-3</v>
      </c>
      <c r="I32" s="280">
        <v>288</v>
      </c>
      <c r="J32" s="102"/>
      <c r="K32" s="86">
        <f>VLOOKUP(C32,'[4]PB Order'!$C$11:$G$120,5,0)</f>
        <v>1.9E-2</v>
      </c>
      <c r="L32" s="86">
        <v>3.0000000000000001E-3</v>
      </c>
      <c r="M32" s="86">
        <f t="shared" si="0"/>
        <v>5.4719999999999995</v>
      </c>
      <c r="N32" s="86">
        <f t="shared" si="1"/>
        <v>0.86399999999999999</v>
      </c>
    </row>
    <row r="33" spans="1:14" x14ac:dyDescent="0.35">
      <c r="A33" s="102" t="s">
        <v>238</v>
      </c>
      <c r="B33" s="102" t="s">
        <v>245</v>
      </c>
      <c r="C33" s="102" t="s">
        <v>210</v>
      </c>
      <c r="D33" s="102" t="s">
        <v>564</v>
      </c>
      <c r="E33" s="102">
        <v>576</v>
      </c>
      <c r="F33" s="103">
        <v>188247</v>
      </c>
      <c r="G33" s="247">
        <v>2.1391704545454546</v>
      </c>
      <c r="H33" s="279">
        <v>3.7138375946969698E-3</v>
      </c>
      <c r="I33" s="280">
        <v>576</v>
      </c>
      <c r="J33" s="102"/>
      <c r="K33" s="86">
        <v>3.3E-3</v>
      </c>
      <c r="L33" s="86">
        <v>3.0000000000000001E-3</v>
      </c>
      <c r="M33" s="86">
        <f t="shared" si="0"/>
        <v>1.9008</v>
      </c>
      <c r="N33" s="86">
        <f t="shared" si="1"/>
        <v>1.728</v>
      </c>
    </row>
    <row r="34" spans="1:14" x14ac:dyDescent="0.35">
      <c r="A34" s="102" t="s">
        <v>238</v>
      </c>
      <c r="B34" s="102" t="s">
        <v>249</v>
      </c>
      <c r="C34" s="102" t="s">
        <v>638</v>
      </c>
      <c r="D34" s="102" t="s">
        <v>437</v>
      </c>
      <c r="E34" s="102">
        <v>44604</v>
      </c>
      <c r="F34" s="103">
        <v>9563675.7100000009</v>
      </c>
      <c r="G34" s="247">
        <v>108.67813306818182</v>
      </c>
      <c r="H34" s="279">
        <v>2.4365109198318945E-3</v>
      </c>
      <c r="I34" s="280">
        <v>38988</v>
      </c>
      <c r="J34" s="102"/>
      <c r="K34" s="86">
        <v>3.3E-3</v>
      </c>
      <c r="L34" s="86">
        <v>3.0000000000000001E-3</v>
      </c>
      <c r="M34" s="86">
        <f t="shared" si="0"/>
        <v>128.66040000000001</v>
      </c>
      <c r="N34" s="86">
        <f t="shared" si="1"/>
        <v>116.964</v>
      </c>
    </row>
    <row r="35" spans="1:14" x14ac:dyDescent="0.35">
      <c r="A35" s="102" t="s">
        <v>233</v>
      </c>
      <c r="B35" s="102" t="s">
        <v>249</v>
      </c>
      <c r="C35" s="102" t="s">
        <v>565</v>
      </c>
      <c r="D35" s="102" t="s">
        <v>437</v>
      </c>
      <c r="E35" s="102">
        <v>2160</v>
      </c>
      <c r="F35" s="103">
        <v>658509.64999999991</v>
      </c>
      <c r="G35" s="247">
        <v>7.4830642045454532</v>
      </c>
      <c r="H35" s="279">
        <v>3.4643815761784508E-3</v>
      </c>
      <c r="I35" s="280">
        <v>2160</v>
      </c>
      <c r="J35" s="102"/>
      <c r="K35" s="86">
        <v>3.3E-3</v>
      </c>
      <c r="L35" s="86">
        <v>3.0000000000000001E-3</v>
      </c>
      <c r="M35" s="86">
        <f t="shared" si="0"/>
        <v>7.1280000000000001</v>
      </c>
      <c r="N35" s="86">
        <f t="shared" si="1"/>
        <v>6.48</v>
      </c>
    </row>
    <row r="36" spans="1:14" x14ac:dyDescent="0.35">
      <c r="A36" s="102" t="s">
        <v>238</v>
      </c>
      <c r="B36" s="102" t="s">
        <v>245</v>
      </c>
      <c r="C36" s="102" t="s">
        <v>639</v>
      </c>
      <c r="D36" s="102" t="s">
        <v>561</v>
      </c>
      <c r="E36" s="102">
        <v>1408</v>
      </c>
      <c r="F36" s="103">
        <v>220168.45</v>
      </c>
      <c r="G36" s="247">
        <v>2.5019142045454545</v>
      </c>
      <c r="H36" s="279">
        <v>1.7769277020919421E-3</v>
      </c>
      <c r="I36" s="280">
        <v>1408</v>
      </c>
      <c r="J36" s="102"/>
      <c r="K36" s="86">
        <v>3.3E-3</v>
      </c>
      <c r="L36" s="86">
        <v>3.0000000000000001E-3</v>
      </c>
      <c r="M36" s="86">
        <f t="shared" si="0"/>
        <v>4.6463999999999999</v>
      </c>
      <c r="N36" s="86">
        <f t="shared" si="1"/>
        <v>4.2240000000000002</v>
      </c>
    </row>
    <row r="37" spans="1:14" x14ac:dyDescent="0.35">
      <c r="A37" s="102" t="s">
        <v>238</v>
      </c>
      <c r="B37" s="102" t="s">
        <v>245</v>
      </c>
      <c r="C37" s="102" t="s">
        <v>212</v>
      </c>
      <c r="D37" s="102" t="s">
        <v>561</v>
      </c>
      <c r="E37" s="102">
        <v>3168</v>
      </c>
      <c r="F37" s="103">
        <v>532899.69000000006</v>
      </c>
      <c r="G37" s="247">
        <v>6.0556782954545465</v>
      </c>
      <c r="H37" s="279">
        <v>1.9115146134641877E-3</v>
      </c>
      <c r="I37" s="280">
        <v>1056</v>
      </c>
      <c r="J37" s="102"/>
      <c r="K37" s="86">
        <f>VLOOKUP(C37,'[4]PB Order'!$C$11:$G$120,5,0)</f>
        <v>5.0000000000000001E-3</v>
      </c>
      <c r="L37" s="86">
        <v>3.0000000000000001E-3</v>
      </c>
      <c r="M37" s="86">
        <f t="shared" si="0"/>
        <v>5.28</v>
      </c>
      <c r="N37" s="86">
        <f t="shared" si="1"/>
        <v>3.1680000000000001</v>
      </c>
    </row>
    <row r="38" spans="1:14" x14ac:dyDescent="0.35">
      <c r="A38" s="102" t="s">
        <v>238</v>
      </c>
      <c r="B38" s="102" t="s">
        <v>245</v>
      </c>
      <c r="C38" s="102" t="s">
        <v>640</v>
      </c>
      <c r="D38" s="102" t="s">
        <v>444</v>
      </c>
      <c r="E38" s="102">
        <v>216</v>
      </c>
      <c r="F38" s="103">
        <v>46569.41</v>
      </c>
      <c r="G38" s="247">
        <v>0.52919784090909094</v>
      </c>
      <c r="H38" s="279">
        <v>2.4499900042087544E-3</v>
      </c>
      <c r="I38" s="280">
        <v>216</v>
      </c>
      <c r="J38" s="102"/>
      <c r="K38" s="86">
        <v>3.3E-3</v>
      </c>
      <c r="L38" s="86">
        <v>3.0000000000000001E-3</v>
      </c>
      <c r="M38" s="86">
        <f t="shared" si="0"/>
        <v>0.71279999999999999</v>
      </c>
      <c r="N38" s="86">
        <f t="shared" si="1"/>
        <v>0.64800000000000002</v>
      </c>
    </row>
    <row r="39" spans="1:14" x14ac:dyDescent="0.35">
      <c r="A39" s="102" t="s">
        <v>233</v>
      </c>
      <c r="B39" s="102" t="s">
        <v>249</v>
      </c>
      <c r="C39" s="102" t="s">
        <v>641</v>
      </c>
      <c r="D39" s="102" t="s">
        <v>437</v>
      </c>
      <c r="E39" s="102">
        <v>1440</v>
      </c>
      <c r="F39" s="103">
        <v>659384.97</v>
      </c>
      <c r="G39" s="247">
        <v>7.4930110227272726</v>
      </c>
      <c r="H39" s="279">
        <v>5.203479876893939E-3</v>
      </c>
      <c r="I39" s="280">
        <v>1440</v>
      </c>
      <c r="J39" s="102"/>
      <c r="K39" s="86">
        <f>VLOOKUP(C39,'[4]PB Order'!$C$11:$G$120,5,0)</f>
        <v>1.0999999999999999E-2</v>
      </c>
      <c r="L39" s="86">
        <f>VLOOKUP(C39,'[4]PB Order'!$C$11:$F$120,4,0)</f>
        <v>3.8300000000000001E-2</v>
      </c>
      <c r="M39" s="86">
        <f t="shared" si="0"/>
        <v>15.84</v>
      </c>
      <c r="N39" s="86">
        <f t="shared" si="1"/>
        <v>55.152000000000001</v>
      </c>
    </row>
    <row r="40" spans="1:14" x14ac:dyDescent="0.35">
      <c r="A40" s="102" t="s">
        <v>238</v>
      </c>
      <c r="B40" s="102" t="s">
        <v>245</v>
      </c>
      <c r="C40" s="102" t="s">
        <v>759</v>
      </c>
      <c r="D40" s="102" t="s">
        <v>444</v>
      </c>
      <c r="E40" s="102">
        <v>432</v>
      </c>
      <c r="F40" s="103">
        <v>116972.87</v>
      </c>
      <c r="G40" s="247">
        <v>1.3292371590909091</v>
      </c>
      <c r="H40" s="279">
        <v>3.0769378682659935E-3</v>
      </c>
      <c r="I40" s="280">
        <v>432</v>
      </c>
      <c r="J40" s="102"/>
      <c r="K40" s="86">
        <v>3.3E-3</v>
      </c>
      <c r="L40" s="86">
        <v>3.0000000000000001E-3</v>
      </c>
      <c r="M40" s="86">
        <f t="shared" si="0"/>
        <v>1.4256</v>
      </c>
      <c r="N40" s="86">
        <f t="shared" si="1"/>
        <v>1.296</v>
      </c>
    </row>
    <row r="41" spans="1:14" x14ac:dyDescent="0.35">
      <c r="A41" s="102" t="s">
        <v>449</v>
      </c>
      <c r="B41" s="102" t="s">
        <v>642</v>
      </c>
      <c r="C41" s="102" t="s">
        <v>643</v>
      </c>
      <c r="D41" s="102" t="s">
        <v>644</v>
      </c>
      <c r="E41" s="102">
        <v>2000</v>
      </c>
      <c r="F41" s="103">
        <v>11464285.16</v>
      </c>
      <c r="G41" s="247">
        <v>130.27596772727273</v>
      </c>
      <c r="H41" s="279">
        <v>6.5137983863636367E-2</v>
      </c>
      <c r="I41" s="280">
        <v>200</v>
      </c>
      <c r="J41" s="102"/>
      <c r="K41" s="86">
        <v>3.3E-3</v>
      </c>
      <c r="L41" s="86">
        <v>3.0000000000000001E-3</v>
      </c>
      <c r="M41" s="86">
        <f t="shared" si="0"/>
        <v>0.66</v>
      </c>
      <c r="N41" s="86">
        <f t="shared" si="1"/>
        <v>0.6</v>
      </c>
    </row>
    <row r="42" spans="1:14" x14ac:dyDescent="0.35">
      <c r="A42" s="102" t="s">
        <v>449</v>
      </c>
      <c r="B42" s="102" t="s">
        <v>642</v>
      </c>
      <c r="C42" s="102" t="s">
        <v>645</v>
      </c>
      <c r="D42" s="102" t="s">
        <v>646</v>
      </c>
      <c r="E42" s="102">
        <v>1400</v>
      </c>
      <c r="F42" s="103">
        <v>7874999.6200000001</v>
      </c>
      <c r="G42" s="247">
        <v>89.488632045454551</v>
      </c>
      <c r="H42" s="279">
        <v>6.392045146103896E-2</v>
      </c>
      <c r="I42" s="280">
        <v>200</v>
      </c>
      <c r="J42" s="102"/>
      <c r="K42" s="86">
        <v>3.3E-3</v>
      </c>
      <c r="L42" s="86">
        <v>3.0000000000000001E-3</v>
      </c>
      <c r="M42" s="86">
        <f t="shared" si="0"/>
        <v>0.66</v>
      </c>
      <c r="N42" s="86">
        <f t="shared" si="1"/>
        <v>0.6</v>
      </c>
    </row>
    <row r="43" spans="1:14" x14ac:dyDescent="0.35">
      <c r="A43" s="102" t="s">
        <v>449</v>
      </c>
      <c r="B43" s="102" t="s">
        <v>642</v>
      </c>
      <c r="C43" s="102" t="s">
        <v>647</v>
      </c>
      <c r="D43" s="102" t="s">
        <v>648</v>
      </c>
      <c r="E43" s="102">
        <v>600</v>
      </c>
      <c r="F43" s="103">
        <v>3637499.82</v>
      </c>
      <c r="G43" s="247">
        <v>41.335225227272723</v>
      </c>
      <c r="H43" s="279">
        <v>6.8892042045454543E-2</v>
      </c>
      <c r="I43" s="280">
        <v>100</v>
      </c>
      <c r="J43" s="102"/>
      <c r="K43" s="86">
        <v>3.3E-3</v>
      </c>
      <c r="L43" s="86">
        <v>3.0000000000000001E-3</v>
      </c>
      <c r="M43" s="86">
        <f t="shared" si="0"/>
        <v>0.33</v>
      </c>
      <c r="N43" s="86">
        <f t="shared" si="1"/>
        <v>0.3</v>
      </c>
    </row>
    <row r="44" spans="1:14" x14ac:dyDescent="0.35">
      <c r="A44" s="102" t="s">
        <v>449</v>
      </c>
      <c r="B44" s="102" t="s">
        <v>642</v>
      </c>
      <c r="C44" s="102" t="s">
        <v>649</v>
      </c>
      <c r="D44" s="102" t="s">
        <v>648</v>
      </c>
      <c r="E44" s="102">
        <v>600</v>
      </c>
      <c r="F44" s="103">
        <v>3557142.68</v>
      </c>
      <c r="G44" s="247">
        <v>40.422075909090914</v>
      </c>
      <c r="H44" s="279">
        <v>6.7370126515151521E-2</v>
      </c>
      <c r="I44" s="280">
        <v>100</v>
      </c>
      <c r="J44" s="102"/>
      <c r="K44" s="86">
        <v>3.3E-3</v>
      </c>
      <c r="L44" s="86">
        <v>3.0000000000000001E-3</v>
      </c>
      <c r="M44" s="86">
        <f t="shared" si="0"/>
        <v>0.33</v>
      </c>
      <c r="N44" s="86">
        <f t="shared" si="1"/>
        <v>0.3</v>
      </c>
    </row>
    <row r="45" spans="1:14" x14ac:dyDescent="0.35">
      <c r="A45" s="102" t="s">
        <v>449</v>
      </c>
      <c r="B45" s="102" t="s">
        <v>642</v>
      </c>
      <c r="C45" s="102" t="s">
        <v>650</v>
      </c>
      <c r="D45" s="102" t="s">
        <v>648</v>
      </c>
      <c r="E45" s="102">
        <v>1000</v>
      </c>
      <c r="F45" s="103">
        <v>6080356.8600000003</v>
      </c>
      <c r="G45" s="247">
        <v>69.094964318181823</v>
      </c>
      <c r="H45" s="279">
        <v>6.9094964318181823E-2</v>
      </c>
      <c r="I45" s="280">
        <v>200</v>
      </c>
      <c r="J45" s="102"/>
      <c r="K45" s="86">
        <v>3.3E-3</v>
      </c>
      <c r="L45" s="86">
        <v>3.0000000000000001E-3</v>
      </c>
      <c r="M45" s="86">
        <f t="shared" si="0"/>
        <v>0.66</v>
      </c>
      <c r="N45" s="86">
        <f t="shared" si="1"/>
        <v>0.6</v>
      </c>
    </row>
    <row r="46" spans="1:14" x14ac:dyDescent="0.35">
      <c r="A46" s="102" t="s">
        <v>449</v>
      </c>
      <c r="B46" s="102" t="s">
        <v>642</v>
      </c>
      <c r="C46" s="102" t="s">
        <v>651</v>
      </c>
      <c r="D46" s="102" t="s">
        <v>648</v>
      </c>
      <c r="E46" s="102">
        <v>1200</v>
      </c>
      <c r="F46" s="103">
        <v>7135713.9400000004</v>
      </c>
      <c r="G46" s="247">
        <v>81.08765840909092</v>
      </c>
      <c r="H46" s="279">
        <v>6.7573048674242436E-2</v>
      </c>
      <c r="I46" s="280">
        <v>200</v>
      </c>
      <c r="J46" s="102"/>
      <c r="K46" s="86">
        <v>3.3E-3</v>
      </c>
      <c r="L46" s="86">
        <v>3.0000000000000001E-3</v>
      </c>
      <c r="M46" s="86">
        <f t="shared" si="0"/>
        <v>0.66</v>
      </c>
      <c r="N46" s="86">
        <f t="shared" si="1"/>
        <v>0.6</v>
      </c>
    </row>
    <row r="47" spans="1:14" x14ac:dyDescent="0.35">
      <c r="A47" s="102" t="s">
        <v>449</v>
      </c>
      <c r="B47" s="102" t="s">
        <v>453</v>
      </c>
      <c r="C47" s="102" t="s">
        <v>451</v>
      </c>
      <c r="D47" s="102" t="s">
        <v>452</v>
      </c>
      <c r="E47" s="102">
        <v>18432</v>
      </c>
      <c r="F47" s="103">
        <v>7323428.2199999997</v>
      </c>
      <c r="G47" s="247">
        <v>83.220775227272725</v>
      </c>
      <c r="H47" s="279">
        <v>4.5150160171046399E-3</v>
      </c>
      <c r="I47" s="280">
        <v>18432</v>
      </c>
      <c r="J47" s="102"/>
      <c r="K47" s="86">
        <v>3.3E-3</v>
      </c>
      <c r="L47" s="86">
        <v>3.0000000000000001E-3</v>
      </c>
      <c r="M47" s="86">
        <f t="shared" si="0"/>
        <v>60.825600000000001</v>
      </c>
      <c r="N47" s="86">
        <f t="shared" si="1"/>
        <v>55.295999999999999</v>
      </c>
    </row>
    <row r="48" spans="1:14" x14ac:dyDescent="0.35">
      <c r="A48" s="102" t="s">
        <v>449</v>
      </c>
      <c r="B48" s="102" t="s">
        <v>450</v>
      </c>
      <c r="C48" s="102" t="s">
        <v>454</v>
      </c>
      <c r="D48" s="102" t="s">
        <v>455</v>
      </c>
      <c r="E48" s="102">
        <v>104934</v>
      </c>
      <c r="F48" s="103">
        <v>19292732.350000001</v>
      </c>
      <c r="G48" s="247">
        <v>219.23559488636366</v>
      </c>
      <c r="H48" s="279">
        <v>2.089271302784261E-3</v>
      </c>
      <c r="I48" s="280">
        <v>98022</v>
      </c>
      <c r="J48" s="102"/>
      <c r="K48" s="86">
        <f>VLOOKUP(C48,'[4]PB Order'!$C$11:$G$120,5,0)</f>
        <v>1.0999999999999999E-2</v>
      </c>
      <c r="L48" s="86">
        <f>VLOOKUP(C48,'[4]PB Order'!$C$11:$F$120,4,0)</f>
        <v>3.0028124999999999E-2</v>
      </c>
      <c r="M48" s="86">
        <f t="shared" si="0"/>
        <v>1078.242</v>
      </c>
      <c r="N48" s="86">
        <f t="shared" si="1"/>
        <v>2943.41686875</v>
      </c>
    </row>
    <row r="49" spans="1:14" hidden="1" x14ac:dyDescent="0.35">
      <c r="A49" s="102" t="s">
        <v>55</v>
      </c>
      <c r="B49" s="102" t="s">
        <v>337</v>
      </c>
      <c r="C49" s="102" t="s">
        <v>84</v>
      </c>
      <c r="D49" s="102" t="s">
        <v>456</v>
      </c>
      <c r="E49" s="102">
        <v>2000</v>
      </c>
      <c r="F49" s="103">
        <v>3975504.64</v>
      </c>
      <c r="G49" s="247">
        <v>45.176189090909091</v>
      </c>
      <c r="H49" s="279">
        <v>2.2588094545454546E-2</v>
      </c>
      <c r="I49" s="280">
        <v>2000</v>
      </c>
      <c r="J49" s="102"/>
    </row>
    <row r="50" spans="1:14" hidden="1" x14ac:dyDescent="0.35">
      <c r="A50" s="102" t="s">
        <v>55</v>
      </c>
      <c r="B50" s="102" t="s">
        <v>337</v>
      </c>
      <c r="C50" s="102" t="s">
        <v>334</v>
      </c>
      <c r="D50" s="102" t="s">
        <v>457</v>
      </c>
      <c r="E50" s="102">
        <v>19340</v>
      </c>
      <c r="F50" s="103">
        <v>12252695.059999999</v>
      </c>
      <c r="G50" s="247">
        <v>139.23517113636362</v>
      </c>
      <c r="H50" s="279">
        <v>7.1993366668233515E-3</v>
      </c>
      <c r="I50" s="280">
        <v>13120</v>
      </c>
      <c r="J50" s="102"/>
    </row>
    <row r="51" spans="1:14" hidden="1" x14ac:dyDescent="0.35">
      <c r="A51" s="102" t="s">
        <v>55</v>
      </c>
      <c r="B51" s="102" t="s">
        <v>311</v>
      </c>
      <c r="C51" s="102" t="s">
        <v>69</v>
      </c>
      <c r="D51" s="102" t="s">
        <v>458</v>
      </c>
      <c r="E51" s="102">
        <v>6480</v>
      </c>
      <c r="F51" s="103">
        <v>3562492.0100000002</v>
      </c>
      <c r="G51" s="247">
        <v>40.48286375</v>
      </c>
      <c r="H51" s="279">
        <v>6.2473555169753085E-3</v>
      </c>
      <c r="I51" s="280">
        <v>1454</v>
      </c>
      <c r="J51" s="102"/>
    </row>
    <row r="52" spans="1:14" hidden="1" x14ac:dyDescent="0.35">
      <c r="A52" s="102" t="s">
        <v>55</v>
      </c>
      <c r="B52" s="102" t="s">
        <v>311</v>
      </c>
      <c r="C52" s="102" t="s">
        <v>66</v>
      </c>
      <c r="D52" s="102" t="s">
        <v>459</v>
      </c>
      <c r="E52" s="102">
        <v>9360</v>
      </c>
      <c r="F52" s="103">
        <v>5018989.6399999997</v>
      </c>
      <c r="G52" s="247">
        <v>57.033973181818176</v>
      </c>
      <c r="H52" s="279">
        <v>6.0933732031857027E-3</v>
      </c>
      <c r="I52" s="280">
        <v>7200</v>
      </c>
      <c r="J52" s="102"/>
    </row>
    <row r="53" spans="1:14" hidden="1" x14ac:dyDescent="0.35">
      <c r="A53" s="102" t="s">
        <v>55</v>
      </c>
      <c r="B53" s="102" t="s">
        <v>311</v>
      </c>
      <c r="C53" s="102" t="s">
        <v>118</v>
      </c>
      <c r="D53" s="102" t="s">
        <v>460</v>
      </c>
      <c r="E53" s="102">
        <v>5760</v>
      </c>
      <c r="F53" s="103">
        <v>2945659.08</v>
      </c>
      <c r="G53" s="247">
        <v>33.47339863636364</v>
      </c>
      <c r="H53" s="279">
        <v>5.8113539299242435E-3</v>
      </c>
      <c r="I53" s="280">
        <v>4320</v>
      </c>
      <c r="J53" s="102"/>
    </row>
    <row r="54" spans="1:14" hidden="1" x14ac:dyDescent="0.35">
      <c r="A54" s="102" t="s">
        <v>55</v>
      </c>
      <c r="B54" s="102" t="s">
        <v>337</v>
      </c>
      <c r="C54" s="102" t="s">
        <v>304</v>
      </c>
      <c r="D54" s="102" t="s">
        <v>461</v>
      </c>
      <c r="E54" s="102">
        <v>21220</v>
      </c>
      <c r="F54" s="103">
        <v>23545023.759999998</v>
      </c>
      <c r="G54" s="247">
        <v>267.55708818181813</v>
      </c>
      <c r="H54" s="279">
        <v>1.2608722345985774E-2</v>
      </c>
      <c r="I54" s="280">
        <v>29820</v>
      </c>
      <c r="J54" s="102"/>
    </row>
    <row r="55" spans="1:14" hidden="1" x14ac:dyDescent="0.35">
      <c r="A55" s="102" t="s">
        <v>55</v>
      </c>
      <c r="B55" s="102" t="s">
        <v>335</v>
      </c>
      <c r="C55" s="102" t="s">
        <v>462</v>
      </c>
      <c r="D55" s="102" t="s">
        <v>463</v>
      </c>
      <c r="E55" s="102">
        <v>4950</v>
      </c>
      <c r="F55" s="103">
        <v>5531842.2199999997</v>
      </c>
      <c r="G55" s="247">
        <v>62.861843409090909</v>
      </c>
      <c r="H55" s="279">
        <v>1.2699362304866851E-2</v>
      </c>
      <c r="I55" s="280">
        <v>700</v>
      </c>
      <c r="J55" s="102"/>
    </row>
    <row r="56" spans="1:14" hidden="1" x14ac:dyDescent="0.35">
      <c r="A56" s="102" t="s">
        <v>55</v>
      </c>
      <c r="B56" s="102" t="s">
        <v>335</v>
      </c>
      <c r="C56" s="102" t="s">
        <v>652</v>
      </c>
      <c r="D56" s="102" t="s">
        <v>463</v>
      </c>
      <c r="E56" s="102">
        <v>2100</v>
      </c>
      <c r="F56" s="103">
        <v>2004374.9</v>
      </c>
      <c r="G56" s="247">
        <v>22.776987500000001</v>
      </c>
      <c r="H56" s="279">
        <v>1.0846184523809524E-2</v>
      </c>
      <c r="I56" s="280">
        <v>3100</v>
      </c>
      <c r="J56" s="102"/>
    </row>
    <row r="57" spans="1:14" hidden="1" x14ac:dyDescent="0.35">
      <c r="A57" s="102" t="s">
        <v>55</v>
      </c>
      <c r="B57" s="102" t="s">
        <v>335</v>
      </c>
      <c r="C57" s="102" t="s">
        <v>608</v>
      </c>
      <c r="D57" s="102" t="s">
        <v>463</v>
      </c>
      <c r="E57" s="102">
        <v>1025</v>
      </c>
      <c r="F57" s="103">
        <v>1328839.22</v>
      </c>
      <c r="G57" s="247">
        <v>15.100445681818181</v>
      </c>
      <c r="H57" s="279">
        <v>1.4732142128603104E-2</v>
      </c>
      <c r="I57" s="280">
        <v>1025</v>
      </c>
      <c r="J57" s="102"/>
    </row>
    <row r="58" spans="1:14" hidden="1" x14ac:dyDescent="0.35">
      <c r="A58" s="102" t="s">
        <v>55</v>
      </c>
      <c r="B58" s="102" t="s">
        <v>335</v>
      </c>
      <c r="C58" s="102" t="s">
        <v>407</v>
      </c>
      <c r="D58" s="102" t="s">
        <v>463</v>
      </c>
      <c r="E58" s="102">
        <v>11250</v>
      </c>
      <c r="F58" s="103">
        <v>10657365.560000001</v>
      </c>
      <c r="G58" s="247">
        <v>121.10642681818183</v>
      </c>
      <c r="H58" s="279">
        <v>1.0765015717171719E-2</v>
      </c>
      <c r="I58" s="280">
        <v>23375</v>
      </c>
      <c r="J58" s="102"/>
    </row>
    <row r="59" spans="1:14" hidden="1" x14ac:dyDescent="0.35">
      <c r="A59" s="102" t="s">
        <v>55</v>
      </c>
      <c r="B59" s="102" t="s">
        <v>335</v>
      </c>
      <c r="C59" s="102" t="s">
        <v>653</v>
      </c>
      <c r="D59" s="102" t="s">
        <v>463</v>
      </c>
      <c r="E59" s="102">
        <v>5000</v>
      </c>
      <c r="F59" s="103">
        <v>4303571.22</v>
      </c>
      <c r="G59" s="247">
        <v>48.904218409090909</v>
      </c>
      <c r="H59" s="279">
        <v>9.7808436818181826E-3</v>
      </c>
      <c r="I59" s="280">
        <v>5000</v>
      </c>
      <c r="J59" s="102"/>
    </row>
    <row r="60" spans="1:14" x14ac:dyDescent="0.35">
      <c r="A60" s="102" t="s">
        <v>233</v>
      </c>
      <c r="B60" s="102" t="s">
        <v>654</v>
      </c>
      <c r="C60" s="102" t="s">
        <v>655</v>
      </c>
      <c r="D60" s="102" t="s">
        <v>656</v>
      </c>
      <c r="E60" s="102">
        <v>12450</v>
      </c>
      <c r="F60" s="103">
        <v>3845224.01</v>
      </c>
      <c r="G60" s="247">
        <v>43.695727386363636</v>
      </c>
      <c r="H60" s="279">
        <v>3.5096969788243884E-3</v>
      </c>
      <c r="I60" s="280">
        <v>4800</v>
      </c>
      <c r="J60" s="102"/>
      <c r="K60" s="86">
        <v>3.3E-3</v>
      </c>
      <c r="L60" s="86">
        <v>3.0000000000000001E-3</v>
      </c>
      <c r="M60" s="86">
        <f>I60*K60</f>
        <v>15.84</v>
      </c>
      <c r="N60" s="86">
        <f>I60*L60</f>
        <v>14.4</v>
      </c>
    </row>
    <row r="61" spans="1:14" hidden="1" x14ac:dyDescent="0.35">
      <c r="A61" s="102" t="s">
        <v>43</v>
      </c>
      <c r="B61" s="102" t="s">
        <v>342</v>
      </c>
      <c r="C61" s="102" t="s">
        <v>40</v>
      </c>
      <c r="D61" s="102" t="s">
        <v>464</v>
      </c>
      <c r="E61" s="102">
        <v>20170</v>
      </c>
      <c r="F61" s="103">
        <v>471420.55</v>
      </c>
      <c r="G61" s="247">
        <v>5.3570517045454542</v>
      </c>
      <c r="H61" s="279">
        <v>2.6559502749357733E-4</v>
      </c>
      <c r="I61" s="280">
        <v>39000</v>
      </c>
      <c r="J61" s="102"/>
    </row>
    <row r="62" spans="1:14" hidden="1" x14ac:dyDescent="0.35">
      <c r="A62" s="102" t="s">
        <v>43</v>
      </c>
      <c r="B62" s="102" t="s">
        <v>342</v>
      </c>
      <c r="C62" s="102" t="s">
        <v>465</v>
      </c>
      <c r="D62" s="102" t="s">
        <v>466</v>
      </c>
      <c r="E62" s="102">
        <v>157503</v>
      </c>
      <c r="F62" s="103">
        <v>4195667.91</v>
      </c>
      <c r="G62" s="247">
        <v>47.678044431818186</v>
      </c>
      <c r="H62" s="279">
        <v>3.0271197648183327E-4</v>
      </c>
      <c r="I62" s="280">
        <v>223653</v>
      </c>
      <c r="J62" s="102"/>
    </row>
    <row r="63" spans="1:14" hidden="1" x14ac:dyDescent="0.35">
      <c r="A63" s="102" t="s">
        <v>531</v>
      </c>
      <c r="B63" s="102" t="s">
        <v>347</v>
      </c>
      <c r="C63" s="102" t="s">
        <v>570</v>
      </c>
      <c r="D63" s="102" t="s">
        <v>571</v>
      </c>
      <c r="E63" s="102">
        <v>35000</v>
      </c>
      <c r="F63" s="103">
        <v>775375.92999999993</v>
      </c>
      <c r="G63" s="247">
        <v>8.8110901136363626</v>
      </c>
      <c r="H63" s="279">
        <v>2.5174543181818179E-4</v>
      </c>
      <c r="I63" s="280"/>
      <c r="J63" s="103">
        <v>35000</v>
      </c>
    </row>
    <row r="64" spans="1:14" hidden="1" x14ac:dyDescent="0.35">
      <c r="A64" s="102" t="s">
        <v>55</v>
      </c>
      <c r="B64" s="102" t="s">
        <v>312</v>
      </c>
      <c r="C64" s="102" t="s">
        <v>469</v>
      </c>
      <c r="D64" s="102" t="s">
        <v>470</v>
      </c>
      <c r="E64" s="102">
        <v>48580</v>
      </c>
      <c r="F64" s="103">
        <v>55718745.539999999</v>
      </c>
      <c r="G64" s="247">
        <v>633.16756295454547</v>
      </c>
      <c r="H64" s="279">
        <v>1.3033502736816497E-2</v>
      </c>
      <c r="I64" s="280">
        <v>40680</v>
      </c>
      <c r="J64" s="102"/>
    </row>
    <row r="65" spans="1:10" hidden="1" x14ac:dyDescent="0.35">
      <c r="A65" s="102" t="s">
        <v>55</v>
      </c>
      <c r="B65" s="102" t="s">
        <v>336</v>
      </c>
      <c r="C65" s="102" t="s">
        <v>53</v>
      </c>
      <c r="D65" s="102" t="s">
        <v>456</v>
      </c>
      <c r="E65" s="102">
        <v>45150</v>
      </c>
      <c r="F65" s="103">
        <v>42147694.32</v>
      </c>
      <c r="G65" s="247">
        <v>478.95107181818184</v>
      </c>
      <c r="H65" s="279">
        <v>1.0607997160978556E-2</v>
      </c>
      <c r="I65" s="280">
        <v>32000</v>
      </c>
      <c r="J65" s="102"/>
    </row>
    <row r="66" spans="1:10" hidden="1" x14ac:dyDescent="0.35">
      <c r="A66" s="102" t="s">
        <v>468</v>
      </c>
      <c r="B66" s="102" t="s">
        <v>473</v>
      </c>
      <c r="C66" s="102" t="s">
        <v>471</v>
      </c>
      <c r="D66" s="102" t="s">
        <v>472</v>
      </c>
      <c r="E66" s="102">
        <v>79760</v>
      </c>
      <c r="F66" s="103">
        <v>2664972.3199999998</v>
      </c>
      <c r="G66" s="247">
        <v>30.283776363636363</v>
      </c>
      <c r="H66" s="279">
        <v>3.7968626333546092E-4</v>
      </c>
      <c r="I66" s="280">
        <v>40000</v>
      </c>
      <c r="J66" s="102"/>
    </row>
    <row r="67" spans="1:10" hidden="1" x14ac:dyDescent="0.35">
      <c r="A67" s="102" t="s">
        <v>468</v>
      </c>
      <c r="B67" s="102" t="s">
        <v>473</v>
      </c>
      <c r="C67" s="102" t="s">
        <v>474</v>
      </c>
      <c r="D67" s="102" t="s">
        <v>475</v>
      </c>
      <c r="E67" s="102">
        <v>160000</v>
      </c>
      <c r="F67" s="103">
        <v>640141.62</v>
      </c>
      <c r="G67" s="247">
        <v>7.2743365909090905</v>
      </c>
      <c r="H67" s="279">
        <v>4.5464603693181813E-5</v>
      </c>
      <c r="I67" s="280">
        <v>80000</v>
      </c>
      <c r="J67" s="102"/>
    </row>
    <row r="68" spans="1:10" hidden="1" x14ac:dyDescent="0.35">
      <c r="A68" s="102" t="s">
        <v>468</v>
      </c>
      <c r="B68" s="102" t="s">
        <v>473</v>
      </c>
      <c r="C68" s="102" t="s">
        <v>592</v>
      </c>
      <c r="D68" s="102" t="s">
        <v>593</v>
      </c>
      <c r="E68" s="102">
        <v>81250</v>
      </c>
      <c r="F68" s="103">
        <v>1759436.29</v>
      </c>
      <c r="G68" s="247">
        <v>19.993594204545456</v>
      </c>
      <c r="H68" s="279">
        <v>2.4607500559440559E-4</v>
      </c>
      <c r="I68" s="280">
        <v>40000</v>
      </c>
      <c r="J68" s="102"/>
    </row>
    <row r="69" spans="1:10" hidden="1" x14ac:dyDescent="0.35">
      <c r="A69" s="102" t="s">
        <v>468</v>
      </c>
      <c r="B69" s="102" t="s">
        <v>473</v>
      </c>
      <c r="C69" s="102" t="s">
        <v>476</v>
      </c>
      <c r="D69" s="102" t="s">
        <v>477</v>
      </c>
      <c r="E69" s="102">
        <v>9000</v>
      </c>
      <c r="F69" s="103">
        <v>196837.04</v>
      </c>
      <c r="G69" s="247">
        <v>2.2367845454545456</v>
      </c>
      <c r="H69" s="279">
        <v>2.4853161616161616E-4</v>
      </c>
      <c r="I69" s="280">
        <v>9000</v>
      </c>
      <c r="J69" s="102"/>
    </row>
    <row r="70" spans="1:10" hidden="1" x14ac:dyDescent="0.35">
      <c r="A70" s="102" t="s">
        <v>468</v>
      </c>
      <c r="B70" s="102" t="s">
        <v>473</v>
      </c>
      <c r="C70" s="102" t="s">
        <v>478</v>
      </c>
      <c r="D70" s="102" t="s">
        <v>479</v>
      </c>
      <c r="E70" s="102">
        <v>9725</v>
      </c>
      <c r="F70" s="103">
        <v>217188.68</v>
      </c>
      <c r="G70" s="247">
        <v>2.4680531818181817</v>
      </c>
      <c r="H70" s="279">
        <v>2.5378438887590555E-4</v>
      </c>
      <c r="I70" s="280">
        <v>9725</v>
      </c>
      <c r="J70" s="102"/>
    </row>
    <row r="71" spans="1:10" hidden="1" x14ac:dyDescent="0.35">
      <c r="A71" s="102" t="s">
        <v>468</v>
      </c>
      <c r="B71" s="102" t="s">
        <v>473</v>
      </c>
      <c r="C71" s="102" t="s">
        <v>594</v>
      </c>
      <c r="D71" s="102" t="s">
        <v>595</v>
      </c>
      <c r="E71" s="102">
        <v>190460</v>
      </c>
      <c r="F71" s="103">
        <v>4119105.12</v>
      </c>
      <c r="G71" s="247">
        <v>46.808012727272725</v>
      </c>
      <c r="H71" s="279">
        <v>2.4576295666949873E-4</v>
      </c>
      <c r="I71" s="280">
        <v>80000</v>
      </c>
      <c r="J71" s="102"/>
    </row>
    <row r="72" spans="1:10" hidden="1" x14ac:dyDescent="0.35">
      <c r="A72" s="102" t="s">
        <v>468</v>
      </c>
      <c r="B72" s="102" t="s">
        <v>473</v>
      </c>
      <c r="C72" s="102" t="s">
        <v>657</v>
      </c>
      <c r="D72" s="102" t="s">
        <v>658</v>
      </c>
      <c r="E72" s="102">
        <v>6000</v>
      </c>
      <c r="F72" s="103">
        <v>131548.54</v>
      </c>
      <c r="G72" s="247">
        <v>1.4948697727272728</v>
      </c>
      <c r="H72" s="279">
        <v>2.4914496212121215E-4</v>
      </c>
      <c r="I72" s="280">
        <v>6000</v>
      </c>
      <c r="J72" s="102"/>
    </row>
    <row r="73" spans="1:10" hidden="1" x14ac:dyDescent="0.35">
      <c r="A73" s="102" t="s">
        <v>55</v>
      </c>
      <c r="B73" s="102" t="s">
        <v>335</v>
      </c>
      <c r="C73" s="102" t="s">
        <v>480</v>
      </c>
      <c r="D73" s="102" t="s">
        <v>481</v>
      </c>
      <c r="E73" s="102">
        <v>249000</v>
      </c>
      <c r="F73" s="103">
        <v>1546902.68</v>
      </c>
      <c r="G73" s="247">
        <v>17.578439545454543</v>
      </c>
      <c r="H73" s="279">
        <v>7.0596142752829495E-5</v>
      </c>
      <c r="I73" s="280">
        <v>210000</v>
      </c>
      <c r="J73" s="102"/>
    </row>
    <row r="74" spans="1:10" hidden="1" x14ac:dyDescent="0.35">
      <c r="A74" s="102" t="s">
        <v>485</v>
      </c>
      <c r="B74" s="102" t="s">
        <v>315</v>
      </c>
      <c r="C74" s="102" t="s">
        <v>600</v>
      </c>
      <c r="D74" s="102" t="s">
        <v>601</v>
      </c>
      <c r="E74" s="102">
        <v>28000</v>
      </c>
      <c r="F74" s="103">
        <v>3976619.68</v>
      </c>
      <c r="G74" s="247">
        <v>45.188860000000005</v>
      </c>
      <c r="H74" s="279">
        <v>1.6138878571428574E-3</v>
      </c>
      <c r="I74" s="280">
        <v>10000</v>
      </c>
      <c r="J74" s="102"/>
    </row>
    <row r="75" spans="1:10" hidden="1" x14ac:dyDescent="0.35">
      <c r="A75" s="102" t="s">
        <v>485</v>
      </c>
      <c r="B75" s="102" t="s">
        <v>315</v>
      </c>
      <c r="C75" s="102" t="s">
        <v>659</v>
      </c>
      <c r="D75" s="102" t="s">
        <v>660</v>
      </c>
      <c r="E75" s="102">
        <v>1900</v>
      </c>
      <c r="F75" s="103">
        <v>275599.21999999997</v>
      </c>
      <c r="G75" s="247">
        <v>3.1318093181818178</v>
      </c>
      <c r="H75" s="279">
        <v>1.6483206937799042E-3</v>
      </c>
      <c r="I75" s="280">
        <v>1900</v>
      </c>
      <c r="J75" s="102"/>
    </row>
    <row r="76" spans="1:10" hidden="1" x14ac:dyDescent="0.35">
      <c r="A76" s="102" t="s">
        <v>485</v>
      </c>
      <c r="B76" s="102" t="s">
        <v>315</v>
      </c>
      <c r="C76" s="102" t="s">
        <v>483</v>
      </c>
      <c r="D76" s="102" t="s">
        <v>484</v>
      </c>
      <c r="E76" s="102">
        <v>428000</v>
      </c>
      <c r="F76" s="103">
        <v>66131684.989999995</v>
      </c>
      <c r="G76" s="247">
        <v>751.49642034090903</v>
      </c>
      <c r="H76" s="279">
        <v>1.7558327578058623E-3</v>
      </c>
      <c r="I76" s="280">
        <v>320000</v>
      </c>
      <c r="J76" s="102"/>
    </row>
    <row r="77" spans="1:10" hidden="1" x14ac:dyDescent="0.35">
      <c r="A77" s="102" t="s">
        <v>488</v>
      </c>
      <c r="B77" s="102" t="s">
        <v>313</v>
      </c>
      <c r="C77" s="102" t="s">
        <v>286</v>
      </c>
      <c r="D77" s="102" t="s">
        <v>487</v>
      </c>
      <c r="E77" s="102">
        <v>3472</v>
      </c>
      <c r="F77" s="103">
        <v>3319261.48</v>
      </c>
      <c r="G77" s="247">
        <v>37.718880454545456</v>
      </c>
      <c r="H77" s="279">
        <v>1.0863732849811479E-2</v>
      </c>
      <c r="I77" s="280">
        <v>3472</v>
      </c>
      <c r="J77" s="102">
        <v>2240</v>
      </c>
    </row>
    <row r="78" spans="1:10" hidden="1" x14ac:dyDescent="0.35">
      <c r="A78" s="102" t="s">
        <v>488</v>
      </c>
      <c r="B78" s="102" t="s">
        <v>313</v>
      </c>
      <c r="C78" s="102" t="s">
        <v>287</v>
      </c>
      <c r="D78" s="102" t="s">
        <v>489</v>
      </c>
      <c r="E78" s="102">
        <v>3920</v>
      </c>
      <c r="F78" s="103">
        <v>3752905.2600000002</v>
      </c>
      <c r="G78" s="247">
        <v>42.646650681818187</v>
      </c>
      <c r="H78" s="279">
        <v>1.0879247622912803E-2</v>
      </c>
      <c r="I78" s="280">
        <v>3920</v>
      </c>
      <c r="J78" s="102">
        <v>2240</v>
      </c>
    </row>
    <row r="79" spans="1:10" hidden="1" x14ac:dyDescent="0.35">
      <c r="A79" s="102" t="s">
        <v>663</v>
      </c>
      <c r="B79" s="102" t="s">
        <v>664</v>
      </c>
      <c r="C79" s="102" t="s">
        <v>403</v>
      </c>
      <c r="D79" s="102" t="s">
        <v>665</v>
      </c>
      <c r="E79" s="102">
        <v>93200</v>
      </c>
      <c r="F79" s="103">
        <v>3542452.75</v>
      </c>
      <c r="G79" s="247">
        <v>40.255144886363638</v>
      </c>
      <c r="H79" s="279">
        <v>4.3192215543308627E-4</v>
      </c>
      <c r="I79" s="280">
        <v>60000</v>
      </c>
      <c r="J79" s="102"/>
    </row>
    <row r="80" spans="1:10" hidden="1" x14ac:dyDescent="0.35">
      <c r="A80" s="102" t="s">
        <v>663</v>
      </c>
      <c r="B80" s="102" t="s">
        <v>664</v>
      </c>
      <c r="C80" s="102" t="s">
        <v>666</v>
      </c>
      <c r="D80" s="102" t="s">
        <v>667</v>
      </c>
      <c r="E80" s="102">
        <v>46000</v>
      </c>
      <c r="F80" s="103">
        <v>2024000</v>
      </c>
      <c r="G80" s="247">
        <v>23</v>
      </c>
      <c r="H80" s="279">
        <v>5.0000000000000001E-4</v>
      </c>
      <c r="I80" s="280">
        <v>30000</v>
      </c>
      <c r="J80" s="102"/>
    </row>
    <row r="81" spans="1:10" hidden="1" x14ac:dyDescent="0.35">
      <c r="A81" s="102" t="s">
        <v>485</v>
      </c>
      <c r="B81" s="102" t="s">
        <v>322</v>
      </c>
      <c r="C81" s="102" t="s">
        <v>323</v>
      </c>
      <c r="D81" s="102" t="s">
        <v>490</v>
      </c>
      <c r="E81" s="102">
        <v>4</v>
      </c>
      <c r="F81" s="103">
        <v>8278.56</v>
      </c>
      <c r="G81" s="247">
        <v>9.4074545454545452E-2</v>
      </c>
      <c r="H81" s="279">
        <v>2.3518636363636363E-2</v>
      </c>
      <c r="I81" s="280"/>
      <c r="J81" s="102">
        <v>5000</v>
      </c>
    </row>
    <row r="82" spans="1:10" hidden="1" x14ac:dyDescent="0.35">
      <c r="A82" s="102" t="s">
        <v>485</v>
      </c>
      <c r="B82" s="102" t="s">
        <v>322</v>
      </c>
      <c r="C82" s="102" t="s">
        <v>324</v>
      </c>
      <c r="D82" s="102" t="s">
        <v>491</v>
      </c>
      <c r="E82" s="102">
        <v>864</v>
      </c>
      <c r="F82" s="103">
        <v>1826450.22</v>
      </c>
      <c r="G82" s="247">
        <v>20.755116136363636</v>
      </c>
      <c r="H82" s="279">
        <v>2.4022125157828284E-2</v>
      </c>
      <c r="I82" s="280"/>
      <c r="J82" s="102">
        <v>5000</v>
      </c>
    </row>
    <row r="83" spans="1:10" hidden="1" x14ac:dyDescent="0.35">
      <c r="A83" s="102" t="s">
        <v>663</v>
      </c>
      <c r="B83" s="102" t="s">
        <v>664</v>
      </c>
      <c r="C83" s="102" t="s">
        <v>668</v>
      </c>
      <c r="D83" s="102" t="s">
        <v>669</v>
      </c>
      <c r="E83" s="102">
        <v>1000</v>
      </c>
      <c r="F83" s="103">
        <v>136767.85</v>
      </c>
      <c r="G83" s="247">
        <v>1.5541801136363638</v>
      </c>
      <c r="H83" s="279">
        <v>1.5541801136363638E-3</v>
      </c>
      <c r="I83" s="280">
        <v>1000</v>
      </c>
      <c r="J83" s="102"/>
    </row>
    <row r="84" spans="1:10" hidden="1" x14ac:dyDescent="0.35">
      <c r="A84" s="102" t="s">
        <v>663</v>
      </c>
      <c r="B84" s="102" t="s">
        <v>664</v>
      </c>
      <c r="C84" s="102" t="s">
        <v>670</v>
      </c>
      <c r="D84" s="102" t="s">
        <v>671</v>
      </c>
      <c r="E84" s="102">
        <v>600</v>
      </c>
      <c r="F84" s="103">
        <v>76497.350000000006</v>
      </c>
      <c r="G84" s="247">
        <v>0.86928806818181825</v>
      </c>
      <c r="H84" s="279">
        <v>1.4488134469696971E-3</v>
      </c>
      <c r="I84" s="280">
        <v>600</v>
      </c>
      <c r="J84" s="102"/>
    </row>
    <row r="85" spans="1:10" hidden="1" x14ac:dyDescent="0.35">
      <c r="A85" s="102" t="s">
        <v>663</v>
      </c>
      <c r="B85" s="102" t="s">
        <v>664</v>
      </c>
      <c r="C85" s="102" t="s">
        <v>672</v>
      </c>
      <c r="D85" s="102" t="s">
        <v>673</v>
      </c>
      <c r="E85" s="102">
        <v>1000</v>
      </c>
      <c r="F85" s="103">
        <v>123522.13</v>
      </c>
      <c r="G85" s="247">
        <v>1.4036605681818182</v>
      </c>
      <c r="H85" s="279">
        <v>1.4036605681818182E-3</v>
      </c>
      <c r="I85" s="280">
        <v>1000</v>
      </c>
      <c r="J85" s="102"/>
    </row>
    <row r="86" spans="1:10" hidden="1" x14ac:dyDescent="0.35">
      <c r="A86" s="102" t="s">
        <v>663</v>
      </c>
      <c r="B86" s="102" t="s">
        <v>664</v>
      </c>
      <c r="C86" s="102" t="s">
        <v>674</v>
      </c>
      <c r="D86" s="102" t="s">
        <v>675</v>
      </c>
      <c r="E86" s="102">
        <v>1000</v>
      </c>
      <c r="F86" s="103">
        <v>123522.13</v>
      </c>
      <c r="G86" s="247">
        <v>1.4036605681818182</v>
      </c>
      <c r="H86" s="279">
        <v>1.4036605681818182E-3</v>
      </c>
      <c r="I86" s="280">
        <v>1000</v>
      </c>
      <c r="J86" s="102"/>
    </row>
    <row r="87" spans="1:10" hidden="1" x14ac:dyDescent="0.35">
      <c r="A87" s="102" t="s">
        <v>493</v>
      </c>
      <c r="B87" s="102" t="s">
        <v>494</v>
      </c>
      <c r="C87" s="102" t="s">
        <v>405</v>
      </c>
      <c r="D87" s="102" t="s">
        <v>492</v>
      </c>
      <c r="E87" s="102">
        <v>2412</v>
      </c>
      <c r="F87" s="103">
        <v>64523042</v>
      </c>
      <c r="G87" s="247">
        <v>733.21638636363639</v>
      </c>
      <c r="H87" s="279">
        <v>0.30398689318558725</v>
      </c>
      <c r="I87" s="280">
        <v>1920</v>
      </c>
      <c r="J87" s="102"/>
    </row>
    <row r="88" spans="1:10" hidden="1" x14ac:dyDescent="0.35">
      <c r="A88" s="102" t="s">
        <v>468</v>
      </c>
      <c r="B88" s="102" t="s">
        <v>343</v>
      </c>
      <c r="C88" s="102" t="s">
        <v>344</v>
      </c>
      <c r="D88" s="102" t="s">
        <v>495</v>
      </c>
      <c r="E88" s="102">
        <v>20970</v>
      </c>
      <c r="F88" s="103">
        <v>6985471.3900000006</v>
      </c>
      <c r="G88" s="247">
        <v>79.380356704545463</v>
      </c>
      <c r="H88" s="279">
        <v>3.7854247355529548E-3</v>
      </c>
      <c r="I88" s="280">
        <v>20970</v>
      </c>
      <c r="J88" s="102"/>
    </row>
    <row r="89" spans="1:10" hidden="1" x14ac:dyDescent="0.35">
      <c r="A89" s="102" t="s">
        <v>493</v>
      </c>
      <c r="B89" s="102" t="s">
        <v>676</v>
      </c>
      <c r="C89" s="102" t="s">
        <v>408</v>
      </c>
      <c r="D89" s="102" t="s">
        <v>553</v>
      </c>
      <c r="E89" s="102">
        <v>18176</v>
      </c>
      <c r="F89" s="103">
        <v>10815094.379999999</v>
      </c>
      <c r="G89" s="247">
        <v>122.89879977272726</v>
      </c>
      <c r="H89" s="279">
        <v>6.7615976987636037E-3</v>
      </c>
      <c r="I89" s="280">
        <v>20800</v>
      </c>
      <c r="J89" s="102"/>
    </row>
    <row r="90" spans="1:10" hidden="1" x14ac:dyDescent="0.35">
      <c r="A90" s="102" t="s">
        <v>493</v>
      </c>
      <c r="B90" s="102" t="s">
        <v>676</v>
      </c>
      <c r="C90" s="102" t="s">
        <v>551</v>
      </c>
      <c r="D90" s="102" t="s">
        <v>552</v>
      </c>
      <c r="E90" s="102">
        <v>18176</v>
      </c>
      <c r="F90" s="103">
        <v>10845565.189999999</v>
      </c>
      <c r="G90" s="247">
        <v>123.24505897727272</v>
      </c>
      <c r="H90" s="279">
        <v>6.7806480511263603E-3</v>
      </c>
      <c r="I90" s="280">
        <v>20800</v>
      </c>
      <c r="J90" s="102"/>
    </row>
    <row r="91" spans="1:10" hidden="1" x14ac:dyDescent="0.35">
      <c r="A91" s="102" t="s">
        <v>55</v>
      </c>
      <c r="B91" s="102" t="s">
        <v>677</v>
      </c>
      <c r="C91" s="102" t="s">
        <v>612</v>
      </c>
      <c r="D91" s="102" t="s">
        <v>613</v>
      </c>
      <c r="E91" s="102">
        <v>40000</v>
      </c>
      <c r="F91" s="103">
        <v>167819336.49000001</v>
      </c>
      <c r="G91" s="247">
        <v>1907.037914659091</v>
      </c>
      <c r="H91" s="279">
        <v>4.7675947866477275E-2</v>
      </c>
      <c r="I91" s="280">
        <v>24000</v>
      </c>
      <c r="J91" s="102"/>
    </row>
    <row r="92" spans="1:10" hidden="1" x14ac:dyDescent="0.35">
      <c r="A92" s="102" t="s">
        <v>485</v>
      </c>
      <c r="B92" s="102" t="s">
        <v>325</v>
      </c>
      <c r="C92" s="102" t="s">
        <v>326</v>
      </c>
      <c r="D92" s="102" t="s">
        <v>497</v>
      </c>
      <c r="E92" s="102">
        <v>22400</v>
      </c>
      <c r="F92" s="103">
        <v>2058199.19</v>
      </c>
      <c r="G92" s="247">
        <v>23.388627159090909</v>
      </c>
      <c r="H92" s="279">
        <v>1.0441351410308442E-3</v>
      </c>
      <c r="I92" s="280">
        <v>16200</v>
      </c>
      <c r="J92" s="102"/>
    </row>
    <row r="93" spans="1:10" hidden="1" x14ac:dyDescent="0.35">
      <c r="A93" s="102" t="s">
        <v>485</v>
      </c>
      <c r="B93" s="102" t="s">
        <v>325</v>
      </c>
      <c r="C93" s="102" t="s">
        <v>678</v>
      </c>
      <c r="D93" s="102" t="s">
        <v>679</v>
      </c>
      <c r="E93" s="102">
        <v>14040</v>
      </c>
      <c r="F93" s="103">
        <v>1811717.4200000002</v>
      </c>
      <c r="G93" s="247">
        <v>20.587697954545455</v>
      </c>
      <c r="H93" s="279">
        <v>1.4663602531727533E-3</v>
      </c>
      <c r="I93" s="280">
        <v>10140</v>
      </c>
      <c r="J93" s="102"/>
    </row>
    <row r="94" spans="1:10" hidden="1" x14ac:dyDescent="0.35">
      <c r="A94" s="102" t="s">
        <v>485</v>
      </c>
      <c r="B94" s="102" t="s">
        <v>315</v>
      </c>
      <c r="C94" s="102" t="s">
        <v>680</v>
      </c>
      <c r="D94" s="102" t="s">
        <v>681</v>
      </c>
      <c r="E94" s="102">
        <v>46600</v>
      </c>
      <c r="F94" s="103">
        <v>11435558.140000001</v>
      </c>
      <c r="G94" s="247">
        <v>129.94952431818183</v>
      </c>
      <c r="H94" s="279">
        <v>2.7886164016777217E-3</v>
      </c>
      <c r="I94" s="280">
        <v>4000</v>
      </c>
      <c r="J94" s="102">
        <v>26600</v>
      </c>
    </row>
    <row r="95" spans="1:10" hidden="1" x14ac:dyDescent="0.35">
      <c r="A95" s="102" t="s">
        <v>485</v>
      </c>
      <c r="B95" s="102" t="s">
        <v>315</v>
      </c>
      <c r="C95" s="102" t="s">
        <v>682</v>
      </c>
      <c r="D95" s="102" t="s">
        <v>683</v>
      </c>
      <c r="E95" s="102">
        <v>46900</v>
      </c>
      <c r="F95" s="103">
        <v>13422161.859999999</v>
      </c>
      <c r="G95" s="247">
        <v>152.52456659090907</v>
      </c>
      <c r="H95" s="279">
        <v>3.2521229550300443E-3</v>
      </c>
      <c r="I95" s="280">
        <v>4000</v>
      </c>
      <c r="J95" s="102">
        <v>26400</v>
      </c>
    </row>
    <row r="96" spans="1:10" hidden="1" x14ac:dyDescent="0.35">
      <c r="A96" s="102" t="s">
        <v>760</v>
      </c>
      <c r="B96" s="102" t="s">
        <v>761</v>
      </c>
      <c r="C96" s="102" t="s">
        <v>762</v>
      </c>
      <c r="D96" s="102" t="s">
        <v>763</v>
      </c>
      <c r="E96" s="102">
        <v>40</v>
      </c>
      <c r="F96" s="103">
        <v>7997.14</v>
      </c>
      <c r="G96" s="247">
        <v>9.0876590909090907E-2</v>
      </c>
      <c r="H96" s="279">
        <v>2.2719147727272727E-3</v>
      </c>
      <c r="I96" s="280"/>
      <c r="J96" s="103">
        <v>40</v>
      </c>
    </row>
    <row r="97" spans="1:10" hidden="1" x14ac:dyDescent="0.35">
      <c r="A97" s="102" t="s">
        <v>760</v>
      </c>
      <c r="B97" s="102" t="s">
        <v>761</v>
      </c>
      <c r="C97" s="102" t="s">
        <v>764</v>
      </c>
      <c r="D97" s="102" t="s">
        <v>765</v>
      </c>
      <c r="E97" s="102">
        <v>40</v>
      </c>
      <c r="F97" s="103">
        <v>7997.14</v>
      </c>
      <c r="G97" s="247">
        <v>9.0876590909090907E-2</v>
      </c>
      <c r="H97" s="279">
        <v>2.2719147727272727E-3</v>
      </c>
      <c r="I97" s="280"/>
      <c r="J97" s="103">
        <v>40</v>
      </c>
    </row>
    <row r="98" spans="1:10" hidden="1" x14ac:dyDescent="0.35">
      <c r="A98" s="102" t="s">
        <v>493</v>
      </c>
      <c r="B98" s="102" t="s">
        <v>766</v>
      </c>
      <c r="C98" s="102" t="s">
        <v>767</v>
      </c>
      <c r="D98" s="102" t="s">
        <v>768</v>
      </c>
      <c r="E98" s="102">
        <v>20</v>
      </c>
      <c r="F98" s="103">
        <v>4680</v>
      </c>
      <c r="G98" s="247">
        <v>5.3181818181818184E-2</v>
      </c>
      <c r="H98" s="279">
        <v>2.6590909090909091E-3</v>
      </c>
      <c r="I98" s="280"/>
      <c r="J98" s="103">
        <v>6740</v>
      </c>
    </row>
    <row r="99" spans="1:10" hidden="1" x14ac:dyDescent="0.35">
      <c r="A99" s="102" t="s">
        <v>760</v>
      </c>
      <c r="B99" s="102" t="s">
        <v>761</v>
      </c>
      <c r="C99" s="102" t="s">
        <v>769</v>
      </c>
      <c r="D99" s="102" t="s">
        <v>770</v>
      </c>
      <c r="E99" s="102">
        <v>20</v>
      </c>
      <c r="F99" s="103">
        <v>4680</v>
      </c>
      <c r="G99" s="247">
        <v>5.3181818181818184E-2</v>
      </c>
      <c r="H99" s="279">
        <v>2.6590909090909091E-3</v>
      </c>
      <c r="I99" s="280"/>
      <c r="J99" s="103">
        <v>5040</v>
      </c>
    </row>
    <row r="100" spans="1:10" hidden="1" x14ac:dyDescent="0.35">
      <c r="A100" s="102" t="s">
        <v>486</v>
      </c>
      <c r="B100" s="102" t="s">
        <v>540</v>
      </c>
      <c r="C100" s="102" t="s">
        <v>684</v>
      </c>
      <c r="D100" s="102" t="s">
        <v>539</v>
      </c>
      <c r="E100" s="102">
        <v>1400</v>
      </c>
      <c r="F100" s="103">
        <v>54770976.409999996</v>
      </c>
      <c r="G100" s="247">
        <v>622.39745920454538</v>
      </c>
      <c r="H100" s="279">
        <v>0.4445696137175324</v>
      </c>
      <c r="I100" s="280">
        <v>700</v>
      </c>
      <c r="J100" s="102"/>
    </row>
    <row r="101" spans="1:10" hidden="1" x14ac:dyDescent="0.35">
      <c r="A101" s="102" t="s">
        <v>486</v>
      </c>
      <c r="B101" s="102" t="s">
        <v>540</v>
      </c>
      <c r="C101" s="102" t="s">
        <v>685</v>
      </c>
      <c r="D101" s="102" t="s">
        <v>686</v>
      </c>
      <c r="E101" s="102">
        <v>1400</v>
      </c>
      <c r="F101" s="103">
        <v>53878940.960000001</v>
      </c>
      <c r="G101" s="247">
        <v>612.26069272727273</v>
      </c>
      <c r="H101" s="279">
        <v>0.43732906623376622</v>
      </c>
      <c r="I101" s="280">
        <v>700</v>
      </c>
      <c r="J101" s="102"/>
    </row>
    <row r="102" spans="1:10" hidden="1" x14ac:dyDescent="0.35">
      <c r="A102" s="102" t="s">
        <v>486</v>
      </c>
      <c r="B102" s="102" t="s">
        <v>540</v>
      </c>
      <c r="C102" s="102" t="s">
        <v>687</v>
      </c>
      <c r="D102" s="102" t="s">
        <v>539</v>
      </c>
      <c r="E102" s="102">
        <v>1400</v>
      </c>
      <c r="F102" s="103">
        <v>47902303.469999999</v>
      </c>
      <c r="G102" s="247">
        <v>544.34435761363636</v>
      </c>
      <c r="H102" s="279">
        <v>0.38881739829545453</v>
      </c>
      <c r="I102" s="280">
        <v>460</v>
      </c>
      <c r="J102" s="102"/>
    </row>
    <row r="103" spans="1:10" hidden="1" x14ac:dyDescent="0.35">
      <c r="A103" s="102" t="s">
        <v>486</v>
      </c>
      <c r="B103" s="102" t="s">
        <v>540</v>
      </c>
      <c r="C103" s="102" t="s">
        <v>688</v>
      </c>
      <c r="D103" s="102" t="s">
        <v>539</v>
      </c>
      <c r="E103" s="102">
        <v>1400</v>
      </c>
      <c r="F103" s="103">
        <v>48169914.109999999</v>
      </c>
      <c r="G103" s="247">
        <v>547.38538761363634</v>
      </c>
      <c r="H103" s="279">
        <v>0.39098956258116879</v>
      </c>
      <c r="I103" s="280">
        <v>340</v>
      </c>
      <c r="J103" s="102"/>
    </row>
    <row r="104" spans="1:10" hidden="1" x14ac:dyDescent="0.35">
      <c r="A104" s="102" t="s">
        <v>486</v>
      </c>
      <c r="B104" s="102" t="s">
        <v>540</v>
      </c>
      <c r="C104" s="102" t="s">
        <v>689</v>
      </c>
      <c r="D104" s="102" t="s">
        <v>539</v>
      </c>
      <c r="E104" s="102">
        <v>1400</v>
      </c>
      <c r="F104" s="103">
        <v>54592569.32</v>
      </c>
      <c r="G104" s="247">
        <v>620.37010590909097</v>
      </c>
      <c r="H104" s="279">
        <v>0.44312150422077928</v>
      </c>
      <c r="I104" s="280">
        <v>700</v>
      </c>
      <c r="J104" s="102"/>
    </row>
    <row r="105" spans="1:10" hidden="1" x14ac:dyDescent="0.35">
      <c r="A105" s="102" t="s">
        <v>486</v>
      </c>
      <c r="B105" s="102" t="s">
        <v>540</v>
      </c>
      <c r="C105" s="102" t="s">
        <v>690</v>
      </c>
      <c r="D105" s="102" t="s">
        <v>539</v>
      </c>
      <c r="E105" s="102">
        <v>1400</v>
      </c>
      <c r="F105" s="103">
        <v>47010268.030000001</v>
      </c>
      <c r="G105" s="247">
        <v>534.20759125000006</v>
      </c>
      <c r="H105" s="279">
        <v>0.3815768508928572</v>
      </c>
      <c r="I105" s="280">
        <v>684</v>
      </c>
      <c r="J105" s="102"/>
    </row>
    <row r="106" spans="1:10" hidden="1" x14ac:dyDescent="0.35">
      <c r="A106" s="102" t="s">
        <v>486</v>
      </c>
      <c r="B106" s="102" t="s">
        <v>540</v>
      </c>
      <c r="C106" s="102" t="s">
        <v>691</v>
      </c>
      <c r="D106" s="102" t="s">
        <v>539</v>
      </c>
      <c r="E106" s="102">
        <v>1400</v>
      </c>
      <c r="F106" s="103">
        <v>47188675.109999999</v>
      </c>
      <c r="G106" s="247">
        <v>536.23494443181812</v>
      </c>
      <c r="H106" s="279">
        <v>0.38302496030844152</v>
      </c>
      <c r="I106" s="280">
        <v>444</v>
      </c>
      <c r="J106" s="102"/>
    </row>
    <row r="107" spans="1:10" hidden="1" x14ac:dyDescent="0.35">
      <c r="A107" s="102" t="s">
        <v>486</v>
      </c>
      <c r="B107" s="102" t="s">
        <v>540</v>
      </c>
      <c r="C107" s="102" t="s">
        <v>692</v>
      </c>
      <c r="D107" s="102" t="s">
        <v>539</v>
      </c>
      <c r="E107" s="102">
        <v>1400</v>
      </c>
      <c r="F107" s="103">
        <v>53700533.869999997</v>
      </c>
      <c r="G107" s="247">
        <v>610.23333943181819</v>
      </c>
      <c r="H107" s="279">
        <v>0.43588095673701299</v>
      </c>
      <c r="I107" s="280">
        <v>492</v>
      </c>
      <c r="J107" s="102"/>
    </row>
    <row r="108" spans="1:10" hidden="1" x14ac:dyDescent="0.35">
      <c r="A108" s="102" t="s">
        <v>486</v>
      </c>
      <c r="B108" s="102" t="s">
        <v>316</v>
      </c>
      <c r="C108" s="102" t="s">
        <v>602</v>
      </c>
      <c r="D108" s="102" t="s">
        <v>603</v>
      </c>
      <c r="E108" s="102">
        <v>19632</v>
      </c>
      <c r="F108" s="103">
        <v>222755937.94999999</v>
      </c>
      <c r="G108" s="247">
        <v>2531.3174767045452</v>
      </c>
      <c r="H108" s="279">
        <v>0.12893833927794138</v>
      </c>
      <c r="I108" s="280">
        <v>12929</v>
      </c>
      <c r="J108" s="102">
        <v>5000</v>
      </c>
    </row>
    <row r="109" spans="1:10" hidden="1" x14ac:dyDescent="0.35">
      <c r="A109" s="102" t="s">
        <v>486</v>
      </c>
      <c r="B109" s="102" t="s">
        <v>316</v>
      </c>
      <c r="C109" s="102" t="s">
        <v>498</v>
      </c>
      <c r="D109" s="102" t="s">
        <v>499</v>
      </c>
      <c r="E109" s="102">
        <v>4000</v>
      </c>
      <c r="F109" s="103">
        <v>36768324.350000001</v>
      </c>
      <c r="G109" s="247">
        <v>417.82186761363636</v>
      </c>
      <c r="H109" s="279">
        <v>0.10445546690340909</v>
      </c>
      <c r="I109" s="280">
        <v>3875</v>
      </c>
      <c r="J109" s="102"/>
    </row>
    <row r="110" spans="1:10" hidden="1" x14ac:dyDescent="0.35">
      <c r="A110" s="102" t="s">
        <v>486</v>
      </c>
      <c r="B110" s="102" t="s">
        <v>316</v>
      </c>
      <c r="C110" s="102" t="s">
        <v>501</v>
      </c>
      <c r="D110" s="102" t="s">
        <v>502</v>
      </c>
      <c r="E110" s="102">
        <v>4002</v>
      </c>
      <c r="F110" s="103">
        <v>44176892.900000006</v>
      </c>
      <c r="G110" s="247">
        <v>502.01014659090913</v>
      </c>
      <c r="H110" s="279">
        <v>0.12543981673935761</v>
      </c>
      <c r="I110" s="280">
        <v>3750</v>
      </c>
      <c r="J110" s="102"/>
    </row>
    <row r="111" spans="1:10" hidden="1" x14ac:dyDescent="0.35">
      <c r="A111" s="102" t="s">
        <v>485</v>
      </c>
      <c r="B111" s="102" t="s">
        <v>315</v>
      </c>
      <c r="C111" s="102" t="s">
        <v>693</v>
      </c>
      <c r="D111" s="102" t="s">
        <v>694</v>
      </c>
      <c r="E111" s="102">
        <v>16000</v>
      </c>
      <c r="F111" s="103">
        <v>2755007.1100000003</v>
      </c>
      <c r="G111" s="247">
        <v>31.306898977272731</v>
      </c>
      <c r="H111" s="279">
        <v>1.9566811860795455E-3</v>
      </c>
      <c r="I111" s="280">
        <v>12000</v>
      </c>
      <c r="J111" s="102"/>
    </row>
    <row r="112" spans="1:10" hidden="1" x14ac:dyDescent="0.35">
      <c r="A112" s="102" t="s">
        <v>760</v>
      </c>
      <c r="B112" s="102" t="s">
        <v>761</v>
      </c>
      <c r="C112" s="102" t="s">
        <v>771</v>
      </c>
      <c r="D112" s="102" t="s">
        <v>772</v>
      </c>
      <c r="E112" s="102">
        <v>20</v>
      </c>
      <c r="F112" s="103">
        <v>32245.71</v>
      </c>
      <c r="G112" s="247">
        <v>0.36642852272727272</v>
      </c>
      <c r="H112" s="279">
        <v>1.8321426136363637E-2</v>
      </c>
      <c r="I112" s="280"/>
      <c r="J112" s="103">
        <v>20</v>
      </c>
    </row>
    <row r="113" spans="1:14" hidden="1" x14ac:dyDescent="0.35">
      <c r="A113" s="102" t="s">
        <v>760</v>
      </c>
      <c r="B113" s="102" t="s">
        <v>761</v>
      </c>
      <c r="C113" s="102" t="s">
        <v>773</v>
      </c>
      <c r="D113" s="102" t="s">
        <v>774</v>
      </c>
      <c r="E113" s="102">
        <v>20</v>
      </c>
      <c r="F113" s="103">
        <v>32245.71</v>
      </c>
      <c r="G113" s="247">
        <v>0.36642852272727272</v>
      </c>
      <c r="H113" s="279">
        <v>1.8321426136363637E-2</v>
      </c>
      <c r="I113" s="280"/>
      <c r="J113" s="103">
        <v>20</v>
      </c>
    </row>
    <row r="114" spans="1:14" hidden="1" x14ac:dyDescent="0.35">
      <c r="A114" s="102" t="s">
        <v>486</v>
      </c>
      <c r="B114" s="102" t="s">
        <v>316</v>
      </c>
      <c r="C114" s="102" t="s">
        <v>339</v>
      </c>
      <c r="D114" s="102" t="s">
        <v>542</v>
      </c>
      <c r="E114" s="102">
        <v>10621</v>
      </c>
      <c r="F114" s="103">
        <v>165091805.06</v>
      </c>
      <c r="G114" s="247">
        <v>1876.0432393181818</v>
      </c>
      <c r="H114" s="279">
        <v>0.17663527345053967</v>
      </c>
      <c r="I114" s="280">
        <v>6298</v>
      </c>
      <c r="J114" s="102">
        <v>10000</v>
      </c>
    </row>
    <row r="115" spans="1:14" hidden="1" x14ac:dyDescent="0.35">
      <c r="A115" s="102" t="s">
        <v>486</v>
      </c>
      <c r="B115" s="102" t="s">
        <v>341</v>
      </c>
      <c r="C115" s="102" t="s">
        <v>775</v>
      </c>
      <c r="D115" s="102" t="s">
        <v>776</v>
      </c>
      <c r="E115" s="102">
        <v>10823</v>
      </c>
      <c r="F115" s="103">
        <v>36435776.950000003</v>
      </c>
      <c r="G115" s="247">
        <v>414.04291988636368</v>
      </c>
      <c r="H115" s="279">
        <v>3.8255836633684162E-2</v>
      </c>
      <c r="I115" s="280">
        <v>10823</v>
      </c>
      <c r="J115" s="102"/>
    </row>
    <row r="116" spans="1:14" hidden="1" x14ac:dyDescent="0.35">
      <c r="A116" s="102" t="s">
        <v>486</v>
      </c>
      <c r="B116" s="102" t="s">
        <v>341</v>
      </c>
      <c r="C116" s="102" t="s">
        <v>604</v>
      </c>
      <c r="D116" s="102" t="s">
        <v>605</v>
      </c>
      <c r="E116" s="102">
        <v>200</v>
      </c>
      <c r="F116" s="103">
        <v>1667873.83</v>
      </c>
      <c r="G116" s="247">
        <v>18.953111704545456</v>
      </c>
      <c r="H116" s="279">
        <v>9.4765558522727278E-2</v>
      </c>
      <c r="I116" s="280">
        <v>200</v>
      </c>
      <c r="J116" s="102"/>
    </row>
    <row r="117" spans="1:14" hidden="1" x14ac:dyDescent="0.35">
      <c r="A117" s="102" t="s">
        <v>486</v>
      </c>
      <c r="B117" s="102" t="s">
        <v>341</v>
      </c>
      <c r="C117" s="102" t="s">
        <v>777</v>
      </c>
      <c r="D117" s="102" t="s">
        <v>605</v>
      </c>
      <c r="E117" s="102">
        <v>1000</v>
      </c>
      <c r="F117" s="103">
        <v>6913392.5300000003</v>
      </c>
      <c r="G117" s="247">
        <v>78.56127875</v>
      </c>
      <c r="H117" s="279">
        <v>7.8561278750000005E-2</v>
      </c>
      <c r="I117" s="280">
        <v>1000</v>
      </c>
      <c r="J117" s="102">
        <v>5000</v>
      </c>
    </row>
    <row r="118" spans="1:14" hidden="1" x14ac:dyDescent="0.35">
      <c r="A118" s="102" t="s">
        <v>486</v>
      </c>
      <c r="B118" s="102" t="s">
        <v>341</v>
      </c>
      <c r="C118" s="102" t="s">
        <v>505</v>
      </c>
      <c r="D118" s="102" t="s">
        <v>506</v>
      </c>
      <c r="E118" s="102">
        <v>2062</v>
      </c>
      <c r="F118" s="103">
        <v>14613750.529999999</v>
      </c>
      <c r="G118" s="247">
        <v>166.06534693181817</v>
      </c>
      <c r="H118" s="279">
        <v>8.0536055738030146E-2</v>
      </c>
      <c r="I118" s="280">
        <v>631</v>
      </c>
      <c r="J118" s="102"/>
    </row>
    <row r="119" spans="1:14" hidden="1" x14ac:dyDescent="0.35">
      <c r="A119" s="102" t="s">
        <v>760</v>
      </c>
      <c r="B119" s="102" t="s">
        <v>761</v>
      </c>
      <c r="C119" s="102" t="s">
        <v>778</v>
      </c>
      <c r="D119" s="102" t="s">
        <v>779</v>
      </c>
      <c r="E119" s="102">
        <v>20</v>
      </c>
      <c r="F119" s="103">
        <v>26832.86</v>
      </c>
      <c r="G119" s="247">
        <v>0.30491886363636367</v>
      </c>
      <c r="H119" s="279">
        <v>1.5245943181818183E-2</v>
      </c>
      <c r="I119" s="280"/>
      <c r="J119" s="103">
        <v>20</v>
      </c>
    </row>
    <row r="120" spans="1:14" hidden="1" x14ac:dyDescent="0.35">
      <c r="A120" s="102" t="s">
        <v>760</v>
      </c>
      <c r="B120" s="102" t="s">
        <v>761</v>
      </c>
      <c r="C120" s="102" t="s">
        <v>780</v>
      </c>
      <c r="D120" s="102" t="s">
        <v>781</v>
      </c>
      <c r="E120" s="102">
        <v>20</v>
      </c>
      <c r="F120" s="103">
        <v>26832.86</v>
      </c>
      <c r="G120" s="247">
        <v>0.30491886363636367</v>
      </c>
      <c r="H120" s="279">
        <v>1.5245943181818183E-2</v>
      </c>
      <c r="I120" s="280"/>
      <c r="J120" s="103">
        <v>20</v>
      </c>
    </row>
    <row r="121" spans="1:14" hidden="1" x14ac:dyDescent="0.35">
      <c r="A121" s="102" t="s">
        <v>43</v>
      </c>
      <c r="B121" s="102" t="s">
        <v>340</v>
      </c>
      <c r="C121" s="102" t="s">
        <v>606</v>
      </c>
      <c r="D121" s="102" t="s">
        <v>607</v>
      </c>
      <c r="E121" s="102">
        <v>6810</v>
      </c>
      <c r="F121" s="103">
        <v>18852103.850000001</v>
      </c>
      <c r="G121" s="247">
        <v>214.22845284090911</v>
      </c>
      <c r="H121" s="279">
        <v>3.1457922590441868E-2</v>
      </c>
      <c r="I121" s="280">
        <v>6258</v>
      </c>
      <c r="J121" s="102"/>
    </row>
    <row r="122" spans="1:14" hidden="1" x14ac:dyDescent="0.35">
      <c r="A122" s="102" t="s">
        <v>486</v>
      </c>
      <c r="B122" s="102" t="s">
        <v>341</v>
      </c>
      <c r="C122" s="102" t="s">
        <v>406</v>
      </c>
      <c r="D122" s="102" t="s">
        <v>508</v>
      </c>
      <c r="E122" s="102">
        <v>680</v>
      </c>
      <c r="F122" s="103">
        <v>3134017.87</v>
      </c>
      <c r="G122" s="247">
        <v>35.613839431818185</v>
      </c>
      <c r="H122" s="279">
        <v>5.2373293282085565E-2</v>
      </c>
      <c r="I122" s="280">
        <v>680</v>
      </c>
      <c r="J122" s="102"/>
    </row>
    <row r="123" spans="1:14" hidden="1" x14ac:dyDescent="0.35">
      <c r="A123" s="102" t="s">
        <v>486</v>
      </c>
      <c r="B123" s="102" t="s">
        <v>341</v>
      </c>
      <c r="C123" s="102" t="s">
        <v>695</v>
      </c>
      <c r="D123" s="102" t="s">
        <v>696</v>
      </c>
      <c r="E123" s="102">
        <v>1010</v>
      </c>
      <c r="F123" s="103">
        <v>6963168.96</v>
      </c>
      <c r="G123" s="247">
        <v>79.126919999999998</v>
      </c>
      <c r="H123" s="279">
        <v>7.8343485148514844E-2</v>
      </c>
      <c r="I123" s="280">
        <v>1000</v>
      </c>
      <c r="J123" s="102">
        <v>5000</v>
      </c>
    </row>
    <row r="124" spans="1:14" hidden="1" x14ac:dyDescent="0.35">
      <c r="A124" s="102" t="s">
        <v>493</v>
      </c>
      <c r="B124" s="102" t="s">
        <v>494</v>
      </c>
      <c r="C124" s="102" t="s">
        <v>697</v>
      </c>
      <c r="D124" s="102" t="s">
        <v>698</v>
      </c>
      <c r="E124" s="102">
        <v>10</v>
      </c>
      <c r="F124" s="103">
        <v>531499.97</v>
      </c>
      <c r="G124" s="247">
        <v>6.0397723863636363</v>
      </c>
      <c r="H124" s="279">
        <v>0.60397723863636366</v>
      </c>
      <c r="I124" s="280">
        <v>10</v>
      </c>
      <c r="J124" s="102"/>
    </row>
    <row r="125" spans="1:14" hidden="1" x14ac:dyDescent="0.35">
      <c r="A125" s="102" t="s">
        <v>760</v>
      </c>
      <c r="B125" s="102" t="s">
        <v>761</v>
      </c>
      <c r="C125" s="102" t="s">
        <v>782</v>
      </c>
      <c r="D125" s="102" t="s">
        <v>783</v>
      </c>
      <c r="E125" s="102">
        <v>120</v>
      </c>
      <c r="F125" s="103">
        <v>380678.55</v>
      </c>
      <c r="G125" s="247">
        <v>4.3258926136363636</v>
      </c>
      <c r="H125" s="279">
        <v>3.6049105113636362E-2</v>
      </c>
      <c r="I125" s="280"/>
      <c r="J125" s="103">
        <v>120</v>
      </c>
    </row>
    <row r="126" spans="1:14" hidden="1" x14ac:dyDescent="0.35">
      <c r="A126" s="102" t="s">
        <v>486</v>
      </c>
      <c r="B126" s="102" t="s">
        <v>554</v>
      </c>
      <c r="C126" s="102" t="s">
        <v>543</v>
      </c>
      <c r="D126" s="102" t="s">
        <v>555</v>
      </c>
      <c r="E126" s="102">
        <v>2666</v>
      </c>
      <c r="F126" s="103">
        <v>84226730.209999993</v>
      </c>
      <c r="G126" s="247">
        <v>957.12193420454537</v>
      </c>
      <c r="H126" s="279">
        <v>0.35901047794619106</v>
      </c>
      <c r="I126" s="280">
        <v>2000</v>
      </c>
      <c r="J126" s="102"/>
    </row>
    <row r="127" spans="1:14" hidden="1" x14ac:dyDescent="0.35">
      <c r="A127" s="102" t="s">
        <v>55</v>
      </c>
      <c r="B127" s="102" t="s">
        <v>699</v>
      </c>
      <c r="C127" s="102" t="s">
        <v>618</v>
      </c>
      <c r="D127" s="102" t="s">
        <v>700</v>
      </c>
      <c r="E127" s="102">
        <v>547</v>
      </c>
      <c r="F127" s="103">
        <v>16999221.75</v>
      </c>
      <c r="G127" s="247">
        <v>193.17297443181818</v>
      </c>
      <c r="H127" s="279">
        <v>0.35314986184975899</v>
      </c>
      <c r="I127" s="280">
        <v>547</v>
      </c>
      <c r="J127" s="102"/>
    </row>
    <row r="128" spans="1:14" x14ac:dyDescent="0.35">
      <c r="A128" s="102" t="s">
        <v>233</v>
      </c>
      <c r="B128" s="102" t="s">
        <v>254</v>
      </c>
      <c r="C128" s="102" t="s">
        <v>585</v>
      </c>
      <c r="D128" s="102" t="s">
        <v>512</v>
      </c>
      <c r="E128" s="102">
        <v>792</v>
      </c>
      <c r="F128" s="103">
        <v>292209.7</v>
      </c>
      <c r="G128" s="247">
        <v>3.3205647727272729</v>
      </c>
      <c r="H128" s="279">
        <v>4.1926322887970617E-3</v>
      </c>
      <c r="I128" s="280">
        <v>792</v>
      </c>
      <c r="J128" s="102"/>
      <c r="K128" s="86">
        <v>3.3E-3</v>
      </c>
      <c r="L128" s="86">
        <v>3.0000000000000001E-3</v>
      </c>
      <c r="M128" s="86">
        <f t="shared" ref="M128:M173" si="2">I128*K128</f>
        <v>2.6135999999999999</v>
      </c>
      <c r="N128" s="86">
        <f t="shared" ref="N128:N173" si="3">I128*L128</f>
        <v>2.3759999999999999</v>
      </c>
    </row>
    <row r="129" spans="1:14" x14ac:dyDescent="0.35">
      <c r="A129" s="102" t="s">
        <v>233</v>
      </c>
      <c r="B129" s="102" t="s">
        <v>254</v>
      </c>
      <c r="C129" s="102" t="s">
        <v>586</v>
      </c>
      <c r="D129" s="102" t="s">
        <v>510</v>
      </c>
      <c r="E129" s="102">
        <v>792</v>
      </c>
      <c r="F129" s="103">
        <v>124735.01</v>
      </c>
      <c r="G129" s="247">
        <v>1.4174432954545455</v>
      </c>
      <c r="H129" s="279">
        <v>1.7897011306244261E-3</v>
      </c>
      <c r="I129" s="280">
        <v>528</v>
      </c>
      <c r="J129" s="102"/>
      <c r="K129" s="86">
        <f>VLOOKUP(C129,'[4]PB Order'!$C$11:$G$120,5,0)</f>
        <v>1.9E-3</v>
      </c>
      <c r="L129" s="86">
        <v>3.0000000000000001E-3</v>
      </c>
      <c r="M129" s="86">
        <f t="shared" si="2"/>
        <v>1.0032000000000001</v>
      </c>
      <c r="N129" s="86">
        <f t="shared" si="3"/>
        <v>1.5840000000000001</v>
      </c>
    </row>
    <row r="130" spans="1:14" x14ac:dyDescent="0.35">
      <c r="A130" s="102" t="s">
        <v>233</v>
      </c>
      <c r="B130" s="102" t="s">
        <v>254</v>
      </c>
      <c r="C130" s="102" t="s">
        <v>701</v>
      </c>
      <c r="D130" s="102" t="s">
        <v>510</v>
      </c>
      <c r="E130" s="102">
        <v>132</v>
      </c>
      <c r="F130" s="103">
        <v>39014.300000000003</v>
      </c>
      <c r="G130" s="247">
        <v>0.44334431818181824</v>
      </c>
      <c r="H130" s="279">
        <v>3.3586690771349867E-3</v>
      </c>
      <c r="I130" s="280">
        <v>132</v>
      </c>
      <c r="J130" s="102"/>
      <c r="K130" s="86">
        <v>3.3E-3</v>
      </c>
      <c r="L130" s="86">
        <v>3.0000000000000001E-3</v>
      </c>
      <c r="M130" s="86">
        <f t="shared" si="2"/>
        <v>0.43559999999999999</v>
      </c>
      <c r="N130" s="86">
        <f t="shared" si="3"/>
        <v>0.39600000000000002</v>
      </c>
    </row>
    <row r="131" spans="1:14" x14ac:dyDescent="0.35">
      <c r="A131" s="102" t="s">
        <v>233</v>
      </c>
      <c r="B131" s="102" t="s">
        <v>254</v>
      </c>
      <c r="C131" s="102" t="s">
        <v>576</v>
      </c>
      <c r="D131" s="102" t="s">
        <v>510</v>
      </c>
      <c r="E131" s="102">
        <v>594</v>
      </c>
      <c r="F131" s="103">
        <v>121419.39</v>
      </c>
      <c r="G131" s="247">
        <v>1.3797657954545455</v>
      </c>
      <c r="H131" s="279">
        <v>2.3228380394857669E-3</v>
      </c>
      <c r="I131" s="280">
        <v>594</v>
      </c>
      <c r="J131" s="102"/>
      <c r="K131" s="86">
        <v>3.3E-3</v>
      </c>
      <c r="L131" s="86">
        <v>3.0000000000000001E-3</v>
      </c>
      <c r="M131" s="86">
        <f t="shared" si="2"/>
        <v>1.9601999999999999</v>
      </c>
      <c r="N131" s="86">
        <f t="shared" si="3"/>
        <v>1.782</v>
      </c>
    </row>
    <row r="132" spans="1:14" x14ac:dyDescent="0.35">
      <c r="A132" s="102" t="s">
        <v>233</v>
      </c>
      <c r="B132" s="102" t="s">
        <v>254</v>
      </c>
      <c r="C132" s="102" t="s">
        <v>702</v>
      </c>
      <c r="D132" s="102" t="s">
        <v>510</v>
      </c>
      <c r="E132" s="102">
        <v>198</v>
      </c>
      <c r="F132" s="103">
        <v>50256.29</v>
      </c>
      <c r="G132" s="247">
        <v>0.57109420454545456</v>
      </c>
      <c r="H132" s="279">
        <v>2.8843141643709828E-3</v>
      </c>
      <c r="I132" s="280">
        <v>198</v>
      </c>
      <c r="J132" s="102"/>
      <c r="K132" s="86">
        <v>3.3E-3</v>
      </c>
      <c r="L132" s="86">
        <v>3.0000000000000001E-3</v>
      </c>
      <c r="M132" s="86">
        <f t="shared" si="2"/>
        <v>0.65339999999999998</v>
      </c>
      <c r="N132" s="86">
        <f t="shared" si="3"/>
        <v>0.59399999999999997</v>
      </c>
    </row>
    <row r="133" spans="1:14" x14ac:dyDescent="0.35">
      <c r="A133" s="102" t="s">
        <v>233</v>
      </c>
      <c r="B133" s="102" t="s">
        <v>254</v>
      </c>
      <c r="C133" s="102" t="s">
        <v>784</v>
      </c>
      <c r="D133" s="102" t="s">
        <v>510</v>
      </c>
      <c r="E133" s="102">
        <v>10</v>
      </c>
      <c r="F133" s="103">
        <v>4079.09</v>
      </c>
      <c r="G133" s="247">
        <v>4.635329545454546E-2</v>
      </c>
      <c r="H133" s="279">
        <v>4.6353295454545458E-3</v>
      </c>
      <c r="I133" s="280">
        <v>10</v>
      </c>
      <c r="J133" s="102"/>
      <c r="K133" s="86">
        <f>VLOOKUP(C133,'[4]PB Order'!$C$11:$G$120,5,0)</f>
        <v>2E-3</v>
      </c>
      <c r="L133" s="86">
        <v>3.0000000000000001E-3</v>
      </c>
      <c r="M133" s="86">
        <f t="shared" si="2"/>
        <v>0.02</v>
      </c>
      <c r="N133" s="86">
        <f t="shared" si="3"/>
        <v>0.03</v>
      </c>
    </row>
    <row r="134" spans="1:14" x14ac:dyDescent="0.35">
      <c r="A134" s="102" t="s">
        <v>233</v>
      </c>
      <c r="B134" s="102" t="s">
        <v>254</v>
      </c>
      <c r="C134" s="102" t="s">
        <v>703</v>
      </c>
      <c r="D134" s="102" t="s">
        <v>510</v>
      </c>
      <c r="E134" s="102">
        <v>660</v>
      </c>
      <c r="F134" s="103">
        <v>125233.03</v>
      </c>
      <c r="G134" s="247">
        <v>1.4231026136363636</v>
      </c>
      <c r="H134" s="279">
        <v>2.1562160812672176E-3</v>
      </c>
      <c r="I134" s="280">
        <v>660</v>
      </c>
      <c r="J134" s="102"/>
      <c r="K134" s="86">
        <v>3.3E-3</v>
      </c>
      <c r="L134" s="86">
        <v>3.0000000000000001E-3</v>
      </c>
      <c r="M134" s="86">
        <f t="shared" si="2"/>
        <v>2.1779999999999999</v>
      </c>
      <c r="N134" s="86">
        <f t="shared" si="3"/>
        <v>1.98</v>
      </c>
    </row>
    <row r="135" spans="1:14" x14ac:dyDescent="0.35">
      <c r="A135" s="102" t="s">
        <v>233</v>
      </c>
      <c r="B135" s="102" t="s">
        <v>254</v>
      </c>
      <c r="C135" s="102" t="s">
        <v>704</v>
      </c>
      <c r="D135" s="102" t="s">
        <v>510</v>
      </c>
      <c r="E135" s="102">
        <v>264</v>
      </c>
      <c r="F135" s="103">
        <v>119491.34</v>
      </c>
      <c r="G135" s="247">
        <v>1.3578561363636363</v>
      </c>
      <c r="H135" s="279">
        <v>5.1433944559228645E-3</v>
      </c>
      <c r="I135" s="280">
        <v>264</v>
      </c>
      <c r="J135" s="102"/>
      <c r="K135" s="86">
        <v>3.3E-3</v>
      </c>
      <c r="L135" s="86">
        <v>3.0000000000000001E-3</v>
      </c>
      <c r="M135" s="86">
        <f t="shared" si="2"/>
        <v>0.87119999999999997</v>
      </c>
      <c r="N135" s="86">
        <f t="shared" si="3"/>
        <v>0.79200000000000004</v>
      </c>
    </row>
    <row r="136" spans="1:14" x14ac:dyDescent="0.35">
      <c r="A136" s="102" t="s">
        <v>233</v>
      </c>
      <c r="B136" s="102" t="s">
        <v>254</v>
      </c>
      <c r="C136" s="102" t="s">
        <v>705</v>
      </c>
      <c r="D136" s="102" t="s">
        <v>510</v>
      </c>
      <c r="E136" s="102">
        <v>462</v>
      </c>
      <c r="F136" s="103">
        <v>166638.5</v>
      </c>
      <c r="G136" s="247">
        <v>1.8936193181818182</v>
      </c>
      <c r="H136" s="279">
        <v>4.0987431129476583E-3</v>
      </c>
      <c r="I136" s="280">
        <v>462</v>
      </c>
      <c r="J136" s="102"/>
      <c r="K136" s="86">
        <v>3.3E-3</v>
      </c>
      <c r="L136" s="86">
        <v>3.0000000000000001E-3</v>
      </c>
      <c r="M136" s="86">
        <f t="shared" si="2"/>
        <v>1.5246</v>
      </c>
      <c r="N136" s="86">
        <f t="shared" si="3"/>
        <v>1.3860000000000001</v>
      </c>
    </row>
    <row r="137" spans="1:14" x14ac:dyDescent="0.35">
      <c r="A137" s="102" t="s">
        <v>233</v>
      </c>
      <c r="B137" s="102" t="s">
        <v>254</v>
      </c>
      <c r="C137" s="102" t="s">
        <v>706</v>
      </c>
      <c r="D137" s="102" t="s">
        <v>510</v>
      </c>
      <c r="E137" s="102">
        <v>660</v>
      </c>
      <c r="F137" s="103">
        <v>53625.58</v>
      </c>
      <c r="G137" s="247">
        <v>0.60938159090909094</v>
      </c>
      <c r="H137" s="279">
        <v>9.2330544077134989E-4</v>
      </c>
      <c r="I137" s="280">
        <v>660</v>
      </c>
      <c r="J137" s="102"/>
      <c r="K137" s="86">
        <v>3.3E-3</v>
      </c>
      <c r="L137" s="86">
        <v>3.0000000000000001E-3</v>
      </c>
      <c r="M137" s="86">
        <f t="shared" si="2"/>
        <v>2.1779999999999999</v>
      </c>
      <c r="N137" s="86">
        <f t="shared" si="3"/>
        <v>1.98</v>
      </c>
    </row>
    <row r="138" spans="1:14" x14ac:dyDescent="0.35">
      <c r="A138" s="102" t="s">
        <v>233</v>
      </c>
      <c r="B138" s="102" t="s">
        <v>254</v>
      </c>
      <c r="C138" s="102" t="s">
        <v>707</v>
      </c>
      <c r="D138" s="102" t="s">
        <v>521</v>
      </c>
      <c r="E138" s="102">
        <v>1848</v>
      </c>
      <c r="F138" s="103">
        <v>285072.48</v>
      </c>
      <c r="G138" s="247">
        <v>3.2394599999999998</v>
      </c>
      <c r="H138" s="279">
        <v>1.7529545454545454E-3</v>
      </c>
      <c r="I138" s="280">
        <v>1848</v>
      </c>
      <c r="J138" s="102"/>
      <c r="K138" s="86">
        <v>3.3E-3</v>
      </c>
      <c r="L138" s="86">
        <v>3.0000000000000001E-3</v>
      </c>
      <c r="M138" s="86">
        <f t="shared" si="2"/>
        <v>6.0983999999999998</v>
      </c>
      <c r="N138" s="86">
        <f t="shared" si="3"/>
        <v>5.5440000000000005</v>
      </c>
    </row>
    <row r="139" spans="1:14" x14ac:dyDescent="0.35">
      <c r="A139" s="102" t="s">
        <v>233</v>
      </c>
      <c r="B139" s="102" t="s">
        <v>254</v>
      </c>
      <c r="C139" s="102" t="s">
        <v>708</v>
      </c>
      <c r="D139" s="102" t="s">
        <v>510</v>
      </c>
      <c r="E139" s="102">
        <v>264</v>
      </c>
      <c r="F139" s="103">
        <v>117967.92</v>
      </c>
      <c r="G139" s="247">
        <v>1.3405445454545455</v>
      </c>
      <c r="H139" s="279">
        <v>5.0778202479338846E-3</v>
      </c>
      <c r="I139" s="280">
        <v>264</v>
      </c>
      <c r="J139" s="102"/>
      <c r="K139" s="86">
        <v>3.3E-3</v>
      </c>
      <c r="L139" s="86">
        <v>3.0000000000000001E-3</v>
      </c>
      <c r="M139" s="86">
        <f t="shared" si="2"/>
        <v>0.87119999999999997</v>
      </c>
      <c r="N139" s="86">
        <f t="shared" si="3"/>
        <v>0.79200000000000004</v>
      </c>
    </row>
    <row r="140" spans="1:14" x14ac:dyDescent="0.35">
      <c r="A140" s="102" t="s">
        <v>233</v>
      </c>
      <c r="B140" s="102" t="s">
        <v>246</v>
      </c>
      <c r="C140" s="102" t="s">
        <v>709</v>
      </c>
      <c r="D140" s="102" t="s">
        <v>514</v>
      </c>
      <c r="E140" s="102">
        <v>264</v>
      </c>
      <c r="F140" s="103">
        <v>47747.41</v>
      </c>
      <c r="G140" s="247">
        <v>0.54258420454545464</v>
      </c>
      <c r="H140" s="279">
        <v>2.055243199035813E-3</v>
      </c>
      <c r="I140" s="280">
        <v>264</v>
      </c>
      <c r="J140" s="102"/>
      <c r="K140" s="86">
        <v>3.3E-3</v>
      </c>
      <c r="L140" s="86">
        <v>3.0000000000000001E-3</v>
      </c>
      <c r="M140" s="86">
        <f t="shared" si="2"/>
        <v>0.87119999999999997</v>
      </c>
      <c r="N140" s="86">
        <f t="shared" si="3"/>
        <v>0.79200000000000004</v>
      </c>
    </row>
    <row r="141" spans="1:14" x14ac:dyDescent="0.35">
      <c r="A141" s="102" t="s">
        <v>233</v>
      </c>
      <c r="B141" s="102" t="s">
        <v>246</v>
      </c>
      <c r="C141" s="102" t="s">
        <v>710</v>
      </c>
      <c r="D141" s="102" t="s">
        <v>514</v>
      </c>
      <c r="E141" s="102">
        <v>264</v>
      </c>
      <c r="F141" s="103">
        <v>37028.589999999997</v>
      </c>
      <c r="G141" s="247">
        <v>0.42077943181818178</v>
      </c>
      <c r="H141" s="279">
        <v>1.5938614841597796E-3</v>
      </c>
      <c r="I141" s="280">
        <v>264</v>
      </c>
      <c r="J141" s="102"/>
      <c r="K141" s="86">
        <v>3.3E-3</v>
      </c>
      <c r="L141" s="86">
        <v>3.0000000000000001E-3</v>
      </c>
      <c r="M141" s="86">
        <f t="shared" si="2"/>
        <v>0.87119999999999997</v>
      </c>
      <c r="N141" s="86">
        <f t="shared" si="3"/>
        <v>0.79200000000000004</v>
      </c>
    </row>
    <row r="142" spans="1:14" x14ac:dyDescent="0.35">
      <c r="A142" s="102" t="s">
        <v>233</v>
      </c>
      <c r="B142" s="102" t="s">
        <v>246</v>
      </c>
      <c r="C142" s="102" t="s">
        <v>711</v>
      </c>
      <c r="D142" s="102" t="s">
        <v>514</v>
      </c>
      <c r="E142" s="102">
        <v>288</v>
      </c>
      <c r="F142" s="103">
        <v>128840.14</v>
      </c>
      <c r="G142" s="247">
        <v>1.4640925</v>
      </c>
      <c r="H142" s="279">
        <v>5.0836545138888889E-3</v>
      </c>
      <c r="I142" s="280">
        <v>288</v>
      </c>
      <c r="J142" s="102"/>
      <c r="K142" s="86">
        <v>3.3E-3</v>
      </c>
      <c r="L142" s="86">
        <v>3.0000000000000001E-3</v>
      </c>
      <c r="M142" s="86">
        <f t="shared" si="2"/>
        <v>0.95040000000000002</v>
      </c>
      <c r="N142" s="86">
        <f t="shared" si="3"/>
        <v>0.86399999999999999</v>
      </c>
    </row>
    <row r="143" spans="1:14" x14ac:dyDescent="0.35">
      <c r="A143" s="102" t="s">
        <v>233</v>
      </c>
      <c r="B143" s="102" t="s">
        <v>246</v>
      </c>
      <c r="C143" s="102" t="s">
        <v>579</v>
      </c>
      <c r="D143" s="102" t="s">
        <v>514</v>
      </c>
      <c r="E143" s="102">
        <v>1848</v>
      </c>
      <c r="F143" s="103">
        <v>288997.2</v>
      </c>
      <c r="G143" s="247">
        <v>3.284059090909091</v>
      </c>
      <c r="H143" s="279">
        <v>1.7770882526564344E-3</v>
      </c>
      <c r="I143" s="280">
        <v>1848</v>
      </c>
      <c r="J143" s="102"/>
      <c r="K143" s="86">
        <v>3.3E-3</v>
      </c>
      <c r="L143" s="86">
        <v>3.0000000000000001E-3</v>
      </c>
      <c r="M143" s="86">
        <f t="shared" si="2"/>
        <v>6.0983999999999998</v>
      </c>
      <c r="N143" s="86">
        <f t="shared" si="3"/>
        <v>5.5440000000000005</v>
      </c>
    </row>
    <row r="144" spans="1:14" x14ac:dyDescent="0.35">
      <c r="A144" s="102" t="s">
        <v>233</v>
      </c>
      <c r="B144" s="102" t="s">
        <v>246</v>
      </c>
      <c r="C144" s="102" t="s">
        <v>219</v>
      </c>
      <c r="D144" s="102" t="s">
        <v>574</v>
      </c>
      <c r="E144" s="102">
        <v>792</v>
      </c>
      <c r="F144" s="103">
        <v>148285.01999999999</v>
      </c>
      <c r="G144" s="247">
        <v>1.6850570454545453</v>
      </c>
      <c r="H144" s="279">
        <v>2.1275972796143249E-3</v>
      </c>
      <c r="I144" s="280">
        <v>792</v>
      </c>
      <c r="J144" s="102"/>
      <c r="K144" s="86">
        <v>3.3E-3</v>
      </c>
      <c r="L144" s="86">
        <v>3.0000000000000001E-3</v>
      </c>
      <c r="M144" s="86">
        <f t="shared" si="2"/>
        <v>2.6135999999999999</v>
      </c>
      <c r="N144" s="86">
        <f t="shared" si="3"/>
        <v>2.3759999999999999</v>
      </c>
    </row>
    <row r="145" spans="1:14" x14ac:dyDescent="0.35">
      <c r="A145" s="102" t="s">
        <v>233</v>
      </c>
      <c r="B145" s="102" t="s">
        <v>246</v>
      </c>
      <c r="C145" s="102" t="s">
        <v>712</v>
      </c>
      <c r="D145" s="102" t="s">
        <v>574</v>
      </c>
      <c r="E145" s="102">
        <v>1848</v>
      </c>
      <c r="F145" s="103">
        <v>469495.92</v>
      </c>
      <c r="G145" s="247">
        <v>5.3351809090909086</v>
      </c>
      <c r="H145" s="279">
        <v>2.8870026564344745E-3</v>
      </c>
      <c r="I145" s="280">
        <v>1848</v>
      </c>
      <c r="J145" s="102"/>
      <c r="K145" s="86">
        <v>3.3E-3</v>
      </c>
      <c r="L145" s="86">
        <v>3.0000000000000001E-3</v>
      </c>
      <c r="M145" s="86">
        <f t="shared" si="2"/>
        <v>6.0983999999999998</v>
      </c>
      <c r="N145" s="86">
        <f t="shared" si="3"/>
        <v>5.5440000000000005</v>
      </c>
    </row>
    <row r="146" spans="1:14" x14ac:dyDescent="0.35">
      <c r="A146" s="102" t="s">
        <v>233</v>
      </c>
      <c r="B146" s="102" t="s">
        <v>246</v>
      </c>
      <c r="C146" s="102" t="s">
        <v>713</v>
      </c>
      <c r="D146" s="102" t="s">
        <v>514</v>
      </c>
      <c r="E146" s="102">
        <v>7040</v>
      </c>
      <c r="F146" s="103">
        <v>1527931.35</v>
      </c>
      <c r="G146" s="247">
        <v>17.36285625</v>
      </c>
      <c r="H146" s="279">
        <v>2.4663148082386364E-3</v>
      </c>
      <c r="I146" s="280">
        <v>7040</v>
      </c>
      <c r="J146" s="102"/>
      <c r="K146" s="86">
        <v>3.3E-3</v>
      </c>
      <c r="L146" s="86">
        <v>3.0000000000000001E-3</v>
      </c>
      <c r="M146" s="86">
        <f t="shared" si="2"/>
        <v>23.231999999999999</v>
      </c>
      <c r="N146" s="86">
        <f t="shared" si="3"/>
        <v>21.12</v>
      </c>
    </row>
    <row r="147" spans="1:14" x14ac:dyDescent="0.35">
      <c r="A147" s="102" t="s">
        <v>233</v>
      </c>
      <c r="B147" s="102" t="s">
        <v>246</v>
      </c>
      <c r="C147" s="102" t="s">
        <v>714</v>
      </c>
      <c r="D147" s="102" t="s">
        <v>514</v>
      </c>
      <c r="E147" s="102">
        <v>528</v>
      </c>
      <c r="F147" s="103">
        <v>133848.47</v>
      </c>
      <c r="G147" s="247">
        <v>1.5210053409090909</v>
      </c>
      <c r="H147" s="279">
        <v>2.8806919335399449E-3</v>
      </c>
      <c r="I147" s="280">
        <v>528</v>
      </c>
      <c r="J147" s="102"/>
      <c r="K147" s="86">
        <v>3.3E-3</v>
      </c>
      <c r="L147" s="86">
        <v>3.0000000000000001E-3</v>
      </c>
      <c r="M147" s="86">
        <f t="shared" si="2"/>
        <v>1.7423999999999999</v>
      </c>
      <c r="N147" s="86">
        <f t="shared" si="3"/>
        <v>1.5840000000000001</v>
      </c>
    </row>
    <row r="148" spans="1:14" x14ac:dyDescent="0.35">
      <c r="A148" s="102" t="s">
        <v>233</v>
      </c>
      <c r="B148" s="102" t="s">
        <v>246</v>
      </c>
      <c r="C148" s="102" t="s">
        <v>715</v>
      </c>
      <c r="D148" s="102" t="s">
        <v>514</v>
      </c>
      <c r="E148" s="102">
        <v>216</v>
      </c>
      <c r="F148" s="103">
        <v>51840</v>
      </c>
      <c r="G148" s="247">
        <v>0.58909090909090911</v>
      </c>
      <c r="H148" s="279">
        <v>2.7272727272727275E-3</v>
      </c>
      <c r="I148" s="280">
        <v>216</v>
      </c>
      <c r="J148" s="102"/>
      <c r="K148" s="86">
        <v>3.3E-3</v>
      </c>
      <c r="L148" s="86">
        <v>3.0000000000000001E-3</v>
      </c>
      <c r="M148" s="86">
        <f t="shared" si="2"/>
        <v>0.71279999999999999</v>
      </c>
      <c r="N148" s="86">
        <f t="shared" si="3"/>
        <v>0.64800000000000002</v>
      </c>
    </row>
    <row r="149" spans="1:14" x14ac:dyDescent="0.35">
      <c r="A149" s="102" t="s">
        <v>233</v>
      </c>
      <c r="B149" s="102" t="s">
        <v>317</v>
      </c>
      <c r="C149" s="102" t="s">
        <v>517</v>
      </c>
      <c r="D149" s="102" t="s">
        <v>518</v>
      </c>
      <c r="E149" s="102">
        <v>21168</v>
      </c>
      <c r="F149" s="103">
        <v>2943833.6</v>
      </c>
      <c r="G149" s="247">
        <v>33.45265454545455</v>
      </c>
      <c r="H149" s="279">
        <v>1.5803408231979663E-3</v>
      </c>
      <c r="I149" s="280">
        <v>31168</v>
      </c>
      <c r="J149" s="102"/>
      <c r="K149" s="86">
        <v>3.3E-3</v>
      </c>
      <c r="L149" s="86">
        <v>3.0000000000000001E-3</v>
      </c>
      <c r="M149" s="86">
        <f t="shared" si="2"/>
        <v>102.8544</v>
      </c>
      <c r="N149" s="86">
        <f t="shared" si="3"/>
        <v>93.504000000000005</v>
      </c>
    </row>
    <row r="150" spans="1:14" x14ac:dyDescent="0.35">
      <c r="A150" s="102" t="s">
        <v>233</v>
      </c>
      <c r="B150" s="102" t="s">
        <v>254</v>
      </c>
      <c r="C150" s="102" t="s">
        <v>569</v>
      </c>
      <c r="D150" s="102" t="s">
        <v>510</v>
      </c>
      <c r="E150" s="102">
        <v>1452</v>
      </c>
      <c r="F150" s="103">
        <v>308208.43</v>
      </c>
      <c r="G150" s="247">
        <v>3.5023685227272727</v>
      </c>
      <c r="H150" s="279">
        <v>2.4120995335587276E-3</v>
      </c>
      <c r="I150" s="280">
        <v>1188</v>
      </c>
      <c r="J150" s="102"/>
      <c r="K150" s="86">
        <f>VLOOKUP(C150,'[4]PB Order'!$C$11:$G$120,5,0)</f>
        <v>1.9E-3</v>
      </c>
      <c r="L150" s="86">
        <v>3.0000000000000001E-3</v>
      </c>
      <c r="M150" s="86">
        <f t="shared" si="2"/>
        <v>2.2572000000000001</v>
      </c>
      <c r="N150" s="86">
        <f t="shared" si="3"/>
        <v>3.5640000000000001</v>
      </c>
    </row>
    <row r="151" spans="1:14" x14ac:dyDescent="0.35">
      <c r="A151" s="102" t="s">
        <v>233</v>
      </c>
      <c r="B151" s="102" t="s">
        <v>254</v>
      </c>
      <c r="C151" s="102" t="s">
        <v>716</v>
      </c>
      <c r="D151" s="102" t="s">
        <v>512</v>
      </c>
      <c r="E151" s="102">
        <v>2520</v>
      </c>
      <c r="F151" s="103">
        <v>854516.41999999993</v>
      </c>
      <c r="G151" s="247">
        <v>9.7104138636363633</v>
      </c>
      <c r="H151" s="279">
        <v>3.8533388347763344E-3</v>
      </c>
      <c r="I151" s="280">
        <v>1260</v>
      </c>
      <c r="J151" s="102"/>
      <c r="K151" s="86">
        <f>VLOOKUP(C151,'[4]PB Order'!$C$11:$G$120,5,0)</f>
        <v>3.3E-3</v>
      </c>
      <c r="L151" s="86">
        <v>3.0000000000000001E-3</v>
      </c>
      <c r="M151" s="86">
        <f t="shared" si="2"/>
        <v>4.1580000000000004</v>
      </c>
      <c r="N151" s="86">
        <f t="shared" si="3"/>
        <v>3.7800000000000002</v>
      </c>
    </row>
    <row r="152" spans="1:14" x14ac:dyDescent="0.35">
      <c r="A152" s="102" t="s">
        <v>233</v>
      </c>
      <c r="B152" s="102" t="s">
        <v>254</v>
      </c>
      <c r="C152" s="102" t="s">
        <v>519</v>
      </c>
      <c r="D152" s="102" t="s">
        <v>510</v>
      </c>
      <c r="E152" s="102">
        <v>12012</v>
      </c>
      <c r="F152" s="103">
        <v>1456529.11</v>
      </c>
      <c r="G152" s="247">
        <v>16.551467159090912</v>
      </c>
      <c r="H152" s="279">
        <v>1.3779110189053373E-3</v>
      </c>
      <c r="I152" s="280">
        <v>6072</v>
      </c>
      <c r="J152" s="102"/>
      <c r="K152" s="86">
        <f>VLOOKUP(C152,'[4]PB Order'!$C$11:$G$120,5,0)</f>
        <v>3.3E-3</v>
      </c>
      <c r="L152" s="86">
        <v>3.0000000000000001E-3</v>
      </c>
      <c r="M152" s="86">
        <f t="shared" si="2"/>
        <v>20.037600000000001</v>
      </c>
      <c r="N152" s="86">
        <f t="shared" si="3"/>
        <v>18.216000000000001</v>
      </c>
    </row>
    <row r="153" spans="1:14" x14ac:dyDescent="0.35">
      <c r="A153" s="102" t="s">
        <v>233</v>
      </c>
      <c r="B153" s="102" t="s">
        <v>254</v>
      </c>
      <c r="C153" s="102" t="s">
        <v>717</v>
      </c>
      <c r="D153" s="102" t="s">
        <v>718</v>
      </c>
      <c r="E153" s="102">
        <v>396</v>
      </c>
      <c r="F153" s="103">
        <v>72068.039999999994</v>
      </c>
      <c r="G153" s="247">
        <v>0.81895499999999988</v>
      </c>
      <c r="H153" s="279">
        <v>2.0680681818181813E-3</v>
      </c>
      <c r="I153" s="280">
        <v>396</v>
      </c>
      <c r="J153" s="102"/>
      <c r="K153" s="86">
        <v>3.3E-3</v>
      </c>
      <c r="L153" s="86">
        <v>3.0000000000000001E-3</v>
      </c>
      <c r="M153" s="86">
        <f t="shared" si="2"/>
        <v>1.3068</v>
      </c>
      <c r="N153" s="86">
        <f t="shared" si="3"/>
        <v>1.1879999999999999</v>
      </c>
    </row>
    <row r="154" spans="1:14" x14ac:dyDescent="0.35">
      <c r="A154" s="102" t="s">
        <v>233</v>
      </c>
      <c r="B154" s="102" t="s">
        <v>254</v>
      </c>
      <c r="C154" s="102" t="s">
        <v>520</v>
      </c>
      <c r="D154" s="102" t="s">
        <v>521</v>
      </c>
      <c r="E154" s="102">
        <v>41448</v>
      </c>
      <c r="F154" s="103">
        <v>4204054.8</v>
      </c>
      <c r="G154" s="247">
        <v>47.773350000000001</v>
      </c>
      <c r="H154" s="279">
        <v>1.1526092935726694E-3</v>
      </c>
      <c r="I154" s="280">
        <v>22000</v>
      </c>
      <c r="J154" s="102"/>
      <c r="K154" s="86">
        <v>3.3E-3</v>
      </c>
      <c r="L154" s="86">
        <v>3.0000000000000001E-3</v>
      </c>
      <c r="M154" s="86">
        <f t="shared" si="2"/>
        <v>72.599999999999994</v>
      </c>
      <c r="N154" s="86">
        <f t="shared" si="3"/>
        <v>66</v>
      </c>
    </row>
    <row r="155" spans="1:14" x14ac:dyDescent="0.35">
      <c r="A155" s="102" t="s">
        <v>233</v>
      </c>
      <c r="B155" s="102" t="s">
        <v>254</v>
      </c>
      <c r="C155" s="102" t="s">
        <v>719</v>
      </c>
      <c r="D155" s="102" t="s">
        <v>521</v>
      </c>
      <c r="E155" s="102">
        <v>2376</v>
      </c>
      <c r="F155" s="103">
        <v>304378.23999999999</v>
      </c>
      <c r="G155" s="247">
        <v>3.4588436363636363</v>
      </c>
      <c r="H155" s="279">
        <v>1.4557422711968166E-3</v>
      </c>
      <c r="I155" s="280">
        <v>1188</v>
      </c>
      <c r="J155" s="102"/>
      <c r="K155" s="86">
        <v>3.3E-3</v>
      </c>
      <c r="L155" s="86">
        <v>3.0000000000000001E-3</v>
      </c>
      <c r="M155" s="86">
        <f t="shared" si="2"/>
        <v>3.9203999999999999</v>
      </c>
      <c r="N155" s="86">
        <f t="shared" si="3"/>
        <v>3.5640000000000001</v>
      </c>
    </row>
    <row r="156" spans="1:14" x14ac:dyDescent="0.35">
      <c r="A156" s="102" t="s">
        <v>233</v>
      </c>
      <c r="B156" s="102" t="s">
        <v>254</v>
      </c>
      <c r="C156" s="102" t="s">
        <v>720</v>
      </c>
      <c r="D156" s="102" t="s">
        <v>721</v>
      </c>
      <c r="E156" s="102">
        <v>12000</v>
      </c>
      <c r="F156" s="103">
        <v>1073520</v>
      </c>
      <c r="G156" s="247">
        <v>12.199090909090909</v>
      </c>
      <c r="H156" s="279">
        <v>1.016590909090909E-3</v>
      </c>
      <c r="I156" s="280">
        <v>12000</v>
      </c>
      <c r="J156" s="102"/>
      <c r="K156" s="86">
        <v>3.3E-3</v>
      </c>
      <c r="L156" s="86">
        <v>3.0000000000000001E-3</v>
      </c>
      <c r="M156" s="86">
        <f t="shared" si="2"/>
        <v>39.6</v>
      </c>
      <c r="N156" s="86">
        <f t="shared" si="3"/>
        <v>36</v>
      </c>
    </row>
    <row r="157" spans="1:14" x14ac:dyDescent="0.35">
      <c r="A157" s="102" t="s">
        <v>233</v>
      </c>
      <c r="B157" s="102" t="s">
        <v>254</v>
      </c>
      <c r="C157" s="102" t="s">
        <v>262</v>
      </c>
      <c r="D157" s="102" t="s">
        <v>510</v>
      </c>
      <c r="E157" s="102">
        <v>3432</v>
      </c>
      <c r="F157" s="103">
        <v>441720.46</v>
      </c>
      <c r="G157" s="247">
        <v>5.0195506818181821</v>
      </c>
      <c r="H157" s="279">
        <v>1.4625730424878153E-3</v>
      </c>
      <c r="I157" s="280">
        <v>924</v>
      </c>
      <c r="J157" s="102"/>
      <c r="K157" s="86">
        <v>3.3E-3</v>
      </c>
      <c r="L157" s="86">
        <v>3.0000000000000001E-3</v>
      </c>
      <c r="M157" s="86">
        <f t="shared" si="2"/>
        <v>3.0491999999999999</v>
      </c>
      <c r="N157" s="86">
        <f t="shared" si="3"/>
        <v>2.7720000000000002</v>
      </c>
    </row>
    <row r="158" spans="1:14" x14ac:dyDescent="0.35">
      <c r="A158" s="102" t="s">
        <v>233</v>
      </c>
      <c r="B158" s="102" t="s">
        <v>254</v>
      </c>
      <c r="C158" s="102" t="s">
        <v>572</v>
      </c>
      <c r="D158" s="102" t="s">
        <v>510</v>
      </c>
      <c r="E158" s="102">
        <v>1056</v>
      </c>
      <c r="F158" s="103">
        <v>95114.1</v>
      </c>
      <c r="G158" s="247">
        <v>1.0808420454545455</v>
      </c>
      <c r="H158" s="279">
        <v>1.0235246642561985E-3</v>
      </c>
      <c r="I158" s="280">
        <v>1056</v>
      </c>
      <c r="J158" s="102"/>
      <c r="K158" s="86">
        <v>3.3E-3</v>
      </c>
      <c r="L158" s="86">
        <v>3.0000000000000001E-3</v>
      </c>
      <c r="M158" s="86">
        <f t="shared" si="2"/>
        <v>3.4847999999999999</v>
      </c>
      <c r="N158" s="86">
        <f t="shared" si="3"/>
        <v>3.1680000000000001</v>
      </c>
    </row>
    <row r="159" spans="1:14" x14ac:dyDescent="0.35">
      <c r="A159" s="102" t="s">
        <v>233</v>
      </c>
      <c r="B159" s="102" t="s">
        <v>254</v>
      </c>
      <c r="C159" s="102" t="s">
        <v>722</v>
      </c>
      <c r="D159" s="102" t="s">
        <v>512</v>
      </c>
      <c r="E159" s="102">
        <v>396</v>
      </c>
      <c r="F159" s="103">
        <v>61164.83</v>
      </c>
      <c r="G159" s="247">
        <v>0.69505488636363644</v>
      </c>
      <c r="H159" s="279">
        <v>1.7551891069788798E-3</v>
      </c>
      <c r="I159" s="280">
        <v>396</v>
      </c>
      <c r="J159" s="102"/>
      <c r="K159" s="86">
        <v>3.3E-3</v>
      </c>
      <c r="L159" s="86">
        <v>3.0000000000000001E-3</v>
      </c>
      <c r="M159" s="86">
        <f t="shared" si="2"/>
        <v>1.3068</v>
      </c>
      <c r="N159" s="86">
        <f t="shared" si="3"/>
        <v>1.1879999999999999</v>
      </c>
    </row>
    <row r="160" spans="1:14" x14ac:dyDescent="0.35">
      <c r="A160" s="102" t="s">
        <v>233</v>
      </c>
      <c r="B160" s="102" t="s">
        <v>254</v>
      </c>
      <c r="C160" s="102" t="s">
        <v>580</v>
      </c>
      <c r="D160" s="102" t="s">
        <v>512</v>
      </c>
      <c r="E160" s="102">
        <v>396</v>
      </c>
      <c r="F160" s="103">
        <v>48848.88</v>
      </c>
      <c r="G160" s="247">
        <v>0.55510090909090903</v>
      </c>
      <c r="H160" s="279">
        <v>1.4017699724517905E-3</v>
      </c>
      <c r="I160" s="280">
        <v>198</v>
      </c>
      <c r="J160" s="102"/>
      <c r="K160" s="86">
        <f>VLOOKUP(C160,'[4]PB Order'!$C$11:$G$120,5,0)</f>
        <v>2E-3</v>
      </c>
      <c r="L160" s="86">
        <v>3.0000000000000001E-3</v>
      </c>
      <c r="M160" s="86">
        <f t="shared" si="2"/>
        <v>0.39600000000000002</v>
      </c>
      <c r="N160" s="86">
        <f t="shared" si="3"/>
        <v>0.59399999999999997</v>
      </c>
    </row>
    <row r="161" spans="1:14" x14ac:dyDescent="0.35">
      <c r="A161" s="102" t="s">
        <v>233</v>
      </c>
      <c r="B161" s="102" t="s">
        <v>254</v>
      </c>
      <c r="C161" s="102" t="s">
        <v>523</v>
      </c>
      <c r="D161" s="102" t="s">
        <v>510</v>
      </c>
      <c r="E161" s="102">
        <v>13122</v>
      </c>
      <c r="F161" s="103">
        <v>2829158.23</v>
      </c>
      <c r="G161" s="247">
        <v>32.149525340909094</v>
      </c>
      <c r="H161" s="279">
        <v>2.4500476559144255E-3</v>
      </c>
      <c r="I161" s="280">
        <v>10206</v>
      </c>
      <c r="J161" s="102"/>
      <c r="K161" s="86">
        <f>VLOOKUP(C161,'[4]PB Order'!$C$11:$G$120,5,0)</f>
        <v>5.0000000000000001E-3</v>
      </c>
      <c r="L161" s="86">
        <v>3.0000000000000001E-3</v>
      </c>
      <c r="M161" s="86">
        <f t="shared" si="2"/>
        <v>51.03</v>
      </c>
      <c r="N161" s="86">
        <f t="shared" si="3"/>
        <v>30.618000000000002</v>
      </c>
    </row>
    <row r="162" spans="1:14" x14ac:dyDescent="0.35">
      <c r="A162" s="102" t="s">
        <v>233</v>
      </c>
      <c r="B162" s="102" t="s">
        <v>254</v>
      </c>
      <c r="C162" s="102" t="s">
        <v>214</v>
      </c>
      <c r="D162" s="102" t="s">
        <v>512</v>
      </c>
      <c r="E162" s="102">
        <v>495</v>
      </c>
      <c r="F162" s="103">
        <v>56031.81</v>
      </c>
      <c r="G162" s="247">
        <v>0.63672511363636364</v>
      </c>
      <c r="H162" s="279">
        <v>1.2863133608815426E-3</v>
      </c>
      <c r="I162" s="280">
        <v>495</v>
      </c>
      <c r="J162" s="102"/>
      <c r="K162" s="86">
        <v>3.3E-3</v>
      </c>
      <c r="L162" s="86">
        <v>3.0000000000000001E-3</v>
      </c>
      <c r="M162" s="86">
        <f t="shared" si="2"/>
        <v>1.6335</v>
      </c>
      <c r="N162" s="86">
        <f t="shared" si="3"/>
        <v>1.4850000000000001</v>
      </c>
    </row>
    <row r="163" spans="1:14" x14ac:dyDescent="0.35">
      <c r="A163" s="102" t="s">
        <v>233</v>
      </c>
      <c r="B163" s="102" t="s">
        <v>254</v>
      </c>
      <c r="C163" s="102" t="s">
        <v>216</v>
      </c>
      <c r="D163" s="102" t="s">
        <v>512</v>
      </c>
      <c r="E163" s="102">
        <v>2310</v>
      </c>
      <c r="F163" s="103">
        <v>250009.46999999997</v>
      </c>
      <c r="G163" s="247">
        <v>2.8410167045454542</v>
      </c>
      <c r="H163" s="279">
        <v>1.2298773612750883E-3</v>
      </c>
      <c r="I163" s="280">
        <v>1980</v>
      </c>
      <c r="J163" s="102"/>
      <c r="K163" s="86">
        <f>VLOOKUP(C163,'[4]PB Order'!$C$11:$G$120,5,0)</f>
        <v>2E-3</v>
      </c>
      <c r="L163" s="86">
        <v>3.0000000000000001E-3</v>
      </c>
      <c r="M163" s="86">
        <f t="shared" si="2"/>
        <v>3.96</v>
      </c>
      <c r="N163" s="86">
        <f t="shared" si="3"/>
        <v>5.94</v>
      </c>
    </row>
    <row r="164" spans="1:14" x14ac:dyDescent="0.35">
      <c r="A164" s="102" t="s">
        <v>233</v>
      </c>
      <c r="B164" s="102" t="s">
        <v>246</v>
      </c>
      <c r="C164" s="102" t="s">
        <v>723</v>
      </c>
      <c r="D164" s="102" t="s">
        <v>516</v>
      </c>
      <c r="E164" s="102">
        <v>528</v>
      </c>
      <c r="F164" s="103">
        <v>89562.47</v>
      </c>
      <c r="G164" s="247">
        <v>1.0177553409090909</v>
      </c>
      <c r="H164" s="279">
        <v>1.9275669335399449E-3</v>
      </c>
      <c r="I164" s="280">
        <v>528</v>
      </c>
      <c r="J164" s="102"/>
      <c r="K164" s="86">
        <v>3.3E-3</v>
      </c>
      <c r="L164" s="86">
        <v>3.0000000000000001E-3</v>
      </c>
      <c r="M164" s="86">
        <f t="shared" si="2"/>
        <v>1.7423999999999999</v>
      </c>
      <c r="N164" s="86">
        <f t="shared" si="3"/>
        <v>1.5840000000000001</v>
      </c>
    </row>
    <row r="165" spans="1:14" x14ac:dyDescent="0.35">
      <c r="A165" s="102" t="s">
        <v>233</v>
      </c>
      <c r="B165" s="102" t="s">
        <v>246</v>
      </c>
      <c r="C165" s="102" t="s">
        <v>724</v>
      </c>
      <c r="D165" s="102" t="s">
        <v>514</v>
      </c>
      <c r="E165" s="102">
        <v>176</v>
      </c>
      <c r="F165" s="103">
        <v>25886.33</v>
      </c>
      <c r="G165" s="247">
        <v>0.29416284090909095</v>
      </c>
      <c r="H165" s="279">
        <v>1.6713797778925622E-3</v>
      </c>
      <c r="I165" s="280">
        <v>176</v>
      </c>
      <c r="J165" s="102"/>
      <c r="K165" s="86">
        <v>3.3E-3</v>
      </c>
      <c r="L165" s="86">
        <v>3.0000000000000001E-3</v>
      </c>
      <c r="M165" s="86">
        <f t="shared" si="2"/>
        <v>0.58079999999999998</v>
      </c>
      <c r="N165" s="86">
        <f t="shared" si="3"/>
        <v>0.52800000000000002</v>
      </c>
    </row>
    <row r="166" spans="1:14" x14ac:dyDescent="0.35">
      <c r="A166" s="102" t="s">
        <v>233</v>
      </c>
      <c r="B166" s="102" t="s">
        <v>246</v>
      </c>
      <c r="C166" s="102" t="s">
        <v>220</v>
      </c>
      <c r="D166" s="102" t="s">
        <v>514</v>
      </c>
      <c r="E166" s="102">
        <v>2112</v>
      </c>
      <c r="F166" s="103">
        <v>407008.58</v>
      </c>
      <c r="G166" s="247">
        <v>4.6250974999999999</v>
      </c>
      <c r="H166" s="279">
        <v>2.1899135890151513E-3</v>
      </c>
      <c r="I166" s="280">
        <v>1056</v>
      </c>
      <c r="J166" s="102"/>
      <c r="K166" s="86">
        <v>3.3E-3</v>
      </c>
      <c r="L166" s="86">
        <v>3.0000000000000001E-3</v>
      </c>
      <c r="M166" s="86">
        <f t="shared" si="2"/>
        <v>3.4847999999999999</v>
      </c>
      <c r="N166" s="86">
        <f t="shared" si="3"/>
        <v>3.1680000000000001</v>
      </c>
    </row>
    <row r="167" spans="1:14" x14ac:dyDescent="0.35">
      <c r="A167" s="102" t="s">
        <v>233</v>
      </c>
      <c r="B167" s="102" t="s">
        <v>246</v>
      </c>
      <c r="C167" s="102" t="s">
        <v>725</v>
      </c>
      <c r="D167" s="102" t="s">
        <v>574</v>
      </c>
      <c r="E167" s="102">
        <v>106650</v>
      </c>
      <c r="F167" s="103">
        <v>17915033.809999999</v>
      </c>
      <c r="G167" s="247">
        <v>203.57992965909091</v>
      </c>
      <c r="H167" s="279">
        <v>1.9088600999445937E-3</v>
      </c>
      <c r="I167" s="280">
        <v>106650</v>
      </c>
      <c r="J167" s="102"/>
      <c r="K167" s="86">
        <v>3.3E-3</v>
      </c>
      <c r="L167" s="86">
        <v>3.0000000000000001E-3</v>
      </c>
      <c r="M167" s="86">
        <f t="shared" si="2"/>
        <v>351.94499999999999</v>
      </c>
      <c r="N167" s="86">
        <f t="shared" si="3"/>
        <v>319.95</v>
      </c>
    </row>
    <row r="168" spans="1:14" x14ac:dyDescent="0.35">
      <c r="A168" s="102" t="s">
        <v>233</v>
      </c>
      <c r="B168" s="102" t="s">
        <v>246</v>
      </c>
      <c r="C168" s="102" t="s">
        <v>573</v>
      </c>
      <c r="D168" s="102" t="s">
        <v>574</v>
      </c>
      <c r="E168" s="102">
        <v>11520</v>
      </c>
      <c r="F168" s="103">
        <v>1576755.4</v>
      </c>
      <c r="G168" s="247">
        <v>17.917674999999999</v>
      </c>
      <c r="H168" s="279">
        <v>1.5553537326388888E-3</v>
      </c>
      <c r="I168" s="280">
        <v>11520</v>
      </c>
      <c r="J168" s="102"/>
      <c r="K168" s="86">
        <f>VLOOKUP(C168,'[4]PB Order'!$C$11:$G$120,5,0)</f>
        <v>3.0000000000000001E-3</v>
      </c>
      <c r="L168" s="86">
        <v>3.0000000000000001E-3</v>
      </c>
      <c r="M168" s="86">
        <f t="shared" si="2"/>
        <v>34.56</v>
      </c>
      <c r="N168" s="86">
        <f t="shared" si="3"/>
        <v>34.56</v>
      </c>
    </row>
    <row r="169" spans="1:14" x14ac:dyDescent="0.35">
      <c r="A169" s="102" t="s">
        <v>233</v>
      </c>
      <c r="B169" s="102" t="s">
        <v>246</v>
      </c>
      <c r="C169" s="102" t="s">
        <v>726</v>
      </c>
      <c r="D169" s="102" t="s">
        <v>574</v>
      </c>
      <c r="E169" s="102">
        <v>2268</v>
      </c>
      <c r="F169" s="103">
        <v>1036582.41</v>
      </c>
      <c r="G169" s="247">
        <v>11.779345568181819</v>
      </c>
      <c r="H169" s="279">
        <v>5.1937149771524773E-3</v>
      </c>
      <c r="I169" s="280">
        <v>1944</v>
      </c>
      <c r="J169" s="102"/>
      <c r="K169" s="86">
        <f>VLOOKUP(C169,'[4]PB Order'!$C$11:$G$120,5,0)</f>
        <v>0.04</v>
      </c>
      <c r="L169" s="86">
        <v>3.0000000000000001E-3</v>
      </c>
      <c r="M169" s="86">
        <f t="shared" si="2"/>
        <v>77.760000000000005</v>
      </c>
      <c r="N169" s="86">
        <f t="shared" si="3"/>
        <v>5.8319999999999999</v>
      </c>
    </row>
    <row r="170" spans="1:14" x14ac:dyDescent="0.35">
      <c r="A170" s="102" t="s">
        <v>233</v>
      </c>
      <c r="B170" s="102" t="s">
        <v>246</v>
      </c>
      <c r="C170" s="102" t="s">
        <v>727</v>
      </c>
      <c r="D170" s="102" t="s">
        <v>728</v>
      </c>
      <c r="E170" s="102">
        <v>176</v>
      </c>
      <c r="F170" s="103">
        <v>34805.760000000002</v>
      </c>
      <c r="G170" s="247">
        <v>0.39552000000000004</v>
      </c>
      <c r="H170" s="279">
        <v>2.2472727272727275E-3</v>
      </c>
      <c r="I170" s="280">
        <v>176</v>
      </c>
      <c r="J170" s="102"/>
      <c r="K170" s="86">
        <v>3.3E-3</v>
      </c>
      <c r="L170" s="86">
        <v>3.0000000000000001E-3</v>
      </c>
      <c r="M170" s="86">
        <f t="shared" si="2"/>
        <v>0.58079999999999998</v>
      </c>
      <c r="N170" s="86">
        <f t="shared" si="3"/>
        <v>0.52800000000000002</v>
      </c>
    </row>
    <row r="171" spans="1:14" x14ac:dyDescent="0.35">
      <c r="A171" s="102" t="s">
        <v>233</v>
      </c>
      <c r="B171" s="102" t="s">
        <v>254</v>
      </c>
      <c r="C171" s="102" t="s">
        <v>217</v>
      </c>
      <c r="D171" s="102" t="s">
        <v>521</v>
      </c>
      <c r="E171" s="102">
        <v>2640</v>
      </c>
      <c r="F171" s="103">
        <v>542611.59000000008</v>
      </c>
      <c r="G171" s="247">
        <v>6.1660407954545464</v>
      </c>
      <c r="H171" s="279">
        <v>2.3356215134297522E-3</v>
      </c>
      <c r="I171" s="280">
        <v>1056</v>
      </c>
      <c r="J171" s="102"/>
      <c r="K171" s="86">
        <f>VLOOKUP(C171,'[4]PB Order'!$C$11:$G$120,5,0)</f>
        <v>2E-3</v>
      </c>
      <c r="L171" s="86">
        <v>3.0000000000000001E-3</v>
      </c>
      <c r="M171" s="86">
        <f t="shared" si="2"/>
        <v>2.1120000000000001</v>
      </c>
      <c r="N171" s="86">
        <f t="shared" si="3"/>
        <v>3.1680000000000001</v>
      </c>
    </row>
    <row r="172" spans="1:14" x14ac:dyDescent="0.35">
      <c r="A172" s="102" t="s">
        <v>233</v>
      </c>
      <c r="B172" s="102" t="s">
        <v>254</v>
      </c>
      <c r="C172" s="102" t="s">
        <v>528</v>
      </c>
      <c r="D172" s="102" t="s">
        <v>512</v>
      </c>
      <c r="E172" s="102">
        <v>2</v>
      </c>
      <c r="F172" s="103">
        <v>1177.3399999999999</v>
      </c>
      <c r="G172" s="247">
        <v>1.3378863636363635E-2</v>
      </c>
      <c r="H172" s="279">
        <v>6.6894318181818175E-3</v>
      </c>
      <c r="I172" s="280">
        <v>2</v>
      </c>
      <c r="J172" s="102"/>
      <c r="K172" s="86">
        <v>3.3E-3</v>
      </c>
      <c r="L172" s="86">
        <v>3.0000000000000001E-3</v>
      </c>
      <c r="M172" s="86">
        <f t="shared" si="2"/>
        <v>6.6E-3</v>
      </c>
      <c r="N172" s="86">
        <f t="shared" si="3"/>
        <v>6.0000000000000001E-3</v>
      </c>
    </row>
    <row r="173" spans="1:14" x14ac:dyDescent="0.35">
      <c r="A173" s="102" t="s">
        <v>233</v>
      </c>
      <c r="B173" s="102" t="s">
        <v>246</v>
      </c>
      <c r="C173" s="102" t="s">
        <v>729</v>
      </c>
      <c r="D173" s="102" t="s">
        <v>514</v>
      </c>
      <c r="E173" s="102">
        <v>288</v>
      </c>
      <c r="F173" s="103">
        <v>52541.74</v>
      </c>
      <c r="G173" s="247">
        <v>0.59706522727272726</v>
      </c>
      <c r="H173" s="279">
        <v>2.0731431502525252E-3</v>
      </c>
      <c r="I173" s="280">
        <v>288</v>
      </c>
      <c r="J173" s="102"/>
      <c r="K173" s="86">
        <v>3.3E-3</v>
      </c>
      <c r="L173" s="86">
        <v>3.0000000000000001E-3</v>
      </c>
      <c r="M173" s="86">
        <f t="shared" si="2"/>
        <v>0.95040000000000002</v>
      </c>
      <c r="N173" s="86">
        <f t="shared" si="3"/>
        <v>0.86399999999999999</v>
      </c>
    </row>
    <row r="174" spans="1:14" hidden="1" x14ac:dyDescent="0.35">
      <c r="A174" s="102" t="s">
        <v>485</v>
      </c>
      <c r="B174" s="102" t="s">
        <v>730</v>
      </c>
      <c r="C174" s="102" t="s">
        <v>619</v>
      </c>
      <c r="D174" s="102" t="s">
        <v>731</v>
      </c>
      <c r="E174" s="102">
        <v>9500</v>
      </c>
      <c r="F174" s="103">
        <v>16964284.899999999</v>
      </c>
      <c r="G174" s="247">
        <v>192.77596477272726</v>
      </c>
      <c r="H174" s="279">
        <v>2.0292206818181818E-2</v>
      </c>
      <c r="I174" s="280">
        <v>3002</v>
      </c>
      <c r="J174" s="102">
        <v>5000</v>
      </c>
    </row>
    <row r="175" spans="1:14" hidden="1" x14ac:dyDescent="0.35">
      <c r="A175" s="102" t="s">
        <v>485</v>
      </c>
      <c r="B175" s="102" t="s">
        <v>730</v>
      </c>
      <c r="C175" s="102" t="s">
        <v>732</v>
      </c>
      <c r="D175" s="102" t="s">
        <v>733</v>
      </c>
      <c r="E175" s="102">
        <v>9500</v>
      </c>
      <c r="F175" s="103">
        <v>35624998.289999999</v>
      </c>
      <c r="G175" s="247">
        <v>404.82952602272724</v>
      </c>
      <c r="H175" s="279">
        <v>4.2613634318181812E-2</v>
      </c>
      <c r="I175" s="280">
        <v>4724</v>
      </c>
      <c r="J175" s="102">
        <v>5000</v>
      </c>
    </row>
    <row r="176" spans="1:14" hidden="1" x14ac:dyDescent="0.35">
      <c r="A176" s="102" t="s">
        <v>485</v>
      </c>
      <c r="B176" s="102" t="s">
        <v>730</v>
      </c>
      <c r="C176" s="102" t="s">
        <v>734</v>
      </c>
      <c r="D176" s="102" t="s">
        <v>735</v>
      </c>
      <c r="E176" s="102">
        <v>9400</v>
      </c>
      <c r="F176" s="103">
        <v>2324821.3199999998</v>
      </c>
      <c r="G176" s="247">
        <v>26.418424090909088</v>
      </c>
      <c r="H176" s="279">
        <v>2.8104706479690519E-3</v>
      </c>
      <c r="I176" s="280">
        <v>880</v>
      </c>
      <c r="J176" s="102">
        <v>5000</v>
      </c>
    </row>
    <row r="177" spans="1:14" hidden="1" x14ac:dyDescent="0.35">
      <c r="A177" s="102" t="s">
        <v>785</v>
      </c>
      <c r="B177" s="102" t="s">
        <v>737</v>
      </c>
      <c r="C177" s="102" t="s">
        <v>616</v>
      </c>
      <c r="D177" s="102" t="s">
        <v>786</v>
      </c>
      <c r="E177" s="102">
        <v>6640</v>
      </c>
      <c r="F177" s="103">
        <v>1804546.44</v>
      </c>
      <c r="G177" s="247">
        <v>20.506209545454546</v>
      </c>
      <c r="H177" s="279">
        <v>3.0882845700985762E-3</v>
      </c>
      <c r="I177" s="280">
        <v>900</v>
      </c>
      <c r="J177" s="102"/>
    </row>
    <row r="178" spans="1:14" hidden="1" x14ac:dyDescent="0.35">
      <c r="A178" s="102" t="s">
        <v>736</v>
      </c>
      <c r="B178" s="102" t="s">
        <v>737</v>
      </c>
      <c r="C178" s="102" t="s">
        <v>738</v>
      </c>
      <c r="D178" s="102" t="s">
        <v>739</v>
      </c>
      <c r="E178" s="102">
        <v>20600</v>
      </c>
      <c r="F178" s="103">
        <v>6682020.54</v>
      </c>
      <c r="G178" s="247">
        <v>75.932051590909097</v>
      </c>
      <c r="H178" s="279">
        <v>3.6860219218887913E-3</v>
      </c>
      <c r="I178" s="280">
        <v>5480</v>
      </c>
      <c r="J178" s="102"/>
    </row>
    <row r="179" spans="1:14" hidden="1" x14ac:dyDescent="0.35">
      <c r="A179" s="102" t="s">
        <v>531</v>
      </c>
      <c r="B179" s="102" t="s">
        <v>347</v>
      </c>
      <c r="C179" s="102" t="s">
        <v>740</v>
      </c>
      <c r="D179" s="102" t="s">
        <v>741</v>
      </c>
      <c r="E179" s="102">
        <v>4000</v>
      </c>
      <c r="F179" s="103">
        <v>70720</v>
      </c>
      <c r="G179" s="247">
        <v>0.80363636363636359</v>
      </c>
      <c r="H179" s="279">
        <v>2.0090909090909089E-4</v>
      </c>
      <c r="I179" s="280"/>
      <c r="J179" s="103">
        <v>4000</v>
      </c>
    </row>
    <row r="180" spans="1:14" hidden="1" x14ac:dyDescent="0.35">
      <c r="A180" s="102" t="s">
        <v>531</v>
      </c>
      <c r="B180" s="102" t="s">
        <v>331</v>
      </c>
      <c r="C180" s="102" t="s">
        <v>742</v>
      </c>
      <c r="D180" s="102" t="s">
        <v>743</v>
      </c>
      <c r="E180" s="102">
        <v>240</v>
      </c>
      <c r="F180" s="103">
        <v>108850.71</v>
      </c>
      <c r="G180" s="247">
        <v>1.2369398863636365</v>
      </c>
      <c r="H180" s="279">
        <v>5.1539161931818183E-3</v>
      </c>
      <c r="I180" s="280">
        <v>240</v>
      </c>
      <c r="J180" s="102"/>
    </row>
    <row r="181" spans="1:14" hidden="1" x14ac:dyDescent="0.35">
      <c r="A181" s="102" t="s">
        <v>531</v>
      </c>
      <c r="B181" s="102" t="s">
        <v>347</v>
      </c>
      <c r="C181" s="102" t="s">
        <v>744</v>
      </c>
      <c r="D181" s="102" t="s">
        <v>745</v>
      </c>
      <c r="E181" s="102">
        <v>4800</v>
      </c>
      <c r="F181" s="103">
        <v>145445.35999999999</v>
      </c>
      <c r="G181" s="247">
        <v>1.6527881818181818</v>
      </c>
      <c r="H181" s="279">
        <v>3.4433087121212122E-4</v>
      </c>
      <c r="I181" s="280"/>
      <c r="J181" s="103">
        <v>4800</v>
      </c>
    </row>
    <row r="182" spans="1:14" hidden="1" x14ac:dyDescent="0.35">
      <c r="A182" s="102" t="s">
        <v>531</v>
      </c>
      <c r="B182" s="102" t="s">
        <v>347</v>
      </c>
      <c r="C182" s="102" t="s">
        <v>558</v>
      </c>
      <c r="D182" s="102" t="s">
        <v>559</v>
      </c>
      <c r="E182" s="102">
        <v>12000</v>
      </c>
      <c r="F182" s="103">
        <v>1421052.66</v>
      </c>
      <c r="G182" s="247">
        <v>16.148325681818182</v>
      </c>
      <c r="H182" s="279">
        <v>1.3456938068181819E-3</v>
      </c>
      <c r="I182" s="280"/>
      <c r="J182" s="103">
        <v>12000</v>
      </c>
    </row>
    <row r="183" spans="1:14" hidden="1" x14ac:dyDescent="0.35">
      <c r="A183" s="102" t="s">
        <v>485</v>
      </c>
      <c r="B183" s="102" t="s">
        <v>347</v>
      </c>
      <c r="C183" s="102" t="s">
        <v>532</v>
      </c>
      <c r="D183" s="102" t="s">
        <v>533</v>
      </c>
      <c r="E183" s="102">
        <v>33600</v>
      </c>
      <c r="F183" s="103">
        <v>3267722.57</v>
      </c>
      <c r="G183" s="247">
        <v>37.133211022727274</v>
      </c>
      <c r="H183" s="279">
        <v>1.1051550899621213E-3</v>
      </c>
      <c r="I183" s="280"/>
      <c r="J183" s="103">
        <v>33600</v>
      </c>
    </row>
    <row r="184" spans="1:14" hidden="1" x14ac:dyDescent="0.35">
      <c r="A184" s="102" t="s">
        <v>468</v>
      </c>
      <c r="B184" s="102" t="s">
        <v>345</v>
      </c>
      <c r="C184" s="102" t="s">
        <v>534</v>
      </c>
      <c r="D184" s="102" t="s">
        <v>535</v>
      </c>
      <c r="E184" s="102">
        <v>89040</v>
      </c>
      <c r="F184" s="103">
        <v>13508243.699999999</v>
      </c>
      <c r="G184" s="247">
        <v>153.50276931818181</v>
      </c>
      <c r="H184" s="279">
        <v>1.7239753966552314E-3</v>
      </c>
      <c r="I184" s="280">
        <v>89040</v>
      </c>
      <c r="J184" s="102"/>
    </row>
    <row r="185" spans="1:14" hidden="1" x14ac:dyDescent="0.35">
      <c r="A185" s="102" t="s">
        <v>486</v>
      </c>
      <c r="B185" s="102" t="s">
        <v>316</v>
      </c>
      <c r="C185" s="102" t="s">
        <v>536</v>
      </c>
      <c r="D185" s="102" t="s">
        <v>537</v>
      </c>
      <c r="E185" s="102">
        <v>27235</v>
      </c>
      <c r="F185" s="103">
        <v>135122699.05000001</v>
      </c>
      <c r="G185" s="247">
        <v>1535.4852164772728</v>
      </c>
      <c r="H185" s="279">
        <v>5.637911571423803E-2</v>
      </c>
      <c r="I185" s="280">
        <v>14490</v>
      </c>
      <c r="J185" s="102">
        <v>10800</v>
      </c>
    </row>
    <row r="186" spans="1:14" x14ac:dyDescent="0.35">
      <c r="M186" s="86">
        <f>SUBTOTAL(9,M3:M185)</f>
        <v>2686.8248960000019</v>
      </c>
      <c r="N186" s="86">
        <f>SUBTOTAL(9,N3:N185)</f>
        <v>6460.9858551500001</v>
      </c>
    </row>
  </sheetData>
  <autoFilter ref="A2:J185" xr:uid="{FE182CE4-AAC0-4680-A5B2-A6891DC4629B}">
    <filterColumn colId="0">
      <filters>
        <filter val="346"/>
        <filter val="347"/>
        <filter val="552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8991-9CD1-44D7-98CE-704A1FCEAE17}">
  <dimension ref="C3:I16"/>
  <sheetViews>
    <sheetView workbookViewId="0">
      <selection activeCell="F17" sqref="F17"/>
    </sheetView>
  </sheetViews>
  <sheetFormatPr defaultRowHeight="14.5" x14ac:dyDescent="0.35"/>
  <cols>
    <col min="3" max="3" width="21.26953125" bestFit="1" customWidth="1"/>
    <col min="4" max="4" width="11.81640625" bestFit="1" customWidth="1"/>
    <col min="5" max="5" width="11.90625" bestFit="1" customWidth="1"/>
    <col min="6" max="6" width="14.26953125" bestFit="1" customWidth="1"/>
    <col min="7" max="7" width="10.36328125" bestFit="1" customWidth="1"/>
    <col min="8" max="8" width="18.1796875" bestFit="1" customWidth="1"/>
    <col min="9" max="9" width="9" bestFit="1" customWidth="1"/>
  </cols>
  <sheetData>
    <row r="3" spans="3:9" x14ac:dyDescent="0.35">
      <c r="C3" s="390" t="s">
        <v>284</v>
      </c>
      <c r="D3" s="390"/>
      <c r="E3" s="390"/>
      <c r="F3" s="390"/>
      <c r="G3" s="390"/>
      <c r="H3" s="390"/>
      <c r="I3" s="390"/>
    </row>
    <row r="4" spans="3:9" x14ac:dyDescent="0.35">
      <c r="C4" s="102" t="s">
        <v>799</v>
      </c>
      <c r="D4" s="102" t="s">
        <v>222</v>
      </c>
      <c r="E4" s="102" t="s">
        <v>282</v>
      </c>
      <c r="F4" s="102" t="s">
        <v>283</v>
      </c>
      <c r="G4" s="102" t="s">
        <v>172</v>
      </c>
      <c r="H4" s="102" t="s">
        <v>805</v>
      </c>
      <c r="I4" s="42" t="s">
        <v>804</v>
      </c>
    </row>
    <row r="5" spans="3:9" x14ac:dyDescent="0.35">
      <c r="C5" s="42" t="s">
        <v>432</v>
      </c>
      <c r="D5" s="42"/>
      <c r="E5" s="288">
        <v>18758.069722222222</v>
      </c>
      <c r="F5" s="288">
        <v>3989.0465573333336</v>
      </c>
      <c r="G5" s="288">
        <f>SUM(E5:F5)</f>
        <v>22747.116279555557</v>
      </c>
      <c r="H5" s="42">
        <v>8088</v>
      </c>
      <c r="I5" s="90">
        <f>H5/G5</f>
        <v>0.35556155341190471</v>
      </c>
    </row>
    <row r="6" spans="3:9" x14ac:dyDescent="0.35">
      <c r="C6" s="42" t="s">
        <v>431</v>
      </c>
      <c r="D6" s="42"/>
      <c r="E6" s="288">
        <v>50549.831000000006</v>
      </c>
      <c r="F6" s="288">
        <v>14647.535019999998</v>
      </c>
      <c r="G6" s="288">
        <f t="shared" ref="G6" si="0">SUM(E6:F6)</f>
        <v>65197.366020000001</v>
      </c>
      <c r="H6" s="42">
        <v>17580</v>
      </c>
      <c r="I6" s="90">
        <f t="shared" ref="I6:I13" si="1">H6/G6</f>
        <v>0.26964279499584604</v>
      </c>
    </row>
    <row r="7" spans="3:9" x14ac:dyDescent="0.35">
      <c r="C7" s="42" t="s">
        <v>800</v>
      </c>
      <c r="D7" s="42"/>
      <c r="E7" s="288">
        <v>21649</v>
      </c>
      <c r="F7" s="288">
        <v>3410</v>
      </c>
      <c r="G7" s="288">
        <f>SUM(D7:F7)</f>
        <v>25059</v>
      </c>
      <c r="H7" s="42">
        <v>7890</v>
      </c>
      <c r="I7" s="90">
        <f t="shared" si="1"/>
        <v>0.3148569376271998</v>
      </c>
    </row>
    <row r="8" spans="3:9" x14ac:dyDescent="0.35">
      <c r="C8" s="42"/>
      <c r="D8" s="42"/>
      <c r="E8" s="288"/>
      <c r="F8" s="288"/>
      <c r="G8" s="288"/>
      <c r="H8" s="42"/>
      <c r="I8" s="90"/>
    </row>
    <row r="9" spans="3:9" x14ac:dyDescent="0.35">
      <c r="C9" s="284" t="s">
        <v>802</v>
      </c>
      <c r="D9" s="284"/>
      <c r="E9" s="289"/>
      <c r="F9" s="289"/>
      <c r="G9" s="289">
        <f>SUM(G5:G8)</f>
        <v>113003.48229955556</v>
      </c>
      <c r="H9" s="284">
        <f>SUM(H5:H8)</f>
        <v>33558</v>
      </c>
      <c r="I9" s="291">
        <f t="shared" si="1"/>
        <v>0.29696429983496164</v>
      </c>
    </row>
    <row r="10" spans="3:9" x14ac:dyDescent="0.35">
      <c r="C10" s="42" t="s">
        <v>801</v>
      </c>
      <c r="D10" s="42">
        <v>2094</v>
      </c>
      <c r="E10" s="288">
        <v>4751</v>
      </c>
      <c r="F10" s="288">
        <v>940</v>
      </c>
      <c r="G10" s="288">
        <f t="shared" ref="G10:G11" si="2">SUM(D10:F10)</f>
        <v>7785</v>
      </c>
      <c r="H10" s="42">
        <v>2335</v>
      </c>
      <c r="I10" s="90">
        <f t="shared" si="1"/>
        <v>0.29993577392421322</v>
      </c>
    </row>
    <row r="11" spans="3:9" x14ac:dyDescent="0.35">
      <c r="C11" s="42" t="s">
        <v>433</v>
      </c>
      <c r="D11" s="42">
        <v>2686</v>
      </c>
      <c r="E11" s="288">
        <v>12256.739993333333</v>
      </c>
      <c r="F11" s="288">
        <v>10987.920303888892</v>
      </c>
      <c r="G11" s="288">
        <f t="shared" si="2"/>
        <v>25930.660297222224</v>
      </c>
      <c r="H11" s="42">
        <v>4051</v>
      </c>
      <c r="I11" s="90">
        <f t="shared" si="1"/>
        <v>0.15622432878941983</v>
      </c>
    </row>
    <row r="12" spans="3:9" x14ac:dyDescent="0.35">
      <c r="C12" s="42"/>
      <c r="D12" s="42"/>
      <c r="E12" s="288"/>
      <c r="F12" s="288"/>
      <c r="G12" s="288"/>
      <c r="H12" s="42"/>
      <c r="I12" s="90"/>
    </row>
    <row r="13" spans="3:9" x14ac:dyDescent="0.35">
      <c r="C13" s="292" t="s">
        <v>803</v>
      </c>
      <c r="D13" s="292"/>
      <c r="E13" s="293"/>
      <c r="F13" s="293"/>
      <c r="G13" s="293">
        <f>SUM(G10:G12)</f>
        <v>33715.660297222224</v>
      </c>
      <c r="H13" s="292">
        <f>SUM(H10:H12)</f>
        <v>6386</v>
      </c>
      <c r="I13" s="294">
        <f t="shared" si="1"/>
        <v>0.18940753180284389</v>
      </c>
    </row>
    <row r="14" spans="3:9" x14ac:dyDescent="0.35">
      <c r="C14" s="42"/>
      <c r="D14" s="42"/>
      <c r="E14" s="288"/>
      <c r="F14" s="288"/>
      <c r="G14" s="288"/>
      <c r="H14" s="42"/>
      <c r="I14" s="90"/>
    </row>
    <row r="15" spans="3:9" x14ac:dyDescent="0.35">
      <c r="C15" s="42" t="s">
        <v>281</v>
      </c>
      <c r="D15" s="479">
        <f>G13+G9</f>
        <v>146719.14259677779</v>
      </c>
      <c r="E15" s="480"/>
      <c r="F15" s="480"/>
      <c r="G15" s="480"/>
      <c r="H15" s="295">
        <f>H9+H13</f>
        <v>39944</v>
      </c>
      <c r="I15" s="296">
        <f>H15/D15</f>
        <v>0.27224804679902237</v>
      </c>
    </row>
    <row r="16" spans="3:9" x14ac:dyDescent="0.35">
      <c r="C16" s="290"/>
      <c r="D16" s="476"/>
      <c r="E16" s="477"/>
      <c r="F16" s="477"/>
      <c r="G16" s="478"/>
    </row>
  </sheetData>
  <mergeCells count="3">
    <mergeCell ref="D16:G16"/>
    <mergeCell ref="D15:G15"/>
    <mergeCell ref="C3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1D82-704F-4C3A-892E-58274187AFC0}">
  <sheetPr filterMode="1"/>
  <dimension ref="A1:K233"/>
  <sheetViews>
    <sheetView zoomScaleNormal="100" workbookViewId="0">
      <pane ySplit="2" topLeftCell="A63" activePane="bottomLeft" state="frozen"/>
      <selection pane="bottomLeft" activeCell="N14" sqref="N14"/>
    </sheetView>
  </sheetViews>
  <sheetFormatPr defaultRowHeight="14.5" x14ac:dyDescent="0.35"/>
  <cols>
    <col min="1" max="1" width="8.453125" customWidth="1"/>
    <col min="2" max="2" width="10.7265625" bestFit="1" customWidth="1"/>
    <col min="3" max="3" width="19.90625" bestFit="1" customWidth="1"/>
    <col min="4" max="4" width="28.7265625" bestFit="1" customWidth="1"/>
    <col min="5" max="5" width="8.7265625" style="102"/>
    <col min="6" max="6" width="8.7265625" style="86"/>
    <col min="7" max="7" width="11.7265625" style="86" customWidth="1"/>
  </cols>
  <sheetData>
    <row r="1" spans="1:11" x14ac:dyDescent="0.35">
      <c r="A1" s="42"/>
      <c r="B1" s="42"/>
      <c r="C1" s="42"/>
      <c r="D1" s="42"/>
      <c r="E1" s="103">
        <v>1808181</v>
      </c>
      <c r="F1" s="103"/>
      <c r="G1" s="246">
        <v>9820.4235415409694</v>
      </c>
    </row>
    <row r="2" spans="1:11" x14ac:dyDescent="0.35">
      <c r="A2" s="136" t="s">
        <v>13</v>
      </c>
      <c r="B2" s="136" t="s">
        <v>546</v>
      </c>
      <c r="C2" s="244" t="s">
        <v>157</v>
      </c>
      <c r="D2" s="244" t="s">
        <v>547</v>
      </c>
      <c r="E2" s="244" t="s">
        <v>548</v>
      </c>
      <c r="F2" s="244" t="s">
        <v>549</v>
      </c>
      <c r="G2" s="244" t="s">
        <v>550</v>
      </c>
      <c r="H2" s="248" t="s">
        <v>610</v>
      </c>
      <c r="I2" s="248" t="s">
        <v>611</v>
      </c>
    </row>
    <row r="3" spans="1:11" hidden="1" x14ac:dyDescent="0.35">
      <c r="A3" s="102" t="s">
        <v>493</v>
      </c>
      <c r="B3" s="102" t="s">
        <v>494</v>
      </c>
      <c r="C3" s="102" t="s">
        <v>405</v>
      </c>
      <c r="D3" s="102" t="s">
        <v>492</v>
      </c>
      <c r="E3" s="102">
        <v>2500</v>
      </c>
      <c r="F3" s="103"/>
      <c r="G3" s="247">
        <v>755.04820094632782</v>
      </c>
    </row>
    <row r="4" spans="1:11" x14ac:dyDescent="0.35">
      <c r="A4" s="102" t="s">
        <v>449</v>
      </c>
      <c r="B4" s="102" t="s">
        <v>450</v>
      </c>
      <c r="C4" s="102" t="s">
        <v>454</v>
      </c>
      <c r="D4" s="102" t="s">
        <v>455</v>
      </c>
      <c r="E4" s="102">
        <v>98688</v>
      </c>
      <c r="F4" s="103"/>
      <c r="G4" s="247">
        <v>212.86033611706378</v>
      </c>
      <c r="H4">
        <v>2.0617046E-2</v>
      </c>
      <c r="I4">
        <v>1.9E-3</v>
      </c>
      <c r="J4">
        <f>E4*H4</f>
        <v>2034.655035648</v>
      </c>
      <c r="K4">
        <f>E4*I4</f>
        <v>187.50720000000001</v>
      </c>
    </row>
    <row r="5" spans="1:11" x14ac:dyDescent="0.35">
      <c r="A5" s="102" t="s">
        <v>233</v>
      </c>
      <c r="B5" s="102" t="s">
        <v>254</v>
      </c>
      <c r="C5" s="102" t="s">
        <v>267</v>
      </c>
      <c r="D5" s="102" t="s">
        <v>512</v>
      </c>
      <c r="E5" s="102">
        <v>33528</v>
      </c>
      <c r="F5" s="103"/>
      <c r="G5" s="247">
        <v>76.898835795454559</v>
      </c>
      <c r="H5">
        <f>VLOOKUP(C5,[5]MasterS.F!$A$5:$G$4349,7,0)</f>
        <v>2.0617046E-2</v>
      </c>
      <c r="I5">
        <f>VLOOKUP(C5,[5]MasterS.F!$A$5:$W$4350,23,0)</f>
        <v>1.9E-3</v>
      </c>
      <c r="J5">
        <f>E5*H5</f>
        <v>691.24831828799995</v>
      </c>
      <c r="K5">
        <f>E5*I5</f>
        <v>63.703200000000002</v>
      </c>
    </row>
    <row r="6" spans="1:11" hidden="1" x14ac:dyDescent="0.35">
      <c r="A6" s="102" t="s">
        <v>486</v>
      </c>
      <c r="B6" s="102" t="s">
        <v>316</v>
      </c>
      <c r="C6" s="102" t="s">
        <v>339</v>
      </c>
      <c r="D6" s="102" t="s">
        <v>542</v>
      </c>
      <c r="E6" s="102">
        <v>655</v>
      </c>
      <c r="F6" s="103"/>
      <c r="G6" s="247">
        <v>129.40457742036506</v>
      </c>
    </row>
    <row r="7" spans="1:11" hidden="1" x14ac:dyDescent="0.35">
      <c r="A7" s="102" t="s">
        <v>493</v>
      </c>
      <c r="B7" s="102" t="s">
        <v>494</v>
      </c>
      <c r="C7" s="102" t="s">
        <v>551</v>
      </c>
      <c r="D7" s="102" t="s">
        <v>552</v>
      </c>
      <c r="E7" s="102">
        <v>5120</v>
      </c>
      <c r="F7" s="103">
        <v>8000</v>
      </c>
      <c r="G7" s="247">
        <v>34.651651098484855</v>
      </c>
    </row>
    <row r="8" spans="1:11" hidden="1" x14ac:dyDescent="0.35">
      <c r="A8" s="102" t="s">
        <v>493</v>
      </c>
      <c r="B8" s="102" t="s">
        <v>494</v>
      </c>
      <c r="C8" s="102" t="s">
        <v>408</v>
      </c>
      <c r="D8" s="102" t="s">
        <v>553</v>
      </c>
      <c r="E8" s="102">
        <v>5120</v>
      </c>
      <c r="F8" s="103">
        <v>8000</v>
      </c>
      <c r="G8" s="247">
        <v>34.548674431818185</v>
      </c>
    </row>
    <row r="9" spans="1:11" x14ac:dyDescent="0.35">
      <c r="A9" s="102" t="s">
        <v>233</v>
      </c>
      <c r="B9" s="102" t="s">
        <v>254</v>
      </c>
      <c r="C9" s="102" t="s">
        <v>520</v>
      </c>
      <c r="D9" s="102" t="s">
        <v>521</v>
      </c>
      <c r="E9" s="102">
        <v>33000</v>
      </c>
      <c r="F9" s="103"/>
      <c r="G9" s="247">
        <v>38.103749999999998</v>
      </c>
      <c r="H9">
        <f>VLOOKUP(C9,[5]MasterS.F!$A$5:$G$4349,7,0)</f>
        <v>7.1000000000000004E-3</v>
      </c>
      <c r="I9">
        <f>VLOOKUP(C9,[5]MasterS.F!$A$5:$W$4350,23,0)</f>
        <v>1.6000000000000001E-3</v>
      </c>
      <c r="J9">
        <f>E9*H9</f>
        <v>234.3</v>
      </c>
      <c r="K9">
        <f>E9*I9</f>
        <v>52.800000000000004</v>
      </c>
    </row>
    <row r="10" spans="1:11" hidden="1" x14ac:dyDescent="0.35">
      <c r="A10" s="102" t="s">
        <v>468</v>
      </c>
      <c r="B10" s="102" t="s">
        <v>343</v>
      </c>
      <c r="C10" s="102" t="s">
        <v>344</v>
      </c>
      <c r="D10" s="102" t="s">
        <v>495</v>
      </c>
      <c r="E10" s="102">
        <v>18000</v>
      </c>
      <c r="F10" s="103">
        <v>15030</v>
      </c>
      <c r="G10" s="247">
        <v>67.823151977333012</v>
      </c>
    </row>
    <row r="11" spans="1:11" hidden="1" x14ac:dyDescent="0.35">
      <c r="A11" s="102">
        <v>356</v>
      </c>
      <c r="B11" s="102" t="s">
        <v>554</v>
      </c>
      <c r="C11" s="102" t="s">
        <v>543</v>
      </c>
      <c r="D11" s="102" t="s">
        <v>555</v>
      </c>
      <c r="E11" s="102">
        <v>0</v>
      </c>
      <c r="F11" s="103">
        <v>500</v>
      </c>
      <c r="G11" s="247">
        <v>0</v>
      </c>
    </row>
    <row r="12" spans="1:11" x14ac:dyDescent="0.35">
      <c r="A12" s="102" t="s">
        <v>238</v>
      </c>
      <c r="B12" s="102" t="s">
        <v>239</v>
      </c>
      <c r="C12" s="102" t="s">
        <v>242</v>
      </c>
      <c r="D12" s="102" t="s">
        <v>443</v>
      </c>
      <c r="E12" s="102">
        <v>27552</v>
      </c>
      <c r="F12" s="103">
        <v>30000</v>
      </c>
      <c r="G12" s="247">
        <v>59.836749660038485</v>
      </c>
      <c r="H12">
        <f>VLOOKUP(C12,[5]MasterS.F!$A$5:$G$4349,7,0)</f>
        <v>1.3086E-2</v>
      </c>
      <c r="I12">
        <f>VLOOKUP(C12,[5]MasterS.F!$A$5:$W$4350,23,0)</f>
        <v>2.1810000000000002E-3</v>
      </c>
      <c r="J12">
        <f>(E12+F12)*H12</f>
        <v>753.12547200000006</v>
      </c>
      <c r="K12">
        <f>(E12+F12)*I12</f>
        <v>125.52091200000001</v>
      </c>
    </row>
    <row r="13" spans="1:11" x14ac:dyDescent="0.35">
      <c r="A13" s="102" t="s">
        <v>233</v>
      </c>
      <c r="B13" s="102" t="s">
        <v>234</v>
      </c>
      <c r="C13" s="102" t="s">
        <v>206</v>
      </c>
      <c r="D13" s="102" t="s">
        <v>443</v>
      </c>
      <c r="E13" s="102">
        <v>17820</v>
      </c>
      <c r="F13" s="103"/>
      <c r="G13" s="247">
        <v>33.697627178030302</v>
      </c>
      <c r="H13">
        <f>VLOOKUP(C13,[5]MasterS.F!$A$5:$G$4349,7,0)</f>
        <v>2.9760000000000002E-2</v>
      </c>
      <c r="I13">
        <f>VLOOKUP(C13,[5]MasterS.F!$A$5:$W$4350,23,0)</f>
        <v>2.7899999999999999E-3</v>
      </c>
      <c r="J13">
        <f t="shared" ref="J13:J17" si="0">E13*H13</f>
        <v>530.32320000000004</v>
      </c>
      <c r="K13">
        <f t="shared" ref="K13:K17" si="1">E13*I13</f>
        <v>49.717799999999997</v>
      </c>
    </row>
    <row r="14" spans="1:11" x14ac:dyDescent="0.35">
      <c r="A14" s="102" t="s">
        <v>233</v>
      </c>
      <c r="B14" s="102" t="s">
        <v>317</v>
      </c>
      <c r="C14" s="102" t="s">
        <v>517</v>
      </c>
      <c r="D14" s="102" t="s">
        <v>518</v>
      </c>
      <c r="E14" s="102">
        <v>15120</v>
      </c>
      <c r="F14" s="103"/>
      <c r="G14" s="247">
        <v>23.89475454545455</v>
      </c>
      <c r="H14">
        <v>2.9760000000000002E-2</v>
      </c>
      <c r="I14">
        <v>2.7899999999999999E-3</v>
      </c>
      <c r="J14">
        <f t="shared" si="0"/>
        <v>449.97120000000001</v>
      </c>
      <c r="K14">
        <f t="shared" si="1"/>
        <v>42.184799999999996</v>
      </c>
    </row>
    <row r="15" spans="1:11" x14ac:dyDescent="0.35">
      <c r="A15" s="102" t="s">
        <v>449</v>
      </c>
      <c r="B15" s="102" t="s">
        <v>453</v>
      </c>
      <c r="C15" s="102" t="s">
        <v>451</v>
      </c>
      <c r="D15" s="102" t="s">
        <v>452</v>
      </c>
      <c r="E15" s="102">
        <v>8640</v>
      </c>
      <c r="F15" s="103"/>
      <c r="G15" s="247">
        <v>22.478469334893049</v>
      </c>
      <c r="H15">
        <v>2.9760000000000002E-2</v>
      </c>
      <c r="I15">
        <v>2.7899999999999999E-3</v>
      </c>
      <c r="J15">
        <f t="shared" si="0"/>
        <v>257.12639999999999</v>
      </c>
      <c r="K15">
        <f t="shared" si="1"/>
        <v>24.105599999999999</v>
      </c>
    </row>
    <row r="16" spans="1:11" x14ac:dyDescent="0.35">
      <c r="A16" s="102" t="s">
        <v>233</v>
      </c>
      <c r="B16" s="102" t="s">
        <v>234</v>
      </c>
      <c r="C16" s="102" t="s">
        <v>203</v>
      </c>
      <c r="D16" s="102" t="s">
        <v>440</v>
      </c>
      <c r="E16" s="102">
        <v>7920</v>
      </c>
      <c r="F16" s="103"/>
      <c r="G16" s="247">
        <v>14.932463522727273</v>
      </c>
      <c r="H16">
        <f>VLOOKUP(C16,[5]MasterS.F!$A$5:$G$4349,7,0)</f>
        <v>2.8000000000000001E-2</v>
      </c>
      <c r="I16">
        <f>VLOOKUP(C16,[5]MasterS.F!$A$5:$W$4350,23,0)</f>
        <v>3.3E-3</v>
      </c>
      <c r="J16">
        <f t="shared" si="0"/>
        <v>221.76</v>
      </c>
      <c r="K16">
        <f t="shared" si="1"/>
        <v>26.135999999999999</v>
      </c>
    </row>
    <row r="17" spans="1:11" x14ac:dyDescent="0.35">
      <c r="A17" s="102" t="s">
        <v>233</v>
      </c>
      <c r="B17" s="102" t="s">
        <v>254</v>
      </c>
      <c r="C17" s="102" t="s">
        <v>262</v>
      </c>
      <c r="D17" s="102" t="s">
        <v>510</v>
      </c>
      <c r="E17" s="102">
        <v>7874</v>
      </c>
      <c r="F17" s="103"/>
      <c r="G17" s="247">
        <v>9.6910774182472199</v>
      </c>
      <c r="H17">
        <f>VLOOKUP(C17,[5]MasterS.F!$A$5:$G$4349,7,0)</f>
        <v>1.4097426E-2</v>
      </c>
      <c r="I17">
        <f>VLOOKUP(C17,[5]MasterS.F!$A$5:$W$4350,23,0)</f>
        <v>1.9E-3</v>
      </c>
      <c r="J17">
        <f t="shared" si="0"/>
        <v>111.00313232399999</v>
      </c>
      <c r="K17">
        <f t="shared" si="1"/>
        <v>14.960599999999999</v>
      </c>
    </row>
    <row r="18" spans="1:11" hidden="1" x14ac:dyDescent="0.35">
      <c r="A18" s="102" t="s">
        <v>485</v>
      </c>
      <c r="B18" s="102" t="s">
        <v>347</v>
      </c>
      <c r="C18" s="102" t="s">
        <v>532</v>
      </c>
      <c r="D18" s="102" t="s">
        <v>533</v>
      </c>
      <c r="E18" s="102">
        <v>21600</v>
      </c>
      <c r="F18" s="103"/>
      <c r="G18" s="247">
        <v>0</v>
      </c>
    </row>
    <row r="19" spans="1:11" x14ac:dyDescent="0.35">
      <c r="A19" s="102" t="s">
        <v>233</v>
      </c>
      <c r="B19" s="102" t="s">
        <v>254</v>
      </c>
      <c r="C19" s="102" t="s">
        <v>519</v>
      </c>
      <c r="D19" s="102" t="s">
        <v>510</v>
      </c>
      <c r="E19" s="102">
        <v>5016</v>
      </c>
      <c r="F19" s="103"/>
      <c r="G19" s="247">
        <v>6.8456001584022035</v>
      </c>
      <c r="H19">
        <f>VLOOKUP(C19,[5]MasterS.F!$A$5:$G$4349,7,0)</f>
        <v>2.6620999999999999E-2</v>
      </c>
      <c r="I19">
        <f>VLOOKUP(C19,[5]MasterS.F!$A$5:$W$4350,23,0)</f>
        <v>3.3E-3</v>
      </c>
      <c r="J19">
        <f t="shared" ref="J19:J20" si="2">E19*H19</f>
        <v>133.530936</v>
      </c>
      <c r="K19">
        <f t="shared" ref="K19:K20" si="3">E19*I19</f>
        <v>16.552800000000001</v>
      </c>
    </row>
    <row r="20" spans="1:11" x14ac:dyDescent="0.35">
      <c r="A20" s="102" t="s">
        <v>233</v>
      </c>
      <c r="B20" s="102" t="s">
        <v>249</v>
      </c>
      <c r="C20" s="102" t="s">
        <v>208</v>
      </c>
      <c r="D20" s="102" t="s">
        <v>437</v>
      </c>
      <c r="E20" s="102">
        <v>4032</v>
      </c>
      <c r="F20" s="103"/>
      <c r="G20" s="247">
        <v>6.2699762121212119</v>
      </c>
      <c r="H20">
        <f>VLOOKUP(C20,[5]MasterS.F!$A$5:$G$4349,7,0)</f>
        <v>2.895E-2</v>
      </c>
      <c r="I20">
        <f>VLOOKUP(C20,[5]MasterS.F!$A$5:$W$4350,23,0)</f>
        <v>0.01</v>
      </c>
      <c r="J20">
        <f t="shared" si="2"/>
        <v>116.7264</v>
      </c>
      <c r="K20">
        <f t="shared" si="3"/>
        <v>40.32</v>
      </c>
    </row>
    <row r="21" spans="1:11" hidden="1" x14ac:dyDescent="0.35">
      <c r="A21" s="102" t="s">
        <v>531</v>
      </c>
      <c r="B21" s="102" t="s">
        <v>331</v>
      </c>
      <c r="C21" s="102" t="s">
        <v>529</v>
      </c>
      <c r="D21" s="102" t="s">
        <v>530</v>
      </c>
      <c r="E21" s="231">
        <v>480</v>
      </c>
      <c r="F21" s="103"/>
      <c r="G21" s="247">
        <v>3.3827751818181815</v>
      </c>
    </row>
    <row r="22" spans="1:11" x14ac:dyDescent="0.35">
      <c r="A22" s="102" t="s">
        <v>233</v>
      </c>
      <c r="B22" s="102" t="s">
        <v>254</v>
      </c>
      <c r="C22" s="102" t="s">
        <v>216</v>
      </c>
      <c r="D22" s="102" t="s">
        <v>512</v>
      </c>
      <c r="E22" s="102">
        <v>3300</v>
      </c>
      <c r="F22" s="103"/>
      <c r="G22" s="247">
        <v>4.0585953409090907</v>
      </c>
      <c r="H22">
        <f>VLOOKUP(C22,[5]MasterS.F!$A$5:$G$4349,7,0)</f>
        <v>2.3800000000000002E-2</v>
      </c>
      <c r="I22">
        <f>VLOOKUP(C22,[5]MasterS.F!$A$5:$W$4350,23,0)</f>
        <v>2E-3</v>
      </c>
      <c r="J22">
        <f>E22*H22</f>
        <v>78.540000000000006</v>
      </c>
      <c r="K22">
        <f>E22*I22</f>
        <v>6.6000000000000005</v>
      </c>
    </row>
    <row r="23" spans="1:11" hidden="1" x14ac:dyDescent="0.35">
      <c r="A23" s="102" t="s">
        <v>485</v>
      </c>
      <c r="B23" s="102" t="s">
        <v>325</v>
      </c>
      <c r="C23" s="102" t="s">
        <v>326</v>
      </c>
      <c r="D23" s="102" t="s">
        <v>497</v>
      </c>
      <c r="E23" s="102">
        <v>10800</v>
      </c>
      <c r="F23" s="103"/>
      <c r="G23" s="247">
        <v>9.5654997443181813</v>
      </c>
    </row>
    <row r="24" spans="1:11" x14ac:dyDescent="0.35">
      <c r="A24" s="102" t="s">
        <v>233</v>
      </c>
      <c r="B24" s="102" t="s">
        <v>234</v>
      </c>
      <c r="C24" s="102" t="s">
        <v>200</v>
      </c>
      <c r="D24" s="102" t="s">
        <v>440</v>
      </c>
      <c r="E24" s="102">
        <v>2904</v>
      </c>
      <c r="F24" s="103"/>
      <c r="G24" s="247">
        <v>4.7592881818181816</v>
      </c>
      <c r="H24">
        <f>VLOOKUP(C24,[5]MasterS.F!$A$5:$G$4349,7,0)</f>
        <v>2.7E-2</v>
      </c>
      <c r="I24">
        <f>VLOOKUP(C24,[5]MasterS.F!$A$5:$W$4350,23,0)</f>
        <v>3.3E-3</v>
      </c>
      <c r="J24">
        <f t="shared" ref="J24:J29" si="4">E24*H24</f>
        <v>78.408000000000001</v>
      </c>
      <c r="K24">
        <f t="shared" ref="K24:K29" si="5">E24*I24</f>
        <v>9.5831999999999997</v>
      </c>
    </row>
    <row r="25" spans="1:11" x14ac:dyDescent="0.35">
      <c r="A25" s="102" t="s">
        <v>233</v>
      </c>
      <c r="B25" s="102" t="s">
        <v>254</v>
      </c>
      <c r="C25" s="102" t="s">
        <v>523</v>
      </c>
      <c r="D25" s="102" t="s">
        <v>510</v>
      </c>
      <c r="E25" s="102">
        <v>2846</v>
      </c>
      <c r="F25" s="103"/>
      <c r="G25" s="247">
        <v>6.7564800912746996</v>
      </c>
      <c r="H25">
        <f>VLOOKUP(C25,[5]MasterS.F!$A$5:$G$4349,7,0)</f>
        <v>2.1984119999999999E-2</v>
      </c>
      <c r="I25">
        <f>VLOOKUP(C25,[5]MasterS.F!$A$5:$W$4350,23,0)</f>
        <v>5.0000000000000001E-3</v>
      </c>
      <c r="J25">
        <f t="shared" si="4"/>
        <v>62.566805519999996</v>
      </c>
      <c r="K25">
        <f t="shared" si="5"/>
        <v>14.23</v>
      </c>
    </row>
    <row r="26" spans="1:11" x14ac:dyDescent="0.35">
      <c r="A26" s="102" t="s">
        <v>233</v>
      </c>
      <c r="B26" s="102" t="s">
        <v>246</v>
      </c>
      <c r="C26" s="102" t="s">
        <v>515</v>
      </c>
      <c r="D26" s="102" t="s">
        <v>516</v>
      </c>
      <c r="E26" s="102">
        <v>2640</v>
      </c>
      <c r="F26" s="103"/>
      <c r="G26" s="247">
        <v>5.5761436553030306</v>
      </c>
      <c r="H26">
        <f>VLOOKUP(C26,[5]MasterS.F!$A$5:$G$4349,7,0)</f>
        <v>1.9800000000000002E-2</v>
      </c>
      <c r="I26">
        <f>VLOOKUP(C26,[5]MasterS.F!$A$5:$W$4350,23,0)</f>
        <v>1.11E-2</v>
      </c>
      <c r="J26">
        <f t="shared" si="4"/>
        <v>52.272000000000006</v>
      </c>
      <c r="K26">
        <f t="shared" si="5"/>
        <v>29.304000000000002</v>
      </c>
    </row>
    <row r="27" spans="1:11" x14ac:dyDescent="0.35">
      <c r="A27" s="102" t="s">
        <v>233</v>
      </c>
      <c r="B27" s="102" t="s">
        <v>254</v>
      </c>
      <c r="C27" s="102" t="s">
        <v>556</v>
      </c>
      <c r="D27" s="102" t="s">
        <v>512</v>
      </c>
      <c r="E27" s="102">
        <v>1980</v>
      </c>
      <c r="F27" s="103"/>
      <c r="G27" s="247">
        <v>8.5203948863636363</v>
      </c>
      <c r="H27">
        <f>VLOOKUP(C27,[5]MasterS.F!$A$5:$G$4349,7,0)</f>
        <v>2.7400000000000001E-2</v>
      </c>
      <c r="I27">
        <f>VLOOKUP(C27,[5]MasterS.F!$A$5:$W$4350,23,0)</f>
        <v>3.7000000000000002E-3</v>
      </c>
      <c r="J27">
        <f t="shared" si="4"/>
        <v>54.252000000000002</v>
      </c>
      <c r="K27">
        <f t="shared" si="5"/>
        <v>7.3260000000000005</v>
      </c>
    </row>
    <row r="28" spans="1:11" x14ac:dyDescent="0.35">
      <c r="A28" s="102" t="s">
        <v>233</v>
      </c>
      <c r="B28" s="102" t="s">
        <v>249</v>
      </c>
      <c r="C28" s="102" t="s">
        <v>251</v>
      </c>
      <c r="D28" s="102" t="s">
        <v>437</v>
      </c>
      <c r="E28" s="102">
        <v>1728</v>
      </c>
      <c r="F28" s="103"/>
      <c r="G28" s="247">
        <v>5.7222431818181825</v>
      </c>
      <c r="H28">
        <f>VLOOKUP(C28,[5]MasterS.F!$A$5:$G$4349,7,0)</f>
        <v>3.6545399999999999E-2</v>
      </c>
      <c r="I28">
        <v>3.7000000000000002E-3</v>
      </c>
      <c r="J28">
        <f t="shared" si="4"/>
        <v>63.150451199999999</v>
      </c>
      <c r="K28">
        <f t="shared" si="5"/>
        <v>6.3936000000000002</v>
      </c>
    </row>
    <row r="29" spans="1:11" x14ac:dyDescent="0.35">
      <c r="A29" s="102" t="s">
        <v>449</v>
      </c>
      <c r="B29" s="102" t="s">
        <v>450</v>
      </c>
      <c r="C29" s="102" t="s">
        <v>557</v>
      </c>
      <c r="D29" s="102" t="s">
        <v>455</v>
      </c>
      <c r="E29" s="102">
        <v>1440</v>
      </c>
      <c r="F29" s="103"/>
      <c r="G29" s="247">
        <v>4.4290911363636365</v>
      </c>
      <c r="H29">
        <v>2.7400000000000001E-2</v>
      </c>
      <c r="I29">
        <v>3.7000000000000002E-3</v>
      </c>
      <c r="J29">
        <f t="shared" si="4"/>
        <v>39.456000000000003</v>
      </c>
      <c r="K29">
        <f t="shared" si="5"/>
        <v>5.3280000000000003</v>
      </c>
    </row>
    <row r="30" spans="1:11" hidden="1" x14ac:dyDescent="0.35">
      <c r="A30" s="102" t="s">
        <v>531</v>
      </c>
      <c r="B30" s="102" t="s">
        <v>347</v>
      </c>
      <c r="C30" s="102" t="s">
        <v>558</v>
      </c>
      <c r="D30" s="102" t="s">
        <v>559</v>
      </c>
      <c r="E30" s="231">
        <v>6000</v>
      </c>
      <c r="F30" s="103"/>
      <c r="G30" s="247">
        <v>0</v>
      </c>
    </row>
    <row r="31" spans="1:11" x14ac:dyDescent="0.35">
      <c r="A31" s="102" t="s">
        <v>233</v>
      </c>
      <c r="B31" s="102" t="s">
        <v>234</v>
      </c>
      <c r="C31" s="102" t="s">
        <v>445</v>
      </c>
      <c r="D31" s="102" t="s">
        <v>440</v>
      </c>
      <c r="E31" s="102">
        <v>1320</v>
      </c>
      <c r="F31" s="103"/>
      <c r="G31" s="247">
        <v>5.2481936363636352</v>
      </c>
      <c r="H31">
        <f>VLOOKUP(C31,[5]MasterS.F!$A$5:$G$4349,7,0)</f>
        <v>5.0999999999999997E-2</v>
      </c>
      <c r="I31">
        <f>VLOOKUP(C31,[5]MasterS.F!$A$5:$W$4350,23,0)</f>
        <v>0.01</v>
      </c>
      <c r="J31">
        <f t="shared" ref="J31:J40" si="6">E31*H31</f>
        <v>67.319999999999993</v>
      </c>
      <c r="K31">
        <f t="shared" ref="K31:K40" si="7">E31*I31</f>
        <v>13.200000000000001</v>
      </c>
    </row>
    <row r="32" spans="1:11" x14ac:dyDescent="0.35">
      <c r="A32" s="102" t="s">
        <v>238</v>
      </c>
      <c r="B32" s="102" t="s">
        <v>239</v>
      </c>
      <c r="C32" s="102" t="s">
        <v>446</v>
      </c>
      <c r="D32" s="102" t="s">
        <v>438</v>
      </c>
      <c r="E32" s="102">
        <v>1320</v>
      </c>
      <c r="F32" s="103"/>
      <c r="G32" s="247">
        <v>2.5096155681818182</v>
      </c>
      <c r="H32">
        <f>VLOOKUP(C32,[5]MasterS.F!$A$5:$G$4349,7,0)</f>
        <v>1.95E-2</v>
      </c>
      <c r="I32">
        <f>VLOOKUP(C32,[5]MasterS.F!$A$5:$W$4350,23,0)</f>
        <v>8.2000000000000007E-3</v>
      </c>
      <c r="J32">
        <f t="shared" si="6"/>
        <v>25.74</v>
      </c>
      <c r="K32">
        <f t="shared" si="7"/>
        <v>10.824000000000002</v>
      </c>
    </row>
    <row r="33" spans="1:11" x14ac:dyDescent="0.35">
      <c r="A33" s="102" t="s">
        <v>238</v>
      </c>
      <c r="B33" s="102" t="s">
        <v>245</v>
      </c>
      <c r="C33" s="102" t="s">
        <v>560</v>
      </c>
      <c r="D33" s="102" t="s">
        <v>561</v>
      </c>
      <c r="E33" s="102">
        <v>1200</v>
      </c>
      <c r="F33" s="103"/>
      <c r="G33" s="247">
        <v>2.8446890909090907</v>
      </c>
      <c r="H33">
        <f>VLOOKUP(C33,[5]MasterS.F!$A$5:$G$4349,7,0)</f>
        <v>3.5000000000000003E-2</v>
      </c>
      <c r="I33">
        <f>VLOOKUP(C33,[5]MasterS.F!$A$5:$W$4350,23,0)</f>
        <v>4.0000000000000001E-3</v>
      </c>
      <c r="J33">
        <f t="shared" si="6"/>
        <v>42.000000000000007</v>
      </c>
      <c r="K33">
        <f t="shared" si="7"/>
        <v>4.8</v>
      </c>
    </row>
    <row r="34" spans="1:11" x14ac:dyDescent="0.35">
      <c r="A34" s="102" t="s">
        <v>238</v>
      </c>
      <c r="B34" s="102" t="s">
        <v>239</v>
      </c>
      <c r="C34" s="102" t="s">
        <v>562</v>
      </c>
      <c r="D34" s="102" t="s">
        <v>442</v>
      </c>
      <c r="E34" s="102">
        <v>1188</v>
      </c>
      <c r="F34" s="103"/>
      <c r="G34" s="247">
        <v>3.7614553409090909</v>
      </c>
      <c r="H34">
        <f>VLOOKUP(C34,[5]MasterS.F!$A$5:$G$4349,7,0)</f>
        <v>2.8000000000000001E-2</v>
      </c>
      <c r="I34">
        <f>VLOOKUP(C34,[5]MasterS.F!$A$5:$W$4350,23,0)</f>
        <v>4.0000000000000001E-3</v>
      </c>
      <c r="J34">
        <f t="shared" si="6"/>
        <v>33.264000000000003</v>
      </c>
      <c r="K34">
        <f t="shared" si="7"/>
        <v>4.7519999999999998</v>
      </c>
    </row>
    <row r="35" spans="1:11" x14ac:dyDescent="0.35">
      <c r="A35" s="102" t="s">
        <v>238</v>
      </c>
      <c r="B35" s="102" t="s">
        <v>245</v>
      </c>
      <c r="C35" s="102" t="s">
        <v>563</v>
      </c>
      <c r="D35" s="102" t="s">
        <v>564</v>
      </c>
      <c r="E35" s="102">
        <v>1100</v>
      </c>
      <c r="F35" s="103"/>
      <c r="G35" s="247">
        <v>1.3754425000000001</v>
      </c>
      <c r="H35">
        <f>VLOOKUP(C35,[5]MasterS.F!$A$5:$G$4349,7,0)</f>
        <v>3.5799999999999998E-2</v>
      </c>
      <c r="I35">
        <f>VLOOKUP(C35,[5]MasterS.F!$A$5:$W$4350,23,0)</f>
        <v>6.0000000000000001E-3</v>
      </c>
      <c r="J35">
        <f t="shared" si="6"/>
        <v>39.379999999999995</v>
      </c>
      <c r="K35">
        <f t="shared" si="7"/>
        <v>6.6000000000000005</v>
      </c>
    </row>
    <row r="36" spans="1:11" x14ac:dyDescent="0.35">
      <c r="A36" s="102" t="s">
        <v>233</v>
      </c>
      <c r="B36" s="102" t="s">
        <v>249</v>
      </c>
      <c r="C36" s="102" t="s">
        <v>565</v>
      </c>
      <c r="D36" s="102" t="s">
        <v>437</v>
      </c>
      <c r="E36" s="102">
        <v>1080</v>
      </c>
      <c r="F36" s="103"/>
      <c r="G36" s="247">
        <v>3.7249032954545451</v>
      </c>
      <c r="H36">
        <f>VLOOKUP(C36,[5]MasterS.F!$A$5:$G$4349,7,0)</f>
        <v>2.5017306999999999E-2</v>
      </c>
      <c r="I36">
        <f>VLOOKUP(C36,[5]MasterS.F!$A$5:$W$4350,23,0)</f>
        <v>3.3E-3</v>
      </c>
      <c r="J36">
        <f t="shared" si="6"/>
        <v>27.018691560000001</v>
      </c>
      <c r="K36">
        <f t="shared" si="7"/>
        <v>3.5640000000000001</v>
      </c>
    </row>
    <row r="37" spans="1:11" x14ac:dyDescent="0.35">
      <c r="A37" s="102" t="s">
        <v>238</v>
      </c>
      <c r="B37" s="102" t="s">
        <v>239</v>
      </c>
      <c r="C37" s="102" t="s">
        <v>566</v>
      </c>
      <c r="D37" s="102" t="s">
        <v>442</v>
      </c>
      <c r="E37" s="102">
        <v>1056</v>
      </c>
      <c r="F37" s="103"/>
      <c r="G37" s="247">
        <v>4.6049369318181821</v>
      </c>
      <c r="H37">
        <f>VLOOKUP(C37,[5]MasterS.F!$A$5:$G$4349,7,0)</f>
        <v>3.2000000000000001E-2</v>
      </c>
      <c r="I37">
        <f>VLOOKUP(C37,[5]MasterS.F!$A$5:$W$4350,23,0)</f>
        <v>5.0000000000000001E-3</v>
      </c>
      <c r="J37">
        <f t="shared" si="6"/>
        <v>33.792000000000002</v>
      </c>
      <c r="K37">
        <f t="shared" si="7"/>
        <v>5.28</v>
      </c>
    </row>
    <row r="38" spans="1:11" x14ac:dyDescent="0.35">
      <c r="A38" s="102" t="s">
        <v>238</v>
      </c>
      <c r="B38" s="102" t="s">
        <v>239</v>
      </c>
      <c r="C38" s="102" t="s">
        <v>567</v>
      </c>
      <c r="D38" s="102" t="s">
        <v>438</v>
      </c>
      <c r="E38" s="102">
        <v>1056</v>
      </c>
      <c r="F38" s="103"/>
      <c r="G38" s="247">
        <v>3.6410975000000003</v>
      </c>
      <c r="H38">
        <f>VLOOKUP(C38,[5]MasterS.F!$A$5:$G$4349,7,0)</f>
        <v>3.5999999999999997E-2</v>
      </c>
      <c r="I38">
        <f>VLOOKUP(C38,[5]MasterS.F!$A$5:$W$4350,23,0)</f>
        <v>3.3E-3</v>
      </c>
      <c r="J38">
        <f t="shared" si="6"/>
        <v>38.015999999999998</v>
      </c>
      <c r="K38">
        <f t="shared" si="7"/>
        <v>3.4847999999999999</v>
      </c>
    </row>
    <row r="39" spans="1:11" x14ac:dyDescent="0.35">
      <c r="A39" s="102" t="s">
        <v>233</v>
      </c>
      <c r="B39" s="102" t="s">
        <v>254</v>
      </c>
      <c r="C39" s="102" t="s">
        <v>568</v>
      </c>
      <c r="D39" s="102" t="s">
        <v>512</v>
      </c>
      <c r="E39" s="102">
        <v>1056</v>
      </c>
      <c r="F39" s="103"/>
      <c r="G39" s="247">
        <v>3.06747375</v>
      </c>
      <c r="H39">
        <f>VLOOKUP(C39,[5]MasterS.F!$A$5:$G$4349,7,0)</f>
        <v>4.4999999999999998E-2</v>
      </c>
      <c r="I39">
        <f>VLOOKUP(C39,[5]MasterS.F!$A$5:$W$4350,23,0)</f>
        <v>6.7000000000000002E-3</v>
      </c>
      <c r="J39">
        <f t="shared" si="6"/>
        <v>47.519999999999996</v>
      </c>
      <c r="K39">
        <f t="shared" si="7"/>
        <v>7.0752000000000006</v>
      </c>
    </row>
    <row r="40" spans="1:11" x14ac:dyDescent="0.35">
      <c r="A40" s="102" t="s">
        <v>233</v>
      </c>
      <c r="B40" s="102" t="s">
        <v>254</v>
      </c>
      <c r="C40" s="102" t="s">
        <v>569</v>
      </c>
      <c r="D40" s="102" t="s">
        <v>510</v>
      </c>
      <c r="E40" s="102">
        <v>1056</v>
      </c>
      <c r="F40" s="103"/>
      <c r="G40" s="247">
        <v>2.413380681818182</v>
      </c>
      <c r="H40">
        <f>VLOOKUP(C40,[5]MasterS.F!$A$5:$G$4349,7,0)</f>
        <v>1.4999999999999999E-2</v>
      </c>
      <c r="I40">
        <f>VLOOKUP(C40,[5]MasterS.F!$A$5:$W$4350,23,0)</f>
        <v>1.9E-3</v>
      </c>
      <c r="J40">
        <f t="shared" si="6"/>
        <v>15.84</v>
      </c>
      <c r="K40">
        <f t="shared" si="7"/>
        <v>2.0064000000000002</v>
      </c>
    </row>
    <row r="41" spans="1:11" hidden="1" x14ac:dyDescent="0.35">
      <c r="A41" s="102" t="s">
        <v>531</v>
      </c>
      <c r="B41" s="102" t="s">
        <v>347</v>
      </c>
      <c r="C41" s="102" t="s">
        <v>570</v>
      </c>
      <c r="D41" s="102" t="s">
        <v>571</v>
      </c>
      <c r="E41" s="231">
        <v>15000</v>
      </c>
      <c r="F41" s="103"/>
      <c r="G41" s="247">
        <v>0</v>
      </c>
    </row>
    <row r="42" spans="1:11" x14ac:dyDescent="0.35">
      <c r="A42" s="102" t="s">
        <v>233</v>
      </c>
      <c r="B42" s="102" t="s">
        <v>254</v>
      </c>
      <c r="C42" s="102" t="s">
        <v>509</v>
      </c>
      <c r="D42" s="102" t="s">
        <v>510</v>
      </c>
      <c r="E42" s="102">
        <v>1056</v>
      </c>
      <c r="F42" s="103"/>
      <c r="G42" s="247">
        <v>1.7321579545454544</v>
      </c>
      <c r="H42">
        <f>VLOOKUP(C42,[5]MasterS.F!$A$5:$G$4349,7,0)</f>
        <v>1.0688068E-2</v>
      </c>
      <c r="I42">
        <f>VLOOKUP(C42,[5]MasterS.F!$A$5:$W$4350,23,0)</f>
        <v>1.9E-3</v>
      </c>
      <c r="J42">
        <f t="shared" ref="J42:J78" si="8">E42*H42</f>
        <v>11.286599808</v>
      </c>
      <c r="K42">
        <f t="shared" ref="K42:K78" si="9">E42*I42</f>
        <v>2.0064000000000002</v>
      </c>
    </row>
    <row r="43" spans="1:11" x14ac:dyDescent="0.35">
      <c r="A43" s="102" t="s">
        <v>233</v>
      </c>
      <c r="B43" s="102" t="s">
        <v>254</v>
      </c>
      <c r="C43" s="102" t="s">
        <v>572</v>
      </c>
      <c r="D43" s="102" t="s">
        <v>510</v>
      </c>
      <c r="E43" s="102">
        <v>1056</v>
      </c>
      <c r="F43" s="103"/>
      <c r="G43" s="247">
        <v>1.0904070454545456</v>
      </c>
      <c r="H43">
        <f>VLOOKUP(C43,[5]MasterS.F!$A$5:$G$4349,7,0)</f>
        <v>1.700424E-2</v>
      </c>
      <c r="I43">
        <f>VLOOKUP(C43,[5]MasterS.F!$A$5:$W$4350,23,0)</f>
        <v>0</v>
      </c>
      <c r="J43">
        <f t="shared" si="8"/>
        <v>17.95647744</v>
      </c>
      <c r="K43">
        <f t="shared" si="9"/>
        <v>0</v>
      </c>
    </row>
    <row r="44" spans="1:11" x14ac:dyDescent="0.35">
      <c r="A44" s="102" t="s">
        <v>233</v>
      </c>
      <c r="B44" s="102" t="s">
        <v>234</v>
      </c>
      <c r="C44" s="102" t="s">
        <v>204</v>
      </c>
      <c r="D44" s="102" t="s">
        <v>440</v>
      </c>
      <c r="E44" s="102">
        <v>924</v>
      </c>
      <c r="F44" s="103"/>
      <c r="G44" s="247">
        <v>1.3034534090909091</v>
      </c>
      <c r="H44">
        <f>VLOOKUP(C44,[5]MasterS.F!$A$5:$G$4349,7,0)</f>
        <v>1.6934999999999999E-2</v>
      </c>
      <c r="I44">
        <f>VLOOKUP(C44,[5]MasterS.F!$A$5:$W$4350,23,0)</f>
        <v>3.3E-3</v>
      </c>
      <c r="J44">
        <f t="shared" si="8"/>
        <v>15.647939999999998</v>
      </c>
      <c r="K44">
        <f t="shared" si="9"/>
        <v>3.0491999999999999</v>
      </c>
    </row>
    <row r="45" spans="1:11" x14ac:dyDescent="0.35">
      <c r="A45" s="102" t="s">
        <v>233</v>
      </c>
      <c r="B45" s="102" t="s">
        <v>254</v>
      </c>
      <c r="C45" s="102" t="s">
        <v>217</v>
      </c>
      <c r="D45" s="102" t="s">
        <v>521</v>
      </c>
      <c r="E45" s="102">
        <v>792</v>
      </c>
      <c r="F45" s="103"/>
      <c r="G45" s="247">
        <v>1.8384237499999998</v>
      </c>
      <c r="H45">
        <f>VLOOKUP(C45,[5]MasterS.F!$A$5:$G$4349,7,0)</f>
        <v>2.1999999999999999E-2</v>
      </c>
      <c r="I45">
        <f>VLOOKUP(C45,[5]MasterS.F!$A$5:$W$4350,23,0)</f>
        <v>2E-3</v>
      </c>
      <c r="J45">
        <f t="shared" si="8"/>
        <v>17.423999999999999</v>
      </c>
      <c r="K45">
        <f t="shared" si="9"/>
        <v>1.5840000000000001</v>
      </c>
    </row>
    <row r="46" spans="1:11" x14ac:dyDescent="0.35">
      <c r="A46" s="102" t="s">
        <v>238</v>
      </c>
      <c r="B46" s="102" t="s">
        <v>239</v>
      </c>
      <c r="C46" s="102" t="s">
        <v>439</v>
      </c>
      <c r="D46" s="102" t="s">
        <v>438</v>
      </c>
      <c r="E46" s="102">
        <v>792</v>
      </c>
      <c r="F46" s="103"/>
      <c r="G46" s="247">
        <v>1.6211921590909091</v>
      </c>
      <c r="H46">
        <f>VLOOKUP(C46,[5]MasterS.F!$A$5:$G$4349,7,0)</f>
        <v>3.1E-2</v>
      </c>
      <c r="I46">
        <f>VLOOKUP(C46,[5]MasterS.F!$A$5:$W$4350,23,0)</f>
        <v>6.1000000000000004E-3</v>
      </c>
      <c r="J46">
        <f t="shared" si="8"/>
        <v>24.552</v>
      </c>
      <c r="K46">
        <f t="shared" si="9"/>
        <v>4.8311999999999999</v>
      </c>
    </row>
    <row r="47" spans="1:11" x14ac:dyDescent="0.35">
      <c r="A47" s="102" t="s">
        <v>238</v>
      </c>
      <c r="B47" s="102" t="s">
        <v>245</v>
      </c>
      <c r="C47" s="102" t="s">
        <v>209</v>
      </c>
      <c r="D47" s="102" t="s">
        <v>444</v>
      </c>
      <c r="E47" s="102">
        <v>720</v>
      </c>
      <c r="F47" s="103"/>
      <c r="G47" s="247">
        <v>2.6247129545454544</v>
      </c>
      <c r="H47">
        <f>VLOOKUP(C47,[5]MasterS.F!$A$5:$G$4349,7,0)</f>
        <v>2.9000000000000001E-2</v>
      </c>
      <c r="I47">
        <f>VLOOKUP(C47,[5]MasterS.F!$A$5:$W$4350,23,0)</f>
        <v>0.03</v>
      </c>
      <c r="J47">
        <f t="shared" si="8"/>
        <v>20.880000000000003</v>
      </c>
      <c r="K47">
        <f t="shared" si="9"/>
        <v>21.599999999999998</v>
      </c>
    </row>
    <row r="48" spans="1:11" x14ac:dyDescent="0.35">
      <c r="A48" s="102" t="s">
        <v>233</v>
      </c>
      <c r="B48" s="102" t="s">
        <v>246</v>
      </c>
      <c r="C48" s="102" t="s">
        <v>573</v>
      </c>
      <c r="D48" s="102" t="s">
        <v>574</v>
      </c>
      <c r="E48" s="102">
        <v>720</v>
      </c>
      <c r="F48" s="103"/>
      <c r="G48" s="247">
        <v>1.1120973863636365</v>
      </c>
      <c r="H48">
        <f>VLOOKUP(C48,[5]MasterS.F!$A$5:$G$4349,7,0)</f>
        <v>0.02</v>
      </c>
      <c r="I48">
        <f>VLOOKUP(C48,[5]MasterS.F!$A$5:$W$4350,23,0)</f>
        <v>3.0000000000000001E-3</v>
      </c>
      <c r="J48">
        <f t="shared" si="8"/>
        <v>14.4</v>
      </c>
      <c r="K48">
        <f t="shared" si="9"/>
        <v>2.16</v>
      </c>
    </row>
    <row r="49" spans="1:11" x14ac:dyDescent="0.35">
      <c r="A49" s="102" t="s">
        <v>233</v>
      </c>
      <c r="B49" s="102" t="s">
        <v>254</v>
      </c>
      <c r="C49" s="102" t="s">
        <v>524</v>
      </c>
      <c r="D49" s="102" t="s">
        <v>512</v>
      </c>
      <c r="E49" s="102">
        <v>660</v>
      </c>
      <c r="F49" s="103"/>
      <c r="G49" s="247">
        <v>1.6830461363636364</v>
      </c>
      <c r="H49">
        <f>VLOOKUP(C49,[5]MasterS.F!$A$5:$G$4349,7,0)</f>
        <v>5.6000000000000001E-2</v>
      </c>
      <c r="I49">
        <f>VLOOKUP(C49,[5]MasterS.F!$A$5:$W$4350,23,0)</f>
        <v>3.0000000000000001E-3</v>
      </c>
      <c r="J49">
        <f t="shared" si="8"/>
        <v>36.96</v>
      </c>
      <c r="K49">
        <f t="shared" si="9"/>
        <v>1.98</v>
      </c>
    </row>
    <row r="50" spans="1:11" x14ac:dyDescent="0.35">
      <c r="A50" s="102" t="s">
        <v>238</v>
      </c>
      <c r="B50" s="102" t="s">
        <v>239</v>
      </c>
      <c r="C50" s="102" t="s">
        <v>241</v>
      </c>
      <c r="D50" s="102" t="s">
        <v>442</v>
      </c>
      <c r="E50" s="102">
        <v>660</v>
      </c>
      <c r="F50" s="103"/>
      <c r="G50" s="247">
        <v>1.5640723863636361</v>
      </c>
      <c r="H50">
        <f>VLOOKUP(C50,[5]MasterS.F!$A$5:$G$4349,7,0)</f>
        <v>3.0000000000000001E-3</v>
      </c>
      <c r="I50">
        <f>VLOOKUP(C50,[5]MasterS.F!$A$5:$W$4350,23,0)</f>
        <v>1.6999999999999999E-3</v>
      </c>
      <c r="J50">
        <f t="shared" si="8"/>
        <v>1.98</v>
      </c>
      <c r="K50">
        <f t="shared" si="9"/>
        <v>1.1219999999999999</v>
      </c>
    </row>
    <row r="51" spans="1:11" x14ac:dyDescent="0.35">
      <c r="A51" s="102" t="s">
        <v>233</v>
      </c>
      <c r="B51" s="102" t="s">
        <v>254</v>
      </c>
      <c r="C51" s="102" t="s">
        <v>575</v>
      </c>
      <c r="D51" s="102" t="s">
        <v>510</v>
      </c>
      <c r="E51" s="102">
        <v>660</v>
      </c>
      <c r="F51" s="103"/>
      <c r="G51" s="247">
        <v>1.5555730681818178</v>
      </c>
      <c r="H51">
        <f>VLOOKUP(C51,[5]MasterS.F!$A$5:$G$4349,7,0)</f>
        <v>2.1499999999999998E-2</v>
      </c>
      <c r="I51">
        <f>VLOOKUP(C51,[5]MasterS.F!$A$5:$W$4350,23,0)</f>
        <v>6.1000000000000004E-3</v>
      </c>
      <c r="J51">
        <f t="shared" si="8"/>
        <v>14.19</v>
      </c>
      <c r="K51">
        <f t="shared" si="9"/>
        <v>4.0260000000000007</v>
      </c>
    </row>
    <row r="52" spans="1:11" x14ac:dyDescent="0.35">
      <c r="A52" s="102" t="s">
        <v>238</v>
      </c>
      <c r="B52" s="102" t="s">
        <v>239</v>
      </c>
      <c r="C52" s="102" t="s">
        <v>441</v>
      </c>
      <c r="D52" s="102" t="s">
        <v>442</v>
      </c>
      <c r="E52" s="102">
        <v>594</v>
      </c>
      <c r="F52" s="103"/>
      <c r="G52" s="247">
        <v>2.8402986363636367</v>
      </c>
      <c r="H52">
        <f>VLOOKUP(C52,[5]MasterS.F!$A$5:$G$4349,7,0)</f>
        <v>3.7999999999999999E-2</v>
      </c>
      <c r="I52">
        <f>VLOOKUP(C52,[5]MasterS.F!$A$5:$W$4350,23,0)</f>
        <v>3.3E-3</v>
      </c>
      <c r="J52">
        <f t="shared" si="8"/>
        <v>22.571999999999999</v>
      </c>
      <c r="K52">
        <f t="shared" si="9"/>
        <v>1.9601999999999999</v>
      </c>
    </row>
    <row r="53" spans="1:11" x14ac:dyDescent="0.35">
      <c r="A53" s="102" t="s">
        <v>233</v>
      </c>
      <c r="B53" s="102" t="s">
        <v>254</v>
      </c>
      <c r="C53" s="102" t="s">
        <v>576</v>
      </c>
      <c r="D53" s="102" t="s">
        <v>510</v>
      </c>
      <c r="E53" s="102">
        <v>594</v>
      </c>
      <c r="F53" s="103"/>
      <c r="G53" s="247">
        <v>1.3797657954545453</v>
      </c>
      <c r="H53">
        <f>VLOOKUP(C53,[5]MasterS.F!$A$5:$G$4349,7,0)</f>
        <v>1.4404348000000001E-2</v>
      </c>
      <c r="I53">
        <f>VLOOKUP(C53,[5]MasterS.F!$A$5:$W$4350,23,0)</f>
        <v>1.9E-3</v>
      </c>
      <c r="J53">
        <f t="shared" si="8"/>
        <v>8.556182712</v>
      </c>
      <c r="K53">
        <f t="shared" si="9"/>
        <v>1.1286</v>
      </c>
    </row>
    <row r="54" spans="1:11" x14ac:dyDescent="0.35">
      <c r="A54" s="102" t="s">
        <v>233</v>
      </c>
      <c r="B54" s="102" t="s">
        <v>254</v>
      </c>
      <c r="C54" s="102" t="s">
        <v>522</v>
      </c>
      <c r="D54" s="102" t="s">
        <v>512</v>
      </c>
      <c r="E54" s="102">
        <v>594</v>
      </c>
      <c r="F54" s="103"/>
      <c r="G54" s="247">
        <v>1.0016019318181819</v>
      </c>
      <c r="H54">
        <f>VLOOKUP(C54,[5]MasterS.F!$A$5:$G$4349,7,0)</f>
        <v>3.5999999999999997E-2</v>
      </c>
      <c r="I54">
        <f>VLOOKUP(C54,[5]MasterS.F!$A$5:$W$4350,23,0)</f>
        <v>2E-3</v>
      </c>
      <c r="J54">
        <f t="shared" si="8"/>
        <v>21.383999999999997</v>
      </c>
      <c r="K54">
        <f t="shared" si="9"/>
        <v>1.1879999999999999</v>
      </c>
    </row>
    <row r="55" spans="1:11" x14ac:dyDescent="0.35">
      <c r="A55" s="102" t="s">
        <v>233</v>
      </c>
      <c r="B55" s="102" t="s">
        <v>254</v>
      </c>
      <c r="C55" s="102" t="s">
        <v>577</v>
      </c>
      <c r="D55" s="102" t="s">
        <v>510</v>
      </c>
      <c r="E55" s="102">
        <v>594</v>
      </c>
      <c r="F55" s="103"/>
      <c r="G55" s="247">
        <v>0.60542727272727281</v>
      </c>
      <c r="H55">
        <f>VLOOKUP(C55,[5]MasterS.F!$A$5:$G$4349,7,0)</f>
        <v>1.4E-2</v>
      </c>
      <c r="I55">
        <f>VLOOKUP(C55,[5]MasterS.F!$A$5:$W$4350,23,0)</f>
        <v>6.1000000000000004E-3</v>
      </c>
      <c r="J55">
        <f t="shared" si="8"/>
        <v>8.3160000000000007</v>
      </c>
      <c r="K55">
        <f t="shared" si="9"/>
        <v>3.6234000000000002</v>
      </c>
    </row>
    <row r="56" spans="1:11" x14ac:dyDescent="0.35">
      <c r="A56" s="102" t="s">
        <v>233</v>
      </c>
      <c r="B56" s="102" t="s">
        <v>246</v>
      </c>
      <c r="C56" s="102" t="s">
        <v>525</v>
      </c>
      <c r="D56" s="102" t="s">
        <v>514</v>
      </c>
      <c r="E56" s="102">
        <v>576</v>
      </c>
      <c r="F56" s="103"/>
      <c r="G56" s="247">
        <v>0.7243395075757576</v>
      </c>
      <c r="H56">
        <f>VLOOKUP(C56,[5]MasterS.F!$A$5:$G$4349,7,0)</f>
        <v>9.7000000000000003E-3</v>
      </c>
      <c r="I56">
        <f>VLOOKUP(C56,[5]MasterS.F!$A$5:$W$4350,23,0)</f>
        <v>0</v>
      </c>
      <c r="J56">
        <f t="shared" si="8"/>
        <v>5.5872000000000002</v>
      </c>
      <c r="K56">
        <f t="shared" si="9"/>
        <v>0</v>
      </c>
    </row>
    <row r="57" spans="1:11" x14ac:dyDescent="0.35">
      <c r="A57" s="102" t="s">
        <v>233</v>
      </c>
      <c r="B57" s="102" t="s">
        <v>246</v>
      </c>
      <c r="C57" s="102" t="s">
        <v>578</v>
      </c>
      <c r="D57" s="102" t="s">
        <v>526</v>
      </c>
      <c r="E57" s="102">
        <v>528</v>
      </c>
      <c r="F57" s="103"/>
      <c r="G57" s="247">
        <v>1.5793846590909091</v>
      </c>
      <c r="H57">
        <f>VLOOKUP(C57,[5]MasterS.F!$A$5:$G$4349,7,0)</f>
        <v>2.5000000000000001E-2</v>
      </c>
      <c r="I57">
        <f>VLOOKUP(C57,[5]MasterS.F!$A$5:$W$4350,23,0)</f>
        <v>3.0000000000000001E-3</v>
      </c>
      <c r="J57">
        <f t="shared" si="8"/>
        <v>13.200000000000001</v>
      </c>
      <c r="K57">
        <f t="shared" si="9"/>
        <v>1.5840000000000001</v>
      </c>
    </row>
    <row r="58" spans="1:11" x14ac:dyDescent="0.35">
      <c r="A58" s="102" t="s">
        <v>233</v>
      </c>
      <c r="B58" s="102" t="s">
        <v>254</v>
      </c>
      <c r="C58" s="102" t="s">
        <v>259</v>
      </c>
      <c r="D58" s="102" t="s">
        <v>510</v>
      </c>
      <c r="E58" s="102">
        <v>528</v>
      </c>
      <c r="F58" s="103"/>
      <c r="G58" s="247">
        <v>1.2411684090909092</v>
      </c>
      <c r="H58">
        <f>VLOOKUP(C58,[5]MasterS.F!$A$5:$G$4349,7,0)</f>
        <v>1.4668182E-2</v>
      </c>
      <c r="I58">
        <f>VLOOKUP(C58,[5]MasterS.F!$A$5:$W$4350,23,0)</f>
        <v>1.9E-3</v>
      </c>
      <c r="J58">
        <f t="shared" si="8"/>
        <v>7.7448000959999996</v>
      </c>
      <c r="K58">
        <f t="shared" si="9"/>
        <v>1.0032000000000001</v>
      </c>
    </row>
    <row r="59" spans="1:11" x14ac:dyDescent="0.35">
      <c r="A59" s="102" t="s">
        <v>233</v>
      </c>
      <c r="B59" s="102" t="s">
        <v>246</v>
      </c>
      <c r="C59" s="102" t="s">
        <v>579</v>
      </c>
      <c r="D59" s="102" t="s">
        <v>514</v>
      </c>
      <c r="E59" s="102">
        <v>528</v>
      </c>
      <c r="F59" s="103"/>
      <c r="G59" s="247">
        <v>0.93591511363636359</v>
      </c>
      <c r="H59">
        <f>VLOOKUP(C59,[5]MasterS.F!$A$5:$G$4349,7,0)</f>
        <v>1.1246256E-2</v>
      </c>
      <c r="I59">
        <f>VLOOKUP(C59,[5]MasterS.F!$A$5:$W$4350,23,0)</f>
        <v>3.0000000000000001E-3</v>
      </c>
      <c r="J59">
        <f t="shared" si="8"/>
        <v>5.938023168</v>
      </c>
      <c r="K59">
        <f t="shared" si="9"/>
        <v>1.5840000000000001</v>
      </c>
    </row>
    <row r="60" spans="1:11" x14ac:dyDescent="0.35">
      <c r="A60" s="102" t="s">
        <v>233</v>
      </c>
      <c r="B60" s="102" t="s">
        <v>246</v>
      </c>
      <c r="C60" s="102" t="s">
        <v>527</v>
      </c>
      <c r="D60" s="102" t="s">
        <v>514</v>
      </c>
      <c r="E60" s="102">
        <v>432</v>
      </c>
      <c r="F60" s="103"/>
      <c r="G60" s="247">
        <v>1.0890694886363634</v>
      </c>
      <c r="H60">
        <f>VLOOKUP(C60,[5]MasterS.F!$A$5:$G$4349,7,0)</f>
        <v>3.2000000000000001E-2</v>
      </c>
      <c r="I60">
        <f>VLOOKUP(C60,[5]MasterS.F!$A$5:$W$4350,23,0)</f>
        <v>3.0000000000000001E-3</v>
      </c>
      <c r="J60">
        <f t="shared" si="8"/>
        <v>13.824</v>
      </c>
      <c r="K60">
        <f t="shared" si="9"/>
        <v>1.296</v>
      </c>
    </row>
    <row r="61" spans="1:11" x14ac:dyDescent="0.35">
      <c r="A61" s="102" t="s">
        <v>233</v>
      </c>
      <c r="B61" s="102" t="s">
        <v>254</v>
      </c>
      <c r="C61" s="102" t="s">
        <v>511</v>
      </c>
      <c r="D61" s="102" t="s">
        <v>512</v>
      </c>
      <c r="E61" s="102">
        <v>396</v>
      </c>
      <c r="F61" s="103"/>
      <c r="G61" s="247">
        <v>1.9508013636363635</v>
      </c>
      <c r="H61">
        <f>VLOOKUP(C61,[5]MasterS.F!$A$5:$G$4349,7,0)</f>
        <v>2.9899999999999999E-2</v>
      </c>
      <c r="I61">
        <f>VLOOKUP(C61,[5]MasterS.F!$A$5:$W$4350,23,0)</f>
        <v>1.9E-3</v>
      </c>
      <c r="J61">
        <f t="shared" si="8"/>
        <v>11.840399999999999</v>
      </c>
      <c r="K61">
        <f t="shared" si="9"/>
        <v>0.75239999999999996</v>
      </c>
    </row>
    <row r="62" spans="1:11" x14ac:dyDescent="0.35">
      <c r="A62" s="102" t="s">
        <v>233</v>
      </c>
      <c r="B62" s="102" t="s">
        <v>254</v>
      </c>
      <c r="C62" s="102" t="s">
        <v>580</v>
      </c>
      <c r="D62" s="102" t="s">
        <v>512</v>
      </c>
      <c r="E62" s="102">
        <v>396</v>
      </c>
      <c r="F62" s="103"/>
      <c r="G62" s="247">
        <v>0.55744613636363638</v>
      </c>
      <c r="H62">
        <f>VLOOKUP(C62,[5]MasterS.F!$A$5:$G$4349,7,0)</f>
        <v>3.1E-2</v>
      </c>
      <c r="I62">
        <f>VLOOKUP(C62,[5]MasterS.F!$A$5:$W$4350,23,0)</f>
        <v>2E-3</v>
      </c>
      <c r="J62">
        <f t="shared" si="8"/>
        <v>12.276</v>
      </c>
      <c r="K62">
        <f t="shared" si="9"/>
        <v>0.79200000000000004</v>
      </c>
    </row>
    <row r="63" spans="1:11" x14ac:dyDescent="0.35">
      <c r="A63" s="102" t="s">
        <v>233</v>
      </c>
      <c r="B63" s="102" t="s">
        <v>249</v>
      </c>
      <c r="C63" s="102" t="s">
        <v>448</v>
      </c>
      <c r="D63" s="102" t="s">
        <v>437</v>
      </c>
      <c r="E63" s="102">
        <v>288</v>
      </c>
      <c r="F63" s="103"/>
      <c r="G63" s="247">
        <v>1.2774845454545454</v>
      </c>
      <c r="H63">
        <f>VLOOKUP(C63,[5]MasterS.F!$A$5:$G$4349,7,0)</f>
        <v>3.0028124999999999E-2</v>
      </c>
      <c r="I63">
        <f>VLOOKUP(C63,[5]MasterS.F!$A$5:$W$4350,23,0)</f>
        <v>1.0999999999999999E-2</v>
      </c>
      <c r="J63">
        <f t="shared" si="8"/>
        <v>8.6480999999999995</v>
      </c>
      <c r="K63">
        <f t="shared" si="9"/>
        <v>3.1679999999999997</v>
      </c>
    </row>
    <row r="64" spans="1:11" x14ac:dyDescent="0.35">
      <c r="A64" s="102" t="s">
        <v>238</v>
      </c>
      <c r="B64" s="102" t="s">
        <v>245</v>
      </c>
      <c r="C64" s="102" t="s">
        <v>581</v>
      </c>
      <c r="D64" s="102" t="s">
        <v>561</v>
      </c>
      <c r="E64" s="102">
        <v>288</v>
      </c>
      <c r="F64" s="103"/>
      <c r="G64" s="247">
        <v>1.1194405681818183</v>
      </c>
      <c r="H64">
        <f>VLOOKUP(C64,[5]MasterS.F!$A$5:$G$4349,7,0)</f>
        <v>3.9E-2</v>
      </c>
      <c r="I64">
        <f>VLOOKUP(C64,[5]MasterS.F!$A$5:$W$4350,23,0)</f>
        <v>6.7000000000000002E-3</v>
      </c>
      <c r="J64">
        <f t="shared" si="8"/>
        <v>11.231999999999999</v>
      </c>
      <c r="K64">
        <f t="shared" si="9"/>
        <v>1.9296</v>
      </c>
    </row>
    <row r="65" spans="1:11" x14ac:dyDescent="0.35">
      <c r="A65" s="102" t="s">
        <v>238</v>
      </c>
      <c r="B65" s="102" t="s">
        <v>239</v>
      </c>
      <c r="C65" s="102" t="s">
        <v>582</v>
      </c>
      <c r="D65" s="102" t="s">
        <v>438</v>
      </c>
      <c r="E65" s="102">
        <v>264</v>
      </c>
      <c r="F65" s="103"/>
      <c r="G65" s="247">
        <v>2.3698063636363633</v>
      </c>
      <c r="H65">
        <f>VLOOKUP(C65,[5]MasterS.F!$A$5:$G$4349,7,0)</f>
        <v>4.4999999999999998E-2</v>
      </c>
      <c r="I65">
        <f>VLOOKUP(C65,[5]MasterS.F!$A$5:$W$4350,23,0)</f>
        <v>3.3E-3</v>
      </c>
      <c r="J65">
        <f t="shared" si="8"/>
        <v>11.879999999999999</v>
      </c>
      <c r="K65">
        <f t="shared" si="9"/>
        <v>0.87119999999999997</v>
      </c>
    </row>
    <row r="66" spans="1:11" x14ac:dyDescent="0.35">
      <c r="A66" s="102" t="s">
        <v>233</v>
      </c>
      <c r="B66" s="102" t="s">
        <v>254</v>
      </c>
      <c r="C66" s="102" t="s">
        <v>583</v>
      </c>
      <c r="D66" s="102" t="s">
        <v>512</v>
      </c>
      <c r="E66" s="102">
        <v>264</v>
      </c>
      <c r="F66" s="103"/>
      <c r="G66" s="247">
        <v>1.1810263636363638</v>
      </c>
      <c r="H66">
        <f>VLOOKUP(C66,[5]MasterS.F!$A$5:$G$4349,7,0)</f>
        <v>4.2000000000000003E-2</v>
      </c>
      <c r="I66">
        <f>VLOOKUP(C66,[5]MasterS.F!$A$5:$W$4350,23,0)</f>
        <v>2E-3</v>
      </c>
      <c r="J66">
        <f t="shared" si="8"/>
        <v>11.088000000000001</v>
      </c>
      <c r="K66">
        <f t="shared" si="9"/>
        <v>0.52800000000000002</v>
      </c>
    </row>
    <row r="67" spans="1:11" x14ac:dyDescent="0.35">
      <c r="A67" s="102" t="s">
        <v>238</v>
      </c>
      <c r="B67" s="102" t="s">
        <v>239</v>
      </c>
      <c r="C67" s="102" t="s">
        <v>584</v>
      </c>
      <c r="D67" s="102" t="s">
        <v>438</v>
      </c>
      <c r="E67" s="102">
        <v>264</v>
      </c>
      <c r="F67" s="103"/>
      <c r="G67" s="247">
        <v>0.80660181818181831</v>
      </c>
      <c r="H67">
        <f>VLOOKUP(C67,[5]MasterS.F!$A$5:$G$4349,7,0)</f>
        <v>1.9444400000000001E-2</v>
      </c>
      <c r="I67">
        <f>VLOOKUP(C67,[5]MasterS.F!$A$5:$W$4350,23,0)</f>
        <v>3.3333E-3</v>
      </c>
      <c r="J67">
        <f t="shared" si="8"/>
        <v>5.1333216000000004</v>
      </c>
      <c r="K67">
        <f t="shared" si="9"/>
        <v>0.87999119999999997</v>
      </c>
    </row>
    <row r="68" spans="1:11" x14ac:dyDescent="0.35">
      <c r="A68" s="102" t="s">
        <v>233</v>
      </c>
      <c r="B68" s="102" t="s">
        <v>254</v>
      </c>
      <c r="C68" s="102" t="s">
        <v>585</v>
      </c>
      <c r="D68" s="102" t="s">
        <v>512</v>
      </c>
      <c r="E68" s="102">
        <v>264</v>
      </c>
      <c r="F68" s="103"/>
      <c r="G68" s="247">
        <v>0.76194215909090923</v>
      </c>
      <c r="H68">
        <f>VLOOKUP(C68,[5]MasterS.F!$A$5:$G$4349,7,0)</f>
        <v>2.7099999999999999E-2</v>
      </c>
      <c r="I68">
        <f>VLOOKUP(C68,[5]MasterS.F!$A$5:$W$4350,23,0)</f>
        <v>1.9E-3</v>
      </c>
      <c r="J68">
        <f t="shared" si="8"/>
        <v>7.1543999999999999</v>
      </c>
      <c r="K68">
        <f t="shared" si="9"/>
        <v>0.50160000000000005</v>
      </c>
    </row>
    <row r="69" spans="1:11" x14ac:dyDescent="0.35">
      <c r="A69" s="102" t="s">
        <v>233</v>
      </c>
      <c r="B69" s="102" t="s">
        <v>246</v>
      </c>
      <c r="C69" s="102" t="s">
        <v>219</v>
      </c>
      <c r="D69" s="102" t="s">
        <v>574</v>
      </c>
      <c r="E69" s="102">
        <v>264</v>
      </c>
      <c r="F69" s="103"/>
      <c r="G69" s="247">
        <v>0.55773988636363636</v>
      </c>
      <c r="H69">
        <f>VLOOKUP(C69,[5]MasterS.F!$A$5:$G$4349,7,0)</f>
        <v>8.2510399999999994E-3</v>
      </c>
      <c r="I69">
        <f>VLOOKUP(C69,[5]MasterS.F!$A$5:$W$4350,23,0)</f>
        <v>3.0000000000000001E-3</v>
      </c>
      <c r="J69">
        <f t="shared" si="8"/>
        <v>2.1782745599999997</v>
      </c>
      <c r="K69">
        <f t="shared" si="9"/>
        <v>0.79200000000000004</v>
      </c>
    </row>
    <row r="70" spans="1:11" x14ac:dyDescent="0.35">
      <c r="A70" s="102" t="s">
        <v>233</v>
      </c>
      <c r="B70" s="102" t="s">
        <v>254</v>
      </c>
      <c r="C70" s="102" t="s">
        <v>586</v>
      </c>
      <c r="D70" s="102" t="s">
        <v>510</v>
      </c>
      <c r="E70" s="102">
        <v>264</v>
      </c>
      <c r="F70" s="103"/>
      <c r="G70" s="247">
        <v>0.43715795454545459</v>
      </c>
      <c r="H70">
        <f>VLOOKUP(C70,[5]MasterS.F!$A$5:$G$4349,7,0)</f>
        <v>0.01</v>
      </c>
      <c r="I70">
        <f>VLOOKUP(C70,[5]MasterS.F!$A$5:$W$4350,23,0)</f>
        <v>1.9E-3</v>
      </c>
      <c r="J70">
        <f t="shared" si="8"/>
        <v>2.64</v>
      </c>
      <c r="K70">
        <f t="shared" si="9"/>
        <v>0.50160000000000005</v>
      </c>
    </row>
    <row r="71" spans="1:11" x14ac:dyDescent="0.35">
      <c r="A71" s="102" t="s">
        <v>233</v>
      </c>
      <c r="B71" s="102" t="s">
        <v>254</v>
      </c>
      <c r="C71" s="102" t="s">
        <v>587</v>
      </c>
      <c r="D71" s="102" t="s">
        <v>521</v>
      </c>
      <c r="E71" s="102">
        <v>214</v>
      </c>
      <c r="F71" s="103"/>
      <c r="G71" s="247">
        <v>1.1927467045454547</v>
      </c>
      <c r="H71">
        <f>VLOOKUP(C71,[5]MasterS.F!$A$5:$G$4349,7,0)</f>
        <v>0.06</v>
      </c>
      <c r="I71">
        <f>VLOOKUP(C71,[5]MasterS.F!$A$5:$W$4350,23,0)</f>
        <v>2E-3</v>
      </c>
      <c r="J71">
        <f t="shared" si="8"/>
        <v>12.84</v>
      </c>
      <c r="K71">
        <f t="shared" si="9"/>
        <v>0.42799999999999999</v>
      </c>
    </row>
    <row r="72" spans="1:11" x14ac:dyDescent="0.35">
      <c r="A72" s="102" t="s">
        <v>238</v>
      </c>
      <c r="B72" s="102" t="s">
        <v>239</v>
      </c>
      <c r="C72" s="102" t="s">
        <v>447</v>
      </c>
      <c r="D72" s="102" t="s">
        <v>438</v>
      </c>
      <c r="E72" s="102">
        <v>198</v>
      </c>
      <c r="F72" s="103"/>
      <c r="G72" s="247">
        <v>0.72786318181818177</v>
      </c>
      <c r="H72">
        <f>VLOOKUP(C72,[5]MasterS.F!$A$5:$G$4349,7,0)</f>
        <v>4.02E-2</v>
      </c>
      <c r="I72">
        <f>VLOOKUP(C72,[5]MasterS.F!$A$5:$W$4350,23,0)</f>
        <v>3.0000000000000001E-3</v>
      </c>
      <c r="J72">
        <f t="shared" si="8"/>
        <v>7.9596</v>
      </c>
      <c r="K72">
        <f t="shared" si="9"/>
        <v>0.59399999999999997</v>
      </c>
    </row>
    <row r="73" spans="1:11" x14ac:dyDescent="0.35">
      <c r="A73" s="102" t="s">
        <v>233</v>
      </c>
      <c r="B73" s="102" t="s">
        <v>254</v>
      </c>
      <c r="C73" s="102" t="s">
        <v>513</v>
      </c>
      <c r="D73" s="102" t="s">
        <v>512</v>
      </c>
      <c r="E73" s="102">
        <v>198</v>
      </c>
      <c r="F73" s="103"/>
      <c r="G73" s="247">
        <v>0.49866125</v>
      </c>
      <c r="H73">
        <f>VLOOKUP(C73,[5]MasterS.F!$A$5:$G$4349,7,0)</f>
        <v>2.9000000000000001E-2</v>
      </c>
      <c r="I73">
        <f>VLOOKUP(C73,[5]MasterS.F!$A$5:$W$4350,23,0)</f>
        <v>2E-3</v>
      </c>
      <c r="J73">
        <f t="shared" si="8"/>
        <v>5.742</v>
      </c>
      <c r="K73">
        <f t="shared" si="9"/>
        <v>0.39600000000000002</v>
      </c>
    </row>
    <row r="74" spans="1:11" x14ac:dyDescent="0.35">
      <c r="A74" s="102" t="s">
        <v>233</v>
      </c>
      <c r="B74" s="102" t="s">
        <v>254</v>
      </c>
      <c r="C74" s="102" t="s">
        <v>263</v>
      </c>
      <c r="D74" s="102" t="s">
        <v>512</v>
      </c>
      <c r="E74" s="102">
        <v>132</v>
      </c>
      <c r="F74" s="103"/>
      <c r="G74" s="247">
        <v>0.61948011363636368</v>
      </c>
      <c r="H74">
        <f>VLOOKUP(C74,[5]MasterS.F!$A$5:$G$4349,7,0)</f>
        <v>3.9E-2</v>
      </c>
      <c r="I74">
        <f>VLOOKUP(C74,[5]MasterS.F!$A$5:$W$4350,23,0)</f>
        <v>2E-3</v>
      </c>
      <c r="J74">
        <f t="shared" si="8"/>
        <v>5.1479999999999997</v>
      </c>
      <c r="K74">
        <f t="shared" si="9"/>
        <v>0.26400000000000001</v>
      </c>
    </row>
    <row r="75" spans="1:11" x14ac:dyDescent="0.35">
      <c r="A75" s="102" t="s">
        <v>233</v>
      </c>
      <c r="B75" s="102" t="s">
        <v>254</v>
      </c>
      <c r="C75" s="102" t="s">
        <v>588</v>
      </c>
      <c r="D75" s="102" t="s">
        <v>512</v>
      </c>
      <c r="E75" s="102">
        <v>132</v>
      </c>
      <c r="F75" s="103"/>
      <c r="G75" s="247">
        <v>0.53028193181818184</v>
      </c>
      <c r="H75">
        <f>VLOOKUP(C75,[5]MasterS.F!$A$5:$G$4349,7,0)</f>
        <v>6.8000000000000005E-2</v>
      </c>
      <c r="I75">
        <f>VLOOKUP(C75,[5]MasterS.F!$A$5:$W$4350,23,0)</f>
        <v>4.0000000000000001E-3</v>
      </c>
      <c r="J75">
        <f t="shared" si="8"/>
        <v>8.9760000000000009</v>
      </c>
      <c r="K75">
        <f t="shared" si="9"/>
        <v>0.52800000000000002</v>
      </c>
    </row>
    <row r="76" spans="1:11" x14ac:dyDescent="0.35">
      <c r="A76" s="102" t="s">
        <v>233</v>
      </c>
      <c r="B76" s="102" t="s">
        <v>254</v>
      </c>
      <c r="C76" s="102" t="s">
        <v>589</v>
      </c>
      <c r="D76" s="102" t="s">
        <v>510</v>
      </c>
      <c r="E76" s="102">
        <v>132</v>
      </c>
      <c r="F76" s="103"/>
      <c r="G76" s="247">
        <v>0.33053420454545451</v>
      </c>
      <c r="H76">
        <f>VLOOKUP(C76,[5]MasterS.F!$A$5:$G$4349,7,0)</f>
        <v>2.538E-2</v>
      </c>
      <c r="I76">
        <f>VLOOKUP(C76,[5]MasterS.F!$A$5:$W$4350,23,0)</f>
        <v>1.6000000000000001E-3</v>
      </c>
      <c r="J76">
        <f t="shared" si="8"/>
        <v>3.3501599999999998</v>
      </c>
      <c r="K76">
        <f t="shared" si="9"/>
        <v>0.2112</v>
      </c>
    </row>
    <row r="77" spans="1:11" x14ac:dyDescent="0.35">
      <c r="A77" s="102" t="s">
        <v>238</v>
      </c>
      <c r="B77" s="102" t="s">
        <v>245</v>
      </c>
      <c r="C77" s="102" t="s">
        <v>590</v>
      </c>
      <c r="D77" s="102" t="s">
        <v>561</v>
      </c>
      <c r="E77" s="102">
        <v>50</v>
      </c>
      <c r="F77" s="103"/>
      <c r="G77" s="247">
        <v>0.28867079545454544</v>
      </c>
      <c r="H77">
        <f>VLOOKUP(C77,[5]MasterS.F!$A$5:$G$4349,7,0)</f>
        <v>3.6999999999999998E-2</v>
      </c>
      <c r="I77">
        <f>VLOOKUP(C77,[5]MasterS.F!$A$5:$W$4350,23,0)</f>
        <v>6.1000000000000004E-3</v>
      </c>
      <c r="J77">
        <f t="shared" si="8"/>
        <v>1.8499999999999999</v>
      </c>
      <c r="K77">
        <f t="shared" si="9"/>
        <v>0.30499999999999999</v>
      </c>
    </row>
    <row r="78" spans="1:11" x14ac:dyDescent="0.35">
      <c r="A78" s="102" t="s">
        <v>233</v>
      </c>
      <c r="B78" s="102" t="s">
        <v>254</v>
      </c>
      <c r="C78" s="102" t="s">
        <v>528</v>
      </c>
      <c r="D78" s="102" t="s">
        <v>512</v>
      </c>
      <c r="E78" s="102">
        <v>30</v>
      </c>
      <c r="F78" s="103"/>
      <c r="G78" s="247">
        <v>0.19716295454545454</v>
      </c>
      <c r="H78">
        <f>VLOOKUP(C78,[5]MasterS.F!$A$5:$G$4349,7,0)</f>
        <v>2.1999999999999999E-2</v>
      </c>
      <c r="I78">
        <f>VLOOKUP(C78,[5]MasterS.F!$A$5:$W$4350,23,0)</f>
        <v>2E-3</v>
      </c>
      <c r="J78">
        <f t="shared" si="8"/>
        <v>0.65999999999999992</v>
      </c>
      <c r="K78">
        <f t="shared" si="9"/>
        <v>0.06</v>
      </c>
    </row>
    <row r="79" spans="1:11" hidden="1" x14ac:dyDescent="0.35">
      <c r="A79" s="102" t="s">
        <v>55</v>
      </c>
      <c r="B79" s="102" t="s">
        <v>336</v>
      </c>
      <c r="C79" s="102" t="s">
        <v>53</v>
      </c>
      <c r="D79" s="102" t="s">
        <v>456</v>
      </c>
      <c r="E79" s="102">
        <v>59250</v>
      </c>
      <c r="F79" s="103"/>
      <c r="G79" s="247">
        <v>630.2266084896695</v>
      </c>
    </row>
    <row r="80" spans="1:11" hidden="1" x14ac:dyDescent="0.35">
      <c r="A80" s="102" t="s">
        <v>55</v>
      </c>
      <c r="B80" s="102" t="s">
        <v>337</v>
      </c>
      <c r="C80" s="102" t="s">
        <v>84</v>
      </c>
      <c r="D80" s="102" t="s">
        <v>456</v>
      </c>
      <c r="E80" s="102">
        <v>2000</v>
      </c>
      <c r="F80" s="103"/>
      <c r="G80" s="247">
        <v>44.779905250783699</v>
      </c>
    </row>
    <row r="81" spans="1:7" hidden="1" x14ac:dyDescent="0.35">
      <c r="A81" s="102" t="s">
        <v>55</v>
      </c>
      <c r="B81" s="102" t="s">
        <v>116</v>
      </c>
      <c r="C81" s="102" t="s">
        <v>334</v>
      </c>
      <c r="D81" s="102" t="s">
        <v>457</v>
      </c>
      <c r="E81" s="102">
        <v>2620</v>
      </c>
      <c r="F81" s="103"/>
      <c r="G81" s="247">
        <v>18.862262045454546</v>
      </c>
    </row>
    <row r="82" spans="1:7" hidden="1" x14ac:dyDescent="0.35">
      <c r="A82" s="102" t="s">
        <v>55</v>
      </c>
      <c r="B82" s="102" t="s">
        <v>311</v>
      </c>
      <c r="C82" s="102" t="s">
        <v>69</v>
      </c>
      <c r="D82" s="102" t="s">
        <v>458</v>
      </c>
      <c r="E82" s="102">
        <v>0</v>
      </c>
      <c r="F82" s="103">
        <v>3000</v>
      </c>
      <c r="G82" s="247">
        <v>0</v>
      </c>
    </row>
    <row r="83" spans="1:7" hidden="1" x14ac:dyDescent="0.35">
      <c r="A83" s="102" t="s">
        <v>55</v>
      </c>
      <c r="B83" s="102" t="s">
        <v>311</v>
      </c>
      <c r="C83" s="102" t="s">
        <v>66</v>
      </c>
      <c r="D83" s="102" t="s">
        <v>459</v>
      </c>
      <c r="E83" s="102">
        <v>19500</v>
      </c>
      <c r="F83" s="103"/>
      <c r="G83" s="247">
        <v>115.65423967830164</v>
      </c>
    </row>
    <row r="84" spans="1:7" hidden="1" x14ac:dyDescent="0.35">
      <c r="A84" s="102" t="s">
        <v>55</v>
      </c>
      <c r="B84" s="102" t="s">
        <v>311</v>
      </c>
      <c r="C84" s="102" t="s">
        <v>118</v>
      </c>
      <c r="D84" s="102" t="s">
        <v>460</v>
      </c>
      <c r="E84" s="102">
        <v>23820</v>
      </c>
      <c r="F84" s="103"/>
      <c r="G84" s="247">
        <v>135.09838923212465</v>
      </c>
    </row>
    <row r="85" spans="1:7" hidden="1" x14ac:dyDescent="0.35">
      <c r="A85" s="102" t="s">
        <v>55</v>
      </c>
      <c r="B85" s="102" t="s">
        <v>116</v>
      </c>
      <c r="C85" s="102" t="s">
        <v>304</v>
      </c>
      <c r="D85" s="102" t="s">
        <v>461</v>
      </c>
      <c r="E85" s="102">
        <v>9600</v>
      </c>
      <c r="F85" s="103">
        <v>12000</v>
      </c>
      <c r="G85" s="247">
        <v>118.89810250803859</v>
      </c>
    </row>
    <row r="86" spans="1:7" hidden="1" x14ac:dyDescent="0.35">
      <c r="A86" s="102" t="s">
        <v>55</v>
      </c>
      <c r="B86" s="102" t="s">
        <v>335</v>
      </c>
      <c r="C86" s="102" t="s">
        <v>462</v>
      </c>
      <c r="D86" s="102" t="s">
        <v>463</v>
      </c>
      <c r="E86" s="102">
        <v>10000</v>
      </c>
      <c r="F86" s="103"/>
      <c r="G86" s="247">
        <v>126.99362297890565</v>
      </c>
    </row>
    <row r="87" spans="1:7" hidden="1" x14ac:dyDescent="0.35">
      <c r="A87" s="102" t="s">
        <v>55</v>
      </c>
      <c r="B87" s="102" t="s">
        <v>335</v>
      </c>
      <c r="C87" s="102" t="s">
        <v>407</v>
      </c>
      <c r="D87" s="102" t="s">
        <v>463</v>
      </c>
      <c r="E87" s="102">
        <v>5000</v>
      </c>
      <c r="F87" s="103"/>
      <c r="G87" s="247">
        <v>55.97089434003496</v>
      </c>
    </row>
    <row r="88" spans="1:7" hidden="1" x14ac:dyDescent="0.35">
      <c r="A88" s="102" t="s">
        <v>55</v>
      </c>
      <c r="B88" s="102" t="s">
        <v>335</v>
      </c>
      <c r="C88" s="102" t="s">
        <v>591</v>
      </c>
      <c r="D88" s="102" t="s">
        <v>463</v>
      </c>
      <c r="E88" s="102">
        <v>200</v>
      </c>
      <c r="F88" s="103"/>
      <c r="G88" s="247">
        <v>2.0534996590909089</v>
      </c>
    </row>
    <row r="89" spans="1:7" hidden="1" x14ac:dyDescent="0.35">
      <c r="A89" s="102" t="s">
        <v>43</v>
      </c>
      <c r="B89" s="102" t="s">
        <v>342</v>
      </c>
      <c r="C89" s="102" t="s">
        <v>40</v>
      </c>
      <c r="D89" s="102" t="s">
        <v>464</v>
      </c>
      <c r="E89" s="102">
        <v>79800</v>
      </c>
      <c r="F89" s="103"/>
      <c r="G89" s="247">
        <v>21.008490795454545</v>
      </c>
    </row>
    <row r="90" spans="1:7" hidden="1" x14ac:dyDescent="0.35">
      <c r="A90" s="102" t="s">
        <v>43</v>
      </c>
      <c r="B90" s="102" t="s">
        <v>342</v>
      </c>
      <c r="C90" s="102" t="s">
        <v>465</v>
      </c>
      <c r="D90" s="102" t="s">
        <v>466</v>
      </c>
      <c r="E90" s="102">
        <v>455000</v>
      </c>
      <c r="F90" s="103"/>
      <c r="G90" s="247">
        <v>136.57339552072241</v>
      </c>
    </row>
    <row r="91" spans="1:7" hidden="1" x14ac:dyDescent="0.35">
      <c r="A91" s="102" t="s">
        <v>468</v>
      </c>
      <c r="B91" s="102" t="s">
        <v>314</v>
      </c>
      <c r="C91" s="102" t="s">
        <v>173</v>
      </c>
      <c r="D91" s="102" t="s">
        <v>467</v>
      </c>
      <c r="E91" s="231">
        <v>50000</v>
      </c>
      <c r="F91" s="103"/>
      <c r="G91" s="247">
        <v>84.728869334942345</v>
      </c>
    </row>
    <row r="92" spans="1:7" hidden="1" x14ac:dyDescent="0.35">
      <c r="A92" s="102" t="s">
        <v>55</v>
      </c>
      <c r="B92" s="102" t="s">
        <v>312</v>
      </c>
      <c r="C92" s="102" t="s">
        <v>469</v>
      </c>
      <c r="D92" s="102" t="s">
        <v>470</v>
      </c>
      <c r="E92" s="102">
        <v>38820</v>
      </c>
      <c r="F92" s="103"/>
      <c r="G92" s="247">
        <v>516.52634547133107</v>
      </c>
    </row>
    <row r="93" spans="1:7" hidden="1" x14ac:dyDescent="0.35">
      <c r="A93" s="102" t="s">
        <v>468</v>
      </c>
      <c r="B93" s="102" t="s">
        <v>473</v>
      </c>
      <c r="C93" s="102" t="s">
        <v>471</v>
      </c>
      <c r="D93" s="102" t="s">
        <v>472</v>
      </c>
      <c r="E93" s="231">
        <v>42120</v>
      </c>
      <c r="F93" s="103"/>
      <c r="G93" s="247">
        <v>15.852100774651189</v>
      </c>
    </row>
    <row r="94" spans="1:7" hidden="1" x14ac:dyDescent="0.35">
      <c r="A94" s="102" t="s">
        <v>468</v>
      </c>
      <c r="B94" s="102" t="s">
        <v>473</v>
      </c>
      <c r="C94" s="102" t="s">
        <v>474</v>
      </c>
      <c r="D94" s="102" t="s">
        <v>475</v>
      </c>
      <c r="E94" s="231">
        <v>6000</v>
      </c>
      <c r="F94" s="103">
        <v>4000</v>
      </c>
      <c r="G94" s="247">
        <v>0.27039474650349649</v>
      </c>
    </row>
    <row r="95" spans="1:7" hidden="1" x14ac:dyDescent="0.35">
      <c r="A95" s="102" t="s">
        <v>468</v>
      </c>
      <c r="B95" s="102" t="s">
        <v>473</v>
      </c>
      <c r="C95" s="102" t="s">
        <v>592</v>
      </c>
      <c r="D95" s="102" t="s">
        <v>593</v>
      </c>
      <c r="E95" s="231">
        <v>39100</v>
      </c>
      <c r="F95" s="103"/>
      <c r="G95" s="247">
        <v>9.5384202272727272</v>
      </c>
    </row>
    <row r="96" spans="1:7" hidden="1" x14ac:dyDescent="0.35">
      <c r="A96" s="102" t="s">
        <v>468</v>
      </c>
      <c r="B96" s="102" t="s">
        <v>473</v>
      </c>
      <c r="C96" s="102" t="s">
        <v>476</v>
      </c>
      <c r="D96" s="102" t="s">
        <v>477</v>
      </c>
      <c r="E96" s="231">
        <v>5000</v>
      </c>
      <c r="F96" s="103"/>
      <c r="G96" s="247">
        <v>1.2256778409090909</v>
      </c>
    </row>
    <row r="97" spans="1:7" hidden="1" x14ac:dyDescent="0.35">
      <c r="A97" s="102" t="s">
        <v>468</v>
      </c>
      <c r="B97" s="102" t="s">
        <v>473</v>
      </c>
      <c r="C97" s="102" t="s">
        <v>478</v>
      </c>
      <c r="D97" s="102" t="s">
        <v>479</v>
      </c>
      <c r="E97" s="231">
        <v>5000</v>
      </c>
      <c r="F97" s="103"/>
      <c r="G97" s="247">
        <v>1.2520435009116959</v>
      </c>
    </row>
    <row r="98" spans="1:7" hidden="1" x14ac:dyDescent="0.35">
      <c r="A98" s="102" t="s">
        <v>468</v>
      </c>
      <c r="B98" s="102" t="s">
        <v>473</v>
      </c>
      <c r="C98" s="102" t="s">
        <v>594</v>
      </c>
      <c r="D98" s="102" t="s">
        <v>595</v>
      </c>
      <c r="E98" s="231">
        <v>120000</v>
      </c>
      <c r="F98" s="103"/>
      <c r="G98" s="247">
        <v>29.273923963323405</v>
      </c>
    </row>
    <row r="99" spans="1:7" hidden="1" x14ac:dyDescent="0.35">
      <c r="A99" s="102" t="s">
        <v>55</v>
      </c>
      <c r="B99" s="102" t="s">
        <v>116</v>
      </c>
      <c r="C99" s="102" t="s">
        <v>596</v>
      </c>
      <c r="D99" s="102" t="s">
        <v>597</v>
      </c>
      <c r="E99" s="102">
        <v>8064</v>
      </c>
      <c r="F99" s="103">
        <v>10000</v>
      </c>
      <c r="G99" s="247">
        <v>3.4059535227272724</v>
      </c>
    </row>
    <row r="100" spans="1:7" hidden="1" x14ac:dyDescent="0.35">
      <c r="A100" s="102" t="s">
        <v>55</v>
      </c>
      <c r="B100" s="102" t="s">
        <v>116</v>
      </c>
      <c r="C100" s="102" t="s">
        <v>480</v>
      </c>
      <c r="D100" s="102" t="s">
        <v>481</v>
      </c>
      <c r="E100" s="102">
        <v>70000</v>
      </c>
      <c r="F100" s="103"/>
      <c r="G100" s="247">
        <v>4.8995366128389151</v>
      </c>
    </row>
    <row r="101" spans="1:7" hidden="1" x14ac:dyDescent="0.35">
      <c r="A101" s="102" t="s">
        <v>55</v>
      </c>
      <c r="B101" s="102" t="s">
        <v>116</v>
      </c>
      <c r="C101" s="102" t="s">
        <v>598</v>
      </c>
      <c r="D101" s="102" t="s">
        <v>599</v>
      </c>
      <c r="E101" s="102">
        <v>13000</v>
      </c>
      <c r="F101" s="103">
        <v>7000</v>
      </c>
      <c r="G101" s="247">
        <v>3.6082061363636364</v>
      </c>
    </row>
    <row r="102" spans="1:7" hidden="1" x14ac:dyDescent="0.35">
      <c r="A102" s="102" t="s">
        <v>43</v>
      </c>
      <c r="B102" s="102" t="s">
        <v>75</v>
      </c>
      <c r="C102" s="102" t="s">
        <v>73</v>
      </c>
      <c r="D102" s="102" t="s">
        <v>482</v>
      </c>
      <c r="E102" s="102">
        <v>130000</v>
      </c>
      <c r="F102" s="103"/>
      <c r="G102" s="247">
        <v>583.50506823992782</v>
      </c>
    </row>
    <row r="103" spans="1:7" hidden="1" x14ac:dyDescent="0.35">
      <c r="A103" s="102" t="s">
        <v>485</v>
      </c>
      <c r="B103" s="102" t="s">
        <v>315</v>
      </c>
      <c r="C103" s="102" t="s">
        <v>600</v>
      </c>
      <c r="D103" s="102" t="s">
        <v>601</v>
      </c>
      <c r="E103" s="102">
        <v>4000</v>
      </c>
      <c r="F103" s="103"/>
      <c r="G103" s="247">
        <v>6.9904746245059295</v>
      </c>
    </row>
    <row r="104" spans="1:7" hidden="1" x14ac:dyDescent="0.35">
      <c r="A104" s="102" t="s">
        <v>485</v>
      </c>
      <c r="B104" s="102" t="s">
        <v>315</v>
      </c>
      <c r="C104" s="102" t="s">
        <v>483</v>
      </c>
      <c r="D104" s="102" t="s">
        <v>484</v>
      </c>
      <c r="E104" s="102">
        <v>105000</v>
      </c>
      <c r="F104" s="103">
        <v>300000</v>
      </c>
      <c r="G104" s="247">
        <v>182.89624340290064</v>
      </c>
    </row>
    <row r="105" spans="1:7" hidden="1" x14ac:dyDescent="0.35">
      <c r="A105" s="102" t="s">
        <v>488</v>
      </c>
      <c r="B105" s="102" t="s">
        <v>313</v>
      </c>
      <c r="C105" s="102" t="s">
        <v>286</v>
      </c>
      <c r="D105" s="102" t="s">
        <v>487</v>
      </c>
      <c r="E105" s="102">
        <v>2128</v>
      </c>
      <c r="F105" s="103"/>
      <c r="G105" s="247">
        <v>22.804153659090908</v>
      </c>
    </row>
    <row r="106" spans="1:7" hidden="1" x14ac:dyDescent="0.35">
      <c r="A106" s="102" t="s">
        <v>488</v>
      </c>
      <c r="B106" s="102" t="s">
        <v>313</v>
      </c>
      <c r="C106" s="102" t="s">
        <v>287</v>
      </c>
      <c r="D106" s="102" t="s">
        <v>489</v>
      </c>
      <c r="E106" s="102">
        <v>2016</v>
      </c>
      <c r="F106" s="103"/>
      <c r="G106" s="247">
        <v>21.603935045454545</v>
      </c>
    </row>
    <row r="107" spans="1:7" hidden="1" x14ac:dyDescent="0.35">
      <c r="A107" s="102" t="s">
        <v>485</v>
      </c>
      <c r="B107" s="102" t="s">
        <v>322</v>
      </c>
      <c r="C107" s="102" t="s">
        <v>323</v>
      </c>
      <c r="D107" s="102" t="s">
        <v>490</v>
      </c>
      <c r="E107" s="102">
        <v>11556</v>
      </c>
      <c r="F107" s="103"/>
      <c r="G107" s="247">
        <v>269.69623235100875</v>
      </c>
    </row>
    <row r="108" spans="1:7" hidden="1" x14ac:dyDescent="0.35">
      <c r="A108" s="102" t="s">
        <v>485</v>
      </c>
      <c r="B108" s="102" t="s">
        <v>322</v>
      </c>
      <c r="C108" s="102" t="s">
        <v>324</v>
      </c>
      <c r="D108" s="102" t="s">
        <v>491</v>
      </c>
      <c r="E108" s="102">
        <v>26811</v>
      </c>
      <c r="F108" s="103"/>
      <c r="G108" s="247">
        <v>639.66152955866278</v>
      </c>
    </row>
    <row r="109" spans="1:7" hidden="1" x14ac:dyDescent="0.35">
      <c r="A109" s="102" t="s">
        <v>55</v>
      </c>
      <c r="B109" s="102" t="s">
        <v>116</v>
      </c>
      <c r="C109" s="102" t="s">
        <v>397</v>
      </c>
      <c r="D109" s="102" t="s">
        <v>496</v>
      </c>
      <c r="E109" s="102">
        <v>0</v>
      </c>
      <c r="F109" s="103">
        <v>3500</v>
      </c>
      <c r="G109" s="247">
        <v>0</v>
      </c>
    </row>
    <row r="110" spans="1:7" hidden="1" x14ac:dyDescent="0.35">
      <c r="A110" s="102" t="s">
        <v>486</v>
      </c>
      <c r="B110" s="102" t="s">
        <v>540</v>
      </c>
      <c r="C110" s="102" t="s">
        <v>538</v>
      </c>
      <c r="D110" s="102" t="s">
        <v>539</v>
      </c>
      <c r="E110" s="102">
        <v>274</v>
      </c>
      <c r="F110" s="103">
        <v>1000</v>
      </c>
      <c r="G110" s="247">
        <v>87.855666133700282</v>
      </c>
    </row>
    <row r="111" spans="1:7" hidden="1" x14ac:dyDescent="0.35">
      <c r="A111" s="102" t="s">
        <v>486</v>
      </c>
      <c r="B111" s="102" t="s">
        <v>540</v>
      </c>
      <c r="C111" s="102" t="s">
        <v>541</v>
      </c>
      <c r="D111" s="102" t="s">
        <v>539</v>
      </c>
      <c r="E111" s="102">
        <v>279</v>
      </c>
      <c r="F111" s="103">
        <v>1000</v>
      </c>
      <c r="G111" s="247">
        <v>102.31082900124289</v>
      </c>
    </row>
    <row r="112" spans="1:7" hidden="1" x14ac:dyDescent="0.35">
      <c r="A112" s="102" t="s">
        <v>486</v>
      </c>
      <c r="B112" s="102" t="s">
        <v>316</v>
      </c>
      <c r="C112" s="102" t="s">
        <v>602</v>
      </c>
      <c r="D112" s="102" t="s">
        <v>603</v>
      </c>
      <c r="E112" s="102">
        <v>0</v>
      </c>
      <c r="F112" s="103">
        <v>6375</v>
      </c>
      <c r="G112" s="247">
        <v>0</v>
      </c>
    </row>
    <row r="113" spans="1:11" hidden="1" x14ac:dyDescent="0.35">
      <c r="A113" s="102" t="s">
        <v>486</v>
      </c>
      <c r="B113" s="102" t="s">
        <v>316</v>
      </c>
      <c r="C113" s="102" t="s">
        <v>498</v>
      </c>
      <c r="D113" s="102" t="s">
        <v>499</v>
      </c>
      <c r="E113" s="102">
        <v>9220</v>
      </c>
      <c r="F113" s="103">
        <v>3700</v>
      </c>
      <c r="G113" s="247">
        <v>948.43088227300314</v>
      </c>
    </row>
    <row r="114" spans="1:11" hidden="1" x14ac:dyDescent="0.35">
      <c r="A114" s="102" t="s">
        <v>486</v>
      </c>
      <c r="B114" s="102" t="s">
        <v>316</v>
      </c>
      <c r="C114" s="102" t="s">
        <v>500</v>
      </c>
      <c r="D114" s="102" t="s">
        <v>499</v>
      </c>
      <c r="E114" s="102">
        <v>45</v>
      </c>
      <c r="F114" s="103"/>
      <c r="G114" s="247">
        <v>6.7941092045454532</v>
      </c>
    </row>
    <row r="115" spans="1:11" hidden="1" x14ac:dyDescent="0.35">
      <c r="A115" s="102" t="s">
        <v>486</v>
      </c>
      <c r="B115" s="102" t="s">
        <v>316</v>
      </c>
      <c r="C115" s="102" t="s">
        <v>501</v>
      </c>
      <c r="D115" s="102" t="s">
        <v>502</v>
      </c>
      <c r="E115" s="102">
        <v>10359</v>
      </c>
      <c r="F115" s="103">
        <v>3700</v>
      </c>
      <c r="G115" s="247">
        <v>1359.8779752988128</v>
      </c>
    </row>
    <row r="116" spans="1:11" hidden="1" x14ac:dyDescent="0.35">
      <c r="A116" s="102" t="s">
        <v>486</v>
      </c>
      <c r="B116" s="102" t="s">
        <v>341</v>
      </c>
      <c r="C116" s="102" t="s">
        <v>503</v>
      </c>
      <c r="D116" s="102" t="s">
        <v>504</v>
      </c>
      <c r="E116" s="102">
        <v>1100</v>
      </c>
      <c r="F116" s="103"/>
      <c r="G116" s="247">
        <v>67.198296428571439</v>
      </c>
    </row>
    <row r="117" spans="1:11" hidden="1" x14ac:dyDescent="0.35">
      <c r="A117" s="102" t="s">
        <v>486</v>
      </c>
      <c r="B117" s="102" t="s">
        <v>341</v>
      </c>
      <c r="C117" s="102" t="s">
        <v>604</v>
      </c>
      <c r="D117" s="102" t="s">
        <v>605</v>
      </c>
      <c r="E117" s="102">
        <v>1100</v>
      </c>
      <c r="F117" s="103"/>
      <c r="G117" s="247">
        <v>103.68855107973422</v>
      </c>
    </row>
    <row r="118" spans="1:11" hidden="1" x14ac:dyDescent="0.35">
      <c r="A118" s="102" t="s">
        <v>486</v>
      </c>
      <c r="B118" s="102" t="s">
        <v>341</v>
      </c>
      <c r="C118" s="102" t="s">
        <v>505</v>
      </c>
      <c r="D118" s="102" t="s">
        <v>506</v>
      </c>
      <c r="E118" s="102">
        <v>2410</v>
      </c>
      <c r="F118" s="103">
        <v>2734</v>
      </c>
      <c r="G118" s="247">
        <v>204.53167370971238</v>
      </c>
    </row>
    <row r="119" spans="1:11" hidden="1" x14ac:dyDescent="0.35">
      <c r="A119" s="102" t="s">
        <v>486</v>
      </c>
      <c r="B119" s="102" t="s">
        <v>341</v>
      </c>
      <c r="C119" s="102" t="s">
        <v>507</v>
      </c>
      <c r="D119" s="102" t="s">
        <v>506</v>
      </c>
      <c r="E119" s="102">
        <v>2420</v>
      </c>
      <c r="F119" s="103">
        <v>1252</v>
      </c>
      <c r="G119" s="247">
        <v>239.57907238696811</v>
      </c>
    </row>
    <row r="120" spans="1:11" hidden="1" x14ac:dyDescent="0.35">
      <c r="A120" s="102" t="s">
        <v>43</v>
      </c>
      <c r="B120" s="102" t="s">
        <v>340</v>
      </c>
      <c r="C120" s="102" t="s">
        <v>606</v>
      </c>
      <c r="D120" s="102" t="s">
        <v>607</v>
      </c>
      <c r="E120" s="102">
        <v>3930</v>
      </c>
      <c r="F120" s="103"/>
      <c r="G120" s="247">
        <v>122.53558072030062</v>
      </c>
    </row>
    <row r="121" spans="1:11" hidden="1" x14ac:dyDescent="0.35">
      <c r="A121" s="102" t="s">
        <v>486</v>
      </c>
      <c r="B121" s="102" t="s">
        <v>341</v>
      </c>
      <c r="C121" s="102" t="s">
        <v>406</v>
      </c>
      <c r="D121" s="102" t="s">
        <v>508</v>
      </c>
      <c r="E121" s="102">
        <v>2940</v>
      </c>
      <c r="F121" s="103"/>
      <c r="G121" s="247">
        <v>153.06812806548686</v>
      </c>
    </row>
    <row r="122" spans="1:11" hidden="1" x14ac:dyDescent="0.35">
      <c r="A122" s="102" t="s">
        <v>468</v>
      </c>
      <c r="B122" s="102" t="s">
        <v>345</v>
      </c>
      <c r="C122" s="102" t="s">
        <v>534</v>
      </c>
      <c r="D122" s="102" t="s">
        <v>535</v>
      </c>
      <c r="E122" s="102">
        <v>62468</v>
      </c>
      <c r="F122" s="103"/>
      <c r="G122" s="247">
        <v>105.10035359090908</v>
      </c>
    </row>
    <row r="123" spans="1:11" hidden="1" x14ac:dyDescent="0.35">
      <c r="A123" s="102" t="s">
        <v>486</v>
      </c>
      <c r="B123" s="102" t="s">
        <v>316</v>
      </c>
      <c r="C123" s="102" t="s">
        <v>536</v>
      </c>
      <c r="D123" s="102" t="s">
        <v>537</v>
      </c>
      <c r="E123" s="102">
        <v>13965</v>
      </c>
      <c r="F123" s="103">
        <v>1000</v>
      </c>
      <c r="G123" s="247">
        <v>785.22950611664442</v>
      </c>
    </row>
    <row r="124" spans="1:11" hidden="1" x14ac:dyDescent="0.35">
      <c r="A124" s="102" t="s">
        <v>55</v>
      </c>
      <c r="B124" s="102" t="s">
        <v>335</v>
      </c>
      <c r="C124" s="102" t="s">
        <v>608</v>
      </c>
      <c r="D124" s="102" t="s">
        <v>463</v>
      </c>
      <c r="E124" s="102">
        <v>3760</v>
      </c>
      <c r="F124" s="103"/>
      <c r="G124" s="247">
        <v>54.902657763636356</v>
      </c>
    </row>
    <row r="125" spans="1:11" hidden="1" x14ac:dyDescent="0.35">
      <c r="A125" s="102" t="s">
        <v>55</v>
      </c>
      <c r="B125" s="102" t="s">
        <v>335</v>
      </c>
      <c r="C125" s="102" t="s">
        <v>609</v>
      </c>
      <c r="D125" s="102" t="s">
        <v>463</v>
      </c>
      <c r="E125" s="102">
        <v>1325</v>
      </c>
      <c r="F125" s="103"/>
      <c r="G125" s="247">
        <v>19.587189383741258</v>
      </c>
    </row>
    <row r="126" spans="1:11" hidden="1" x14ac:dyDescent="0.35">
      <c r="E126" s="86"/>
      <c r="J126">
        <f>SUBTOTAL(9,J4:J125)</f>
        <v>6745.3015219240006</v>
      </c>
      <c r="K126">
        <f>SUBTOTAL(9,K4:K125)</f>
        <v>853.08890319999966</v>
      </c>
    </row>
    <row r="127" spans="1:11" x14ac:dyDescent="0.35">
      <c r="E127" s="86"/>
    </row>
    <row r="128" spans="1:11" x14ac:dyDescent="0.35">
      <c r="E128" s="86"/>
    </row>
    <row r="129" spans="1:5" x14ac:dyDescent="0.35">
      <c r="E129" s="86"/>
    </row>
    <row r="130" spans="1:5" x14ac:dyDescent="0.35">
      <c r="E130" s="86"/>
    </row>
    <row r="131" spans="1:5" x14ac:dyDescent="0.35">
      <c r="E131" s="86"/>
    </row>
    <row r="132" spans="1:5" x14ac:dyDescent="0.35">
      <c r="E132" s="86"/>
    </row>
    <row r="133" spans="1:5" x14ac:dyDescent="0.35">
      <c r="E133" s="86"/>
    </row>
    <row r="134" spans="1:5" x14ac:dyDescent="0.35">
      <c r="E134" s="86"/>
    </row>
    <row r="135" spans="1:5" s="86" customFormat="1" x14ac:dyDescent="0.35">
      <c r="A135"/>
      <c r="B135"/>
      <c r="C135"/>
      <c r="D135"/>
    </row>
    <row r="136" spans="1:5" s="86" customFormat="1" x14ac:dyDescent="0.35">
      <c r="A136"/>
      <c r="B136"/>
      <c r="C136"/>
      <c r="D136"/>
    </row>
    <row r="137" spans="1:5" s="86" customFormat="1" x14ac:dyDescent="0.35">
      <c r="A137"/>
      <c r="B137"/>
      <c r="C137"/>
      <c r="D137"/>
    </row>
    <row r="138" spans="1:5" s="86" customFormat="1" x14ac:dyDescent="0.35">
      <c r="A138"/>
      <c r="B138"/>
      <c r="C138"/>
      <c r="D138"/>
    </row>
    <row r="139" spans="1:5" s="86" customFormat="1" x14ac:dyDescent="0.35">
      <c r="A139"/>
      <c r="B139"/>
      <c r="C139"/>
      <c r="D139"/>
    </row>
    <row r="140" spans="1:5" s="86" customFormat="1" x14ac:dyDescent="0.35">
      <c r="A140"/>
      <c r="B140"/>
      <c r="C140"/>
      <c r="D140"/>
    </row>
    <row r="141" spans="1:5" s="86" customFormat="1" x14ac:dyDescent="0.35">
      <c r="A141"/>
      <c r="B141"/>
      <c r="C141"/>
      <c r="D141"/>
    </row>
    <row r="142" spans="1:5" s="86" customFormat="1" x14ac:dyDescent="0.35">
      <c r="A142"/>
      <c r="B142"/>
      <c r="C142"/>
      <c r="D142"/>
    </row>
    <row r="143" spans="1:5" s="86" customFormat="1" x14ac:dyDescent="0.35">
      <c r="A143"/>
      <c r="B143"/>
      <c r="C143"/>
      <c r="D143"/>
    </row>
    <row r="144" spans="1:5" s="86" customFormat="1" x14ac:dyDescent="0.35">
      <c r="A144"/>
      <c r="B144"/>
      <c r="C144"/>
      <c r="D144"/>
    </row>
    <row r="145" spans="1:4" s="86" customFormat="1" x14ac:dyDescent="0.35">
      <c r="A145"/>
      <c r="B145"/>
      <c r="C145"/>
      <c r="D145"/>
    </row>
    <row r="146" spans="1:4" s="86" customFormat="1" x14ac:dyDescent="0.35">
      <c r="A146"/>
      <c r="B146"/>
      <c r="C146"/>
      <c r="D146"/>
    </row>
    <row r="147" spans="1:4" s="86" customFormat="1" x14ac:dyDescent="0.35">
      <c r="A147"/>
      <c r="B147"/>
      <c r="C147"/>
      <c r="D147"/>
    </row>
    <row r="148" spans="1:4" s="86" customFormat="1" x14ac:dyDescent="0.35">
      <c r="A148"/>
      <c r="B148"/>
      <c r="C148"/>
      <c r="D148"/>
    </row>
    <row r="149" spans="1:4" s="86" customFormat="1" x14ac:dyDescent="0.35">
      <c r="A149"/>
      <c r="B149"/>
      <c r="C149"/>
      <c r="D149"/>
    </row>
    <row r="150" spans="1:4" s="86" customFormat="1" x14ac:dyDescent="0.35">
      <c r="A150"/>
      <c r="B150"/>
      <c r="C150"/>
      <c r="D150"/>
    </row>
    <row r="151" spans="1:4" s="86" customFormat="1" x14ac:dyDescent="0.35">
      <c r="A151"/>
      <c r="B151"/>
      <c r="C151"/>
      <c r="D151"/>
    </row>
    <row r="152" spans="1:4" s="86" customFormat="1" x14ac:dyDescent="0.35">
      <c r="A152"/>
      <c r="B152"/>
      <c r="C152"/>
      <c r="D152"/>
    </row>
    <row r="153" spans="1:4" s="86" customFormat="1" x14ac:dyDescent="0.35">
      <c r="A153"/>
      <c r="B153"/>
      <c r="C153"/>
      <c r="D153"/>
    </row>
    <row r="154" spans="1:4" s="86" customFormat="1" x14ac:dyDescent="0.35">
      <c r="A154"/>
      <c r="B154"/>
      <c r="C154"/>
      <c r="D154"/>
    </row>
    <row r="155" spans="1:4" s="86" customFormat="1" x14ac:dyDescent="0.35">
      <c r="A155"/>
      <c r="B155"/>
      <c r="C155"/>
      <c r="D155"/>
    </row>
    <row r="156" spans="1:4" s="86" customFormat="1" x14ac:dyDescent="0.35">
      <c r="A156"/>
      <c r="B156"/>
      <c r="C156"/>
      <c r="D156"/>
    </row>
    <row r="157" spans="1:4" s="86" customFormat="1" x14ac:dyDescent="0.35">
      <c r="A157"/>
      <c r="B157"/>
      <c r="C157"/>
      <c r="D157"/>
    </row>
    <row r="158" spans="1:4" s="86" customFormat="1" x14ac:dyDescent="0.35">
      <c r="A158"/>
      <c r="B158"/>
      <c r="C158"/>
      <c r="D158"/>
    </row>
    <row r="159" spans="1:4" s="86" customFormat="1" x14ac:dyDescent="0.35">
      <c r="A159"/>
      <c r="B159"/>
      <c r="C159"/>
      <c r="D159"/>
    </row>
    <row r="160" spans="1:4" s="86" customFormat="1" x14ac:dyDescent="0.35">
      <c r="A160"/>
      <c r="B160"/>
      <c r="C160"/>
      <c r="D160"/>
    </row>
    <row r="161" spans="1:4" s="86" customFormat="1" x14ac:dyDescent="0.35">
      <c r="A161"/>
      <c r="B161"/>
      <c r="C161"/>
      <c r="D161"/>
    </row>
    <row r="162" spans="1:4" s="86" customFormat="1" x14ac:dyDescent="0.35">
      <c r="A162"/>
      <c r="B162"/>
      <c r="C162"/>
      <c r="D162"/>
    </row>
    <row r="163" spans="1:4" s="86" customFormat="1" x14ac:dyDescent="0.35">
      <c r="A163"/>
      <c r="B163"/>
      <c r="C163"/>
      <c r="D163"/>
    </row>
    <row r="164" spans="1:4" s="86" customFormat="1" x14ac:dyDescent="0.35">
      <c r="A164"/>
      <c r="B164"/>
      <c r="C164"/>
      <c r="D164"/>
    </row>
    <row r="165" spans="1:4" s="86" customFormat="1" x14ac:dyDescent="0.35">
      <c r="A165"/>
      <c r="B165"/>
      <c r="C165"/>
      <c r="D165"/>
    </row>
    <row r="166" spans="1:4" s="86" customFormat="1" x14ac:dyDescent="0.35">
      <c r="A166"/>
      <c r="B166"/>
      <c r="C166"/>
      <c r="D166"/>
    </row>
    <row r="167" spans="1:4" s="86" customFormat="1" x14ac:dyDescent="0.35">
      <c r="A167"/>
      <c r="B167"/>
      <c r="C167"/>
      <c r="D167"/>
    </row>
    <row r="168" spans="1:4" s="86" customFormat="1" x14ac:dyDescent="0.35">
      <c r="A168"/>
      <c r="B168"/>
      <c r="C168"/>
      <c r="D168"/>
    </row>
    <row r="169" spans="1:4" s="86" customFormat="1" x14ac:dyDescent="0.35">
      <c r="A169"/>
      <c r="B169"/>
      <c r="C169"/>
      <c r="D169"/>
    </row>
    <row r="170" spans="1:4" s="86" customFormat="1" x14ac:dyDescent="0.35">
      <c r="A170"/>
      <c r="B170"/>
      <c r="C170"/>
      <c r="D170"/>
    </row>
    <row r="171" spans="1:4" s="86" customFormat="1" x14ac:dyDescent="0.35">
      <c r="A171"/>
      <c r="B171"/>
      <c r="C171"/>
      <c r="D171"/>
    </row>
    <row r="172" spans="1:4" s="86" customFormat="1" x14ac:dyDescent="0.35">
      <c r="A172"/>
      <c r="B172"/>
      <c r="C172"/>
      <c r="D172"/>
    </row>
    <row r="173" spans="1:4" s="86" customFormat="1" x14ac:dyDescent="0.35">
      <c r="A173"/>
      <c r="B173"/>
      <c r="C173"/>
      <c r="D173"/>
    </row>
    <row r="174" spans="1:4" s="86" customFormat="1" x14ac:dyDescent="0.35">
      <c r="A174"/>
      <c r="B174"/>
      <c r="C174"/>
      <c r="D174"/>
    </row>
    <row r="175" spans="1:4" s="86" customFormat="1" x14ac:dyDescent="0.35">
      <c r="A175"/>
      <c r="B175"/>
      <c r="C175"/>
      <c r="D175"/>
    </row>
    <row r="176" spans="1:4" s="86" customFormat="1" x14ac:dyDescent="0.35">
      <c r="A176"/>
      <c r="B176"/>
      <c r="C176"/>
      <c r="D176"/>
    </row>
    <row r="177" spans="1:4" s="86" customFormat="1" x14ac:dyDescent="0.35">
      <c r="A177"/>
      <c r="B177"/>
      <c r="C177"/>
      <c r="D177"/>
    </row>
    <row r="178" spans="1:4" s="86" customFormat="1" x14ac:dyDescent="0.35">
      <c r="A178"/>
      <c r="B178"/>
      <c r="C178"/>
      <c r="D178"/>
    </row>
    <row r="179" spans="1:4" s="86" customFormat="1" x14ac:dyDescent="0.35">
      <c r="A179"/>
      <c r="B179"/>
      <c r="C179"/>
      <c r="D179"/>
    </row>
    <row r="180" spans="1:4" s="86" customFormat="1" x14ac:dyDescent="0.35">
      <c r="A180"/>
      <c r="B180"/>
      <c r="C180"/>
      <c r="D180"/>
    </row>
    <row r="181" spans="1:4" s="86" customFormat="1" x14ac:dyDescent="0.35">
      <c r="A181"/>
      <c r="B181"/>
      <c r="C181"/>
      <c r="D181"/>
    </row>
    <row r="182" spans="1:4" s="86" customFormat="1" x14ac:dyDescent="0.35">
      <c r="A182"/>
      <c r="B182"/>
      <c r="C182"/>
      <c r="D182"/>
    </row>
    <row r="183" spans="1:4" s="86" customFormat="1" x14ac:dyDescent="0.35">
      <c r="A183"/>
      <c r="B183"/>
      <c r="C183"/>
      <c r="D183"/>
    </row>
    <row r="184" spans="1:4" s="86" customFormat="1" x14ac:dyDescent="0.35">
      <c r="A184"/>
      <c r="B184"/>
      <c r="C184"/>
      <c r="D184"/>
    </row>
    <row r="185" spans="1:4" s="86" customFormat="1" x14ac:dyDescent="0.35">
      <c r="A185"/>
      <c r="B185"/>
      <c r="C185"/>
      <c r="D185"/>
    </row>
    <row r="186" spans="1:4" s="86" customFormat="1" x14ac:dyDescent="0.35">
      <c r="A186"/>
      <c r="B186"/>
      <c r="C186"/>
      <c r="D186"/>
    </row>
    <row r="187" spans="1:4" s="86" customFormat="1" x14ac:dyDescent="0.35">
      <c r="A187"/>
      <c r="B187"/>
      <c r="C187"/>
      <c r="D187"/>
    </row>
    <row r="188" spans="1:4" s="86" customFormat="1" x14ac:dyDescent="0.35">
      <c r="A188"/>
      <c r="B188"/>
      <c r="C188"/>
      <c r="D188"/>
    </row>
    <row r="189" spans="1:4" s="86" customFormat="1" x14ac:dyDescent="0.35">
      <c r="A189"/>
      <c r="B189"/>
      <c r="C189"/>
      <c r="D189"/>
    </row>
    <row r="190" spans="1:4" s="86" customFormat="1" x14ac:dyDescent="0.35">
      <c r="A190"/>
      <c r="B190"/>
      <c r="C190"/>
      <c r="D190"/>
    </row>
    <row r="191" spans="1:4" s="86" customFormat="1" x14ac:dyDescent="0.35">
      <c r="A191"/>
      <c r="B191"/>
      <c r="C191"/>
      <c r="D191"/>
    </row>
    <row r="192" spans="1:4" s="86" customFormat="1" x14ac:dyDescent="0.35">
      <c r="A192"/>
      <c r="B192"/>
      <c r="C192"/>
      <c r="D192"/>
    </row>
    <row r="193" spans="1:4" s="86" customFormat="1" x14ac:dyDescent="0.35">
      <c r="A193"/>
      <c r="B193"/>
      <c r="C193"/>
      <c r="D193"/>
    </row>
    <row r="194" spans="1:4" s="86" customFormat="1" x14ac:dyDescent="0.35">
      <c r="A194"/>
      <c r="B194"/>
      <c r="C194"/>
      <c r="D194"/>
    </row>
    <row r="195" spans="1:4" s="86" customFormat="1" x14ac:dyDescent="0.35">
      <c r="A195"/>
      <c r="B195"/>
      <c r="C195"/>
      <c r="D195"/>
    </row>
    <row r="196" spans="1:4" s="86" customFormat="1" x14ac:dyDescent="0.35">
      <c r="A196"/>
      <c r="B196"/>
      <c r="C196"/>
      <c r="D196"/>
    </row>
    <row r="197" spans="1:4" s="86" customFormat="1" x14ac:dyDescent="0.35">
      <c r="A197"/>
      <c r="B197"/>
      <c r="C197"/>
      <c r="D197"/>
    </row>
    <row r="198" spans="1:4" s="86" customFormat="1" x14ac:dyDescent="0.35">
      <c r="A198"/>
      <c r="B198"/>
      <c r="C198"/>
      <c r="D198"/>
    </row>
    <row r="199" spans="1:4" s="86" customFormat="1" x14ac:dyDescent="0.35">
      <c r="A199"/>
      <c r="B199"/>
      <c r="C199"/>
      <c r="D199"/>
    </row>
    <row r="200" spans="1:4" s="86" customFormat="1" x14ac:dyDescent="0.35">
      <c r="A200"/>
      <c r="B200"/>
      <c r="C200"/>
      <c r="D200"/>
    </row>
    <row r="201" spans="1:4" s="86" customFormat="1" x14ac:dyDescent="0.35">
      <c r="A201"/>
      <c r="B201"/>
      <c r="C201"/>
      <c r="D201"/>
    </row>
    <row r="202" spans="1:4" s="86" customFormat="1" x14ac:dyDescent="0.35">
      <c r="A202"/>
      <c r="B202"/>
      <c r="C202"/>
      <c r="D202"/>
    </row>
    <row r="203" spans="1:4" s="86" customFormat="1" x14ac:dyDescent="0.35">
      <c r="A203"/>
      <c r="B203"/>
      <c r="C203"/>
      <c r="D203"/>
    </row>
    <row r="204" spans="1:4" s="86" customFormat="1" x14ac:dyDescent="0.35">
      <c r="A204"/>
      <c r="B204"/>
      <c r="C204"/>
      <c r="D204"/>
    </row>
    <row r="205" spans="1:4" s="86" customFormat="1" x14ac:dyDescent="0.35">
      <c r="A205"/>
      <c r="B205"/>
      <c r="C205"/>
      <c r="D205"/>
    </row>
    <row r="206" spans="1:4" s="86" customFormat="1" x14ac:dyDescent="0.35">
      <c r="A206"/>
      <c r="B206"/>
      <c r="C206"/>
      <c r="D206"/>
    </row>
    <row r="207" spans="1:4" s="86" customFormat="1" x14ac:dyDescent="0.35">
      <c r="A207"/>
      <c r="B207"/>
      <c r="C207"/>
      <c r="D207"/>
    </row>
    <row r="208" spans="1:4" s="86" customFormat="1" x14ac:dyDescent="0.35">
      <c r="A208"/>
      <c r="B208"/>
      <c r="C208"/>
      <c r="D208"/>
    </row>
    <row r="209" spans="1:4" s="86" customFormat="1" x14ac:dyDescent="0.35">
      <c r="A209"/>
      <c r="B209"/>
      <c r="C209"/>
      <c r="D209"/>
    </row>
    <row r="210" spans="1:4" s="86" customFormat="1" x14ac:dyDescent="0.35">
      <c r="A210"/>
      <c r="B210"/>
      <c r="C210"/>
      <c r="D210"/>
    </row>
    <row r="211" spans="1:4" s="86" customFormat="1" x14ac:dyDescent="0.35">
      <c r="A211"/>
      <c r="B211"/>
      <c r="C211"/>
      <c r="D211"/>
    </row>
    <row r="212" spans="1:4" s="86" customFormat="1" x14ac:dyDescent="0.35">
      <c r="A212"/>
      <c r="B212"/>
      <c r="C212"/>
      <c r="D212"/>
    </row>
    <row r="213" spans="1:4" s="86" customFormat="1" x14ac:dyDescent="0.35">
      <c r="A213"/>
      <c r="B213"/>
      <c r="C213"/>
      <c r="D213"/>
    </row>
    <row r="214" spans="1:4" s="86" customFormat="1" x14ac:dyDescent="0.35">
      <c r="A214"/>
      <c r="B214"/>
      <c r="C214"/>
      <c r="D214"/>
    </row>
    <row r="215" spans="1:4" s="86" customFormat="1" x14ac:dyDescent="0.35">
      <c r="A215"/>
      <c r="B215"/>
      <c r="C215"/>
      <c r="D215"/>
    </row>
    <row r="216" spans="1:4" s="86" customFormat="1" x14ac:dyDescent="0.35">
      <c r="A216"/>
      <c r="B216"/>
      <c r="C216"/>
      <c r="D216"/>
    </row>
    <row r="217" spans="1:4" s="86" customFormat="1" x14ac:dyDescent="0.35">
      <c r="A217"/>
      <c r="B217"/>
      <c r="C217"/>
      <c r="D217"/>
    </row>
    <row r="218" spans="1:4" s="86" customFormat="1" x14ac:dyDescent="0.35">
      <c r="A218"/>
      <c r="B218"/>
      <c r="C218"/>
      <c r="D218"/>
    </row>
    <row r="219" spans="1:4" s="86" customFormat="1" x14ac:dyDescent="0.35">
      <c r="A219"/>
      <c r="B219"/>
      <c r="C219"/>
      <c r="D219"/>
    </row>
    <row r="220" spans="1:4" s="86" customFormat="1" x14ac:dyDescent="0.35">
      <c r="A220"/>
      <c r="B220"/>
      <c r="C220"/>
      <c r="D220"/>
    </row>
    <row r="221" spans="1:4" s="86" customFormat="1" x14ac:dyDescent="0.35">
      <c r="A221"/>
      <c r="B221"/>
      <c r="C221"/>
      <c r="D221"/>
    </row>
    <row r="222" spans="1:4" s="86" customFormat="1" x14ac:dyDescent="0.35">
      <c r="A222"/>
      <c r="B222"/>
      <c r="C222"/>
      <c r="D222"/>
    </row>
    <row r="223" spans="1:4" s="86" customFormat="1" x14ac:dyDescent="0.35">
      <c r="A223"/>
      <c r="B223"/>
      <c r="C223"/>
      <c r="D223"/>
    </row>
    <row r="224" spans="1:4" s="86" customFormat="1" x14ac:dyDescent="0.35">
      <c r="A224"/>
      <c r="B224"/>
      <c r="C224"/>
      <c r="D224"/>
    </row>
    <row r="225" spans="1:4" s="86" customFormat="1" x14ac:dyDescent="0.35">
      <c r="A225"/>
      <c r="B225"/>
      <c r="C225"/>
      <c r="D225"/>
    </row>
    <row r="226" spans="1:4" s="86" customFormat="1" x14ac:dyDescent="0.35">
      <c r="A226"/>
      <c r="B226"/>
      <c r="C226"/>
      <c r="D226"/>
    </row>
    <row r="227" spans="1:4" s="86" customFormat="1" x14ac:dyDescent="0.35">
      <c r="A227"/>
      <c r="B227"/>
      <c r="C227"/>
      <c r="D227"/>
    </row>
    <row r="228" spans="1:4" s="86" customFormat="1" x14ac:dyDescent="0.35">
      <c r="A228"/>
      <c r="B228"/>
      <c r="C228"/>
      <c r="D228"/>
    </row>
    <row r="229" spans="1:4" s="86" customFormat="1" x14ac:dyDescent="0.35">
      <c r="A229"/>
      <c r="B229"/>
      <c r="C229"/>
      <c r="D229"/>
    </row>
    <row r="230" spans="1:4" s="86" customFormat="1" x14ac:dyDescent="0.35">
      <c r="A230"/>
      <c r="B230"/>
      <c r="C230"/>
      <c r="D230"/>
    </row>
    <row r="231" spans="1:4" s="86" customFormat="1" x14ac:dyDescent="0.35">
      <c r="A231"/>
      <c r="B231"/>
      <c r="C231"/>
      <c r="D231"/>
    </row>
    <row r="232" spans="1:4" s="86" customFormat="1" x14ac:dyDescent="0.35">
      <c r="A232"/>
      <c r="B232"/>
      <c r="C232"/>
      <c r="D232"/>
    </row>
    <row r="233" spans="1:4" s="86" customFormat="1" x14ac:dyDescent="0.35">
      <c r="A233"/>
      <c r="B233"/>
      <c r="C233"/>
      <c r="D233"/>
    </row>
  </sheetData>
  <autoFilter ref="A2:G126" xr:uid="{04A79A2A-BA61-40BD-9407-FC159011E80A}">
    <filterColumn colId="0">
      <filters>
        <filter val="346"/>
        <filter val="347"/>
        <filter val="552"/>
      </filters>
    </filterColumn>
  </autoFilter>
  <conditionalFormatting sqref="C11">
    <cfRule type="duplicateValues" dxfId="0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2:H27"/>
  <sheetViews>
    <sheetView workbookViewId="0">
      <selection activeCell="M16" sqref="M16"/>
    </sheetView>
  </sheetViews>
  <sheetFormatPr defaultRowHeight="14.5" x14ac:dyDescent="0.35"/>
  <sheetData>
    <row r="2" spans="6:8" x14ac:dyDescent="0.35">
      <c r="F2" s="42" t="s">
        <v>349</v>
      </c>
      <c r="G2" s="231">
        <v>98</v>
      </c>
      <c r="H2" t="s">
        <v>436</v>
      </c>
    </row>
    <row r="3" spans="6:8" x14ac:dyDescent="0.35">
      <c r="F3" s="42" t="s">
        <v>350</v>
      </c>
      <c r="G3" s="102">
        <v>26</v>
      </c>
    </row>
    <row r="4" spans="6:8" x14ac:dyDescent="0.35">
      <c r="F4" s="42" t="s">
        <v>414</v>
      </c>
      <c r="G4" s="231">
        <v>15</v>
      </c>
      <c r="H4" t="s">
        <v>436</v>
      </c>
    </row>
    <row r="5" spans="6:8" x14ac:dyDescent="0.35">
      <c r="F5" s="42" t="s">
        <v>353</v>
      </c>
      <c r="G5" s="102">
        <v>12</v>
      </c>
    </row>
    <row r="6" spans="6:8" x14ac:dyDescent="0.35">
      <c r="F6" s="42" t="s">
        <v>434</v>
      </c>
      <c r="G6" s="231">
        <v>118</v>
      </c>
      <c r="H6" t="s">
        <v>436</v>
      </c>
    </row>
    <row r="7" spans="6:8" x14ac:dyDescent="0.35">
      <c r="F7" s="42" t="s">
        <v>352</v>
      </c>
      <c r="G7" s="231">
        <v>75</v>
      </c>
      <c r="H7" t="s">
        <v>436</v>
      </c>
    </row>
    <row r="8" spans="6:8" x14ac:dyDescent="0.35">
      <c r="F8" s="232" t="s">
        <v>435</v>
      </c>
      <c r="G8" s="233">
        <v>7</v>
      </c>
    </row>
    <row r="27" spans="6:7" x14ac:dyDescent="0.35">
      <c r="F27" t="s">
        <v>353</v>
      </c>
      <c r="G27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E4:G11"/>
  <sheetViews>
    <sheetView workbookViewId="0">
      <selection activeCell="D16" sqref="D16"/>
    </sheetView>
  </sheetViews>
  <sheetFormatPr defaultRowHeight="14.5" x14ac:dyDescent="0.35"/>
  <sheetData>
    <row r="4" spans="5:7" x14ac:dyDescent="0.35">
      <c r="E4" s="205" t="s">
        <v>351</v>
      </c>
      <c r="F4" s="205">
        <v>40</v>
      </c>
      <c r="G4" s="205" t="s">
        <v>416</v>
      </c>
    </row>
    <row r="5" spans="5:7" x14ac:dyDescent="0.35">
      <c r="E5" s="42" t="s">
        <v>349</v>
      </c>
      <c r="F5" s="42">
        <v>70</v>
      </c>
      <c r="G5" s="42" t="s">
        <v>415</v>
      </c>
    </row>
    <row r="6" spans="5:7" x14ac:dyDescent="0.35">
      <c r="E6" s="205" t="s">
        <v>353</v>
      </c>
      <c r="F6" s="205">
        <v>20</v>
      </c>
      <c r="G6" s="205" t="s">
        <v>416</v>
      </c>
    </row>
    <row r="7" spans="5:7" x14ac:dyDescent="0.35">
      <c r="E7" s="42" t="s">
        <v>352</v>
      </c>
      <c r="F7" s="42">
        <v>89</v>
      </c>
      <c r="G7" s="42" t="s">
        <v>415</v>
      </c>
    </row>
    <row r="8" spans="5:7" x14ac:dyDescent="0.35">
      <c r="E8" s="205" t="s">
        <v>350</v>
      </c>
      <c r="F8" s="205">
        <v>13</v>
      </c>
      <c r="G8" s="205" t="s">
        <v>416</v>
      </c>
    </row>
    <row r="9" spans="5:7" x14ac:dyDescent="0.35">
      <c r="E9" s="42" t="s">
        <v>414</v>
      </c>
      <c r="F9" s="42">
        <v>67</v>
      </c>
      <c r="G9" s="42" t="s">
        <v>415</v>
      </c>
    </row>
    <row r="11" spans="5:7" x14ac:dyDescent="0.35">
      <c r="E11">
        <f>73000/3000</f>
        <v>24.333333333333332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M22"/>
  <sheetViews>
    <sheetView workbookViewId="0">
      <selection activeCell="L12" sqref="L12"/>
    </sheetView>
  </sheetViews>
  <sheetFormatPr defaultRowHeight="14.5" x14ac:dyDescent="0.35"/>
  <cols>
    <col min="2" max="2" width="9.26953125" bestFit="1" customWidth="1"/>
    <col min="4" max="4" width="4.08984375" customWidth="1"/>
    <col min="5" max="5" width="16.54296875" bestFit="1" customWidth="1"/>
    <col min="6" max="6" width="17.90625" bestFit="1" customWidth="1"/>
    <col min="7" max="7" width="12.36328125" bestFit="1" customWidth="1"/>
    <col min="8" max="8" width="15.453125" bestFit="1" customWidth="1"/>
    <col min="9" max="9" width="9" bestFit="1" customWidth="1"/>
    <col min="12" max="12" width="11.26953125" bestFit="1" customWidth="1"/>
  </cols>
  <sheetData>
    <row r="3" spans="2:13" ht="22" customHeight="1" x14ac:dyDescent="0.35">
      <c r="B3" s="89" t="s">
        <v>2</v>
      </c>
      <c r="C3" s="89" t="s">
        <v>290</v>
      </c>
      <c r="D3" s="89" t="s">
        <v>291</v>
      </c>
      <c r="E3" s="89" t="s">
        <v>302</v>
      </c>
      <c r="F3" s="91" t="s">
        <v>298</v>
      </c>
      <c r="G3" s="89" t="s">
        <v>299</v>
      </c>
      <c r="H3" s="89" t="s">
        <v>301</v>
      </c>
      <c r="I3" s="89" t="s">
        <v>300</v>
      </c>
    </row>
    <row r="4" spans="2:13" x14ac:dyDescent="0.35">
      <c r="B4" s="42"/>
      <c r="C4" s="42"/>
      <c r="D4" s="42"/>
      <c r="E4" s="42"/>
      <c r="F4" s="42"/>
      <c r="G4" s="42"/>
      <c r="H4" s="42"/>
      <c r="I4" s="42"/>
    </row>
    <row r="5" spans="2:13" x14ac:dyDescent="0.35">
      <c r="B5" s="92" t="s">
        <v>292</v>
      </c>
      <c r="C5" s="42" t="s">
        <v>288</v>
      </c>
      <c r="D5" s="42">
        <v>93</v>
      </c>
      <c r="E5" s="42">
        <v>2100</v>
      </c>
      <c r="F5" s="42">
        <v>39000</v>
      </c>
      <c r="G5" s="42">
        <v>24</v>
      </c>
      <c r="H5" s="42">
        <v>1980</v>
      </c>
      <c r="I5" s="90">
        <f>H5/E5</f>
        <v>0.94285714285714284</v>
      </c>
      <c r="K5">
        <f>H5/D5</f>
        <v>21.29032258064516</v>
      </c>
      <c r="L5" s="94">
        <f>H6/K5</f>
        <v>98.63636363636364</v>
      </c>
    </row>
    <row r="6" spans="2:13" x14ac:dyDescent="0.35">
      <c r="B6" s="42"/>
      <c r="C6" s="42" t="s">
        <v>289</v>
      </c>
      <c r="D6" s="42">
        <v>93</v>
      </c>
      <c r="E6" s="42">
        <v>2100</v>
      </c>
      <c r="F6" s="42">
        <v>54000</v>
      </c>
      <c r="G6" s="42">
        <v>27</v>
      </c>
      <c r="H6" s="42">
        <v>2100</v>
      </c>
      <c r="I6" s="90">
        <f>H6/2100</f>
        <v>1</v>
      </c>
      <c r="K6">
        <f>H6/D6</f>
        <v>22.580645161290324</v>
      </c>
      <c r="L6">
        <f>H6/K6</f>
        <v>93</v>
      </c>
      <c r="M6" s="93">
        <f>(L5-L6)/L6</f>
        <v>6.0606060606060649E-2</v>
      </c>
    </row>
    <row r="7" spans="2:13" x14ac:dyDescent="0.35">
      <c r="B7" s="42"/>
      <c r="C7" s="42"/>
      <c r="D7" s="42"/>
      <c r="E7" s="42"/>
      <c r="F7" s="42"/>
      <c r="G7" s="42"/>
      <c r="H7" s="42"/>
      <c r="I7" s="42"/>
    </row>
    <row r="8" spans="2:13" x14ac:dyDescent="0.35">
      <c r="B8" s="92" t="s">
        <v>293</v>
      </c>
      <c r="C8" s="42" t="s">
        <v>288</v>
      </c>
      <c r="D8" s="42">
        <v>61</v>
      </c>
      <c r="E8" s="42">
        <f>30000/24</f>
        <v>1250</v>
      </c>
      <c r="F8" s="42">
        <v>30000</v>
      </c>
      <c r="G8" s="42">
        <v>24</v>
      </c>
      <c r="H8" s="42">
        <v>1200</v>
      </c>
      <c r="I8" s="90">
        <f>H8/E8</f>
        <v>0.96</v>
      </c>
      <c r="K8">
        <f>H8/D8</f>
        <v>19.672131147540984</v>
      </c>
      <c r="L8" s="94">
        <f>H9/K8</f>
        <v>105.90277777777779</v>
      </c>
      <c r="M8">
        <f>H9*0.3</f>
        <v>625</v>
      </c>
    </row>
    <row r="9" spans="2:13" x14ac:dyDescent="0.35">
      <c r="B9" s="42"/>
      <c r="C9" s="42" t="s">
        <v>289</v>
      </c>
      <c r="D9" s="42">
        <v>92</v>
      </c>
      <c r="E9" s="42">
        <v>1645</v>
      </c>
      <c r="F9" s="42">
        <v>50000</v>
      </c>
      <c r="G9" s="42">
        <v>24</v>
      </c>
      <c r="H9" s="42">
        <f>F9/G9</f>
        <v>2083.3333333333335</v>
      </c>
      <c r="I9" s="90">
        <f>H9/E9</f>
        <v>1.2664640324214793</v>
      </c>
      <c r="K9">
        <f>H9/D9</f>
        <v>22.644927536231886</v>
      </c>
      <c r="L9">
        <f>H9/K9</f>
        <v>92</v>
      </c>
      <c r="M9" s="95">
        <f>M8/7.02</f>
        <v>89.03133903133903</v>
      </c>
    </row>
    <row r="10" spans="2:13" x14ac:dyDescent="0.35">
      <c r="B10" s="42"/>
      <c r="C10" s="42"/>
      <c r="D10" s="42"/>
      <c r="E10" s="42"/>
      <c r="F10" s="42"/>
      <c r="G10" s="42"/>
      <c r="H10" s="42"/>
      <c r="I10" s="42"/>
      <c r="L10" s="94">
        <f>L8-L9</f>
        <v>13.902777777777786</v>
      </c>
    </row>
    <row r="11" spans="2:13" x14ac:dyDescent="0.35">
      <c r="B11" s="42" t="s">
        <v>294</v>
      </c>
      <c r="C11" s="42" t="s">
        <v>288</v>
      </c>
      <c r="D11" s="42">
        <v>17</v>
      </c>
      <c r="E11" s="42">
        <v>650</v>
      </c>
      <c r="F11" s="42">
        <v>14500</v>
      </c>
      <c r="G11" s="42">
        <v>24</v>
      </c>
      <c r="H11" s="42">
        <f>F11/G11</f>
        <v>604.16666666666663</v>
      </c>
      <c r="I11" s="90">
        <f>H11/E11</f>
        <v>0.9294871794871794</v>
      </c>
    </row>
    <row r="12" spans="2:13" x14ac:dyDescent="0.35">
      <c r="B12" s="42"/>
      <c r="C12" s="42" t="s">
        <v>289</v>
      </c>
      <c r="D12" s="42">
        <v>37</v>
      </c>
      <c r="E12" s="42">
        <v>1388</v>
      </c>
      <c r="F12" s="42">
        <v>37500</v>
      </c>
      <c r="G12" s="42">
        <v>27</v>
      </c>
      <c r="H12" s="42">
        <f>F12/G12</f>
        <v>1388.8888888888889</v>
      </c>
      <c r="I12" s="90">
        <f>H12/E12</f>
        <v>1.0006404098623118</v>
      </c>
    </row>
    <row r="13" spans="2:13" x14ac:dyDescent="0.35">
      <c r="B13" s="42"/>
      <c r="C13" s="42"/>
      <c r="D13" s="42"/>
      <c r="E13" s="42"/>
      <c r="F13" s="42"/>
      <c r="G13" s="42"/>
      <c r="H13" s="42"/>
      <c r="I13" s="42"/>
    </row>
    <row r="14" spans="2:13" x14ac:dyDescent="0.35">
      <c r="B14" s="92" t="s">
        <v>295</v>
      </c>
      <c r="C14" s="42" t="s">
        <v>288</v>
      </c>
      <c r="D14" s="42">
        <v>80</v>
      </c>
      <c r="E14" s="42">
        <v>600</v>
      </c>
      <c r="F14" s="42">
        <v>12500</v>
      </c>
      <c r="G14" s="42">
        <v>24</v>
      </c>
      <c r="H14" s="42">
        <f>F14/G14</f>
        <v>520.83333333333337</v>
      </c>
      <c r="I14" s="90">
        <f>H14/E14</f>
        <v>0.86805555555555558</v>
      </c>
      <c r="K14">
        <f>H14/D14</f>
        <v>6.510416666666667</v>
      </c>
      <c r="L14" s="94">
        <f>H15/K14</f>
        <v>107.52</v>
      </c>
      <c r="M14">
        <f>H15*0.3</f>
        <v>210</v>
      </c>
    </row>
    <row r="15" spans="2:13" x14ac:dyDescent="0.35">
      <c r="B15" s="42"/>
      <c r="C15" s="42" t="s">
        <v>289</v>
      </c>
      <c r="D15" s="42">
        <v>80</v>
      </c>
      <c r="E15" s="42">
        <v>700</v>
      </c>
      <c r="F15" s="42">
        <v>12500</v>
      </c>
      <c r="G15" s="42">
        <v>27</v>
      </c>
      <c r="H15" s="42">
        <v>700</v>
      </c>
      <c r="I15" s="90">
        <f>H15/E15</f>
        <v>1</v>
      </c>
      <c r="K15">
        <f>H15/D15</f>
        <v>8.75</v>
      </c>
      <c r="L15">
        <f>H15/K15</f>
        <v>80</v>
      </c>
      <c r="M15" s="95">
        <f>M14/7.02</f>
        <v>29.914529914529915</v>
      </c>
    </row>
    <row r="16" spans="2:13" x14ac:dyDescent="0.35">
      <c r="B16" s="42"/>
      <c r="C16" s="42"/>
      <c r="D16" s="42"/>
      <c r="E16" s="42"/>
      <c r="F16" s="42"/>
      <c r="G16" s="42"/>
      <c r="H16" s="42"/>
      <c r="I16" s="42"/>
      <c r="L16" s="94">
        <f>L14-L15</f>
        <v>27.519999999999996</v>
      </c>
    </row>
    <row r="17" spans="2:9" x14ac:dyDescent="0.35">
      <c r="B17" s="42" t="s">
        <v>296</v>
      </c>
      <c r="C17" s="42" t="s">
        <v>288</v>
      </c>
      <c r="D17" s="42">
        <v>41</v>
      </c>
      <c r="E17" s="42">
        <v>1500</v>
      </c>
      <c r="F17" s="42">
        <v>30960</v>
      </c>
      <c r="G17" s="42">
        <v>24</v>
      </c>
      <c r="H17" s="42">
        <f>F17/G17</f>
        <v>1290</v>
      </c>
      <c r="I17" s="90">
        <f>H17/E17</f>
        <v>0.86</v>
      </c>
    </row>
    <row r="18" spans="2:9" x14ac:dyDescent="0.35">
      <c r="B18" s="42"/>
      <c r="C18" s="42" t="s">
        <v>289</v>
      </c>
      <c r="D18" s="42">
        <v>48</v>
      </c>
      <c r="E18" s="42">
        <v>1500</v>
      </c>
      <c r="F18" s="42">
        <v>28000</v>
      </c>
      <c r="G18" s="42">
        <v>20</v>
      </c>
      <c r="H18" s="42">
        <v>1500</v>
      </c>
      <c r="I18" s="90">
        <f>H18/E18</f>
        <v>1</v>
      </c>
    </row>
    <row r="19" spans="2:9" x14ac:dyDescent="0.35">
      <c r="B19" s="42"/>
      <c r="C19" s="42"/>
      <c r="D19" s="42"/>
      <c r="E19" s="42"/>
      <c r="F19" s="42"/>
      <c r="G19" s="42"/>
      <c r="H19" s="42"/>
      <c r="I19" s="42"/>
    </row>
    <row r="20" spans="2:9" x14ac:dyDescent="0.35">
      <c r="B20" s="42"/>
      <c r="C20" s="42"/>
      <c r="D20" s="42"/>
      <c r="E20" s="42"/>
      <c r="F20" s="42"/>
      <c r="G20" s="42"/>
      <c r="H20" s="42"/>
      <c r="I20" s="42"/>
    </row>
    <row r="21" spans="2:9" x14ac:dyDescent="0.35">
      <c r="B21" s="42" t="s">
        <v>297</v>
      </c>
      <c r="C21" s="42" t="s">
        <v>288</v>
      </c>
      <c r="D21" s="42">
        <v>0</v>
      </c>
      <c r="E21" s="42">
        <v>0</v>
      </c>
      <c r="F21" s="42">
        <v>0</v>
      </c>
      <c r="G21" s="42">
        <v>24</v>
      </c>
      <c r="H21" s="42">
        <f>F21/G21</f>
        <v>0</v>
      </c>
      <c r="I21" s="90"/>
    </row>
    <row r="22" spans="2:9" x14ac:dyDescent="0.35">
      <c r="B22" s="42"/>
      <c r="C22" s="42" t="s">
        <v>289</v>
      </c>
      <c r="D22" s="42">
        <v>13</v>
      </c>
      <c r="E22" s="42">
        <v>3100</v>
      </c>
      <c r="F22" s="42">
        <v>52000</v>
      </c>
      <c r="G22" s="42">
        <v>27</v>
      </c>
      <c r="H22" s="42">
        <f>F22/G22</f>
        <v>1925.9259259259259</v>
      </c>
      <c r="I22" s="90">
        <f>H22/E22</f>
        <v>0.62126642771804064</v>
      </c>
    </row>
  </sheetData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11"/>
  <sheetViews>
    <sheetView zoomScaleNormal="100" workbookViewId="0">
      <pane xSplit="2" ySplit="1" topLeftCell="H62" activePane="bottomRight" state="frozen"/>
      <selection pane="topRight" activeCell="C1" sqref="C1"/>
      <selection pane="bottomLeft" activeCell="A2" sqref="A2"/>
      <selection pane="bottomRight" activeCell="T73" sqref="T73"/>
    </sheetView>
  </sheetViews>
  <sheetFormatPr defaultRowHeight="14.5" x14ac:dyDescent="0.35"/>
  <cols>
    <col min="1" max="1" width="7.36328125" style="38" bestFit="1" customWidth="1"/>
    <col min="2" max="2" width="19.1796875" style="36" customWidth="1"/>
    <col min="3" max="3" width="13.08984375" style="36" hidden="1" customWidth="1"/>
    <col min="4" max="4" width="10.26953125" style="36" hidden="1" customWidth="1"/>
    <col min="5" max="5" width="8.08984375" style="36" hidden="1" customWidth="1"/>
    <col min="6" max="6" width="10.26953125" style="36" hidden="1" customWidth="1"/>
    <col min="7" max="7" width="26.1796875" style="36" hidden="1" customWidth="1"/>
    <col min="8" max="8" width="16.36328125" style="37" customWidth="1"/>
    <col min="9" max="9" width="12.81640625" style="40" hidden="1" customWidth="1"/>
    <col min="10" max="10" width="13" style="40" hidden="1" customWidth="1"/>
    <col min="11" max="11" width="11.6328125" style="70" hidden="1" customWidth="1"/>
    <col min="12" max="12" width="9.90625" style="70" hidden="1" customWidth="1"/>
    <col min="13" max="13" width="15.36328125" hidden="1" customWidth="1"/>
    <col min="14" max="14" width="6.6328125" hidden="1" customWidth="1"/>
    <col min="15" max="15" width="16" customWidth="1"/>
    <col min="16" max="16" width="8.90625" bestFit="1" customWidth="1"/>
    <col min="17" max="17" width="4.7265625" bestFit="1" customWidth="1"/>
    <col min="18" max="18" width="11" style="30" bestFit="1" customWidth="1"/>
    <col min="19" max="19" width="8.6328125" style="30"/>
    <col min="20" max="21" width="8.6328125" style="86"/>
  </cols>
  <sheetData>
    <row r="1" spans="1:21" x14ac:dyDescent="0.35">
      <c r="A1" s="43" t="s">
        <v>192</v>
      </c>
      <c r="B1" s="44" t="s">
        <v>10</v>
      </c>
      <c r="C1" s="44" t="s">
        <v>193</v>
      </c>
      <c r="D1" s="44" t="s">
        <v>31</v>
      </c>
      <c r="E1" s="44" t="s">
        <v>13</v>
      </c>
      <c r="F1" s="44" t="s">
        <v>226</v>
      </c>
      <c r="G1" s="44" t="s">
        <v>194</v>
      </c>
      <c r="H1" s="45" t="s">
        <v>195</v>
      </c>
      <c r="I1" s="46" t="s">
        <v>227</v>
      </c>
      <c r="J1" s="46" t="s">
        <v>228</v>
      </c>
      <c r="K1" s="47" t="s">
        <v>229</v>
      </c>
      <c r="L1" s="48" t="s">
        <v>230</v>
      </c>
      <c r="M1" s="49" t="s">
        <v>231</v>
      </c>
      <c r="N1" t="s">
        <v>232</v>
      </c>
      <c r="O1" s="50" t="s">
        <v>169</v>
      </c>
      <c r="R1" s="41" t="s">
        <v>279</v>
      </c>
      <c r="S1" s="41" t="s">
        <v>171</v>
      </c>
      <c r="T1" s="41" t="s">
        <v>279</v>
      </c>
      <c r="U1" s="41" t="s">
        <v>171</v>
      </c>
    </row>
    <row r="2" spans="1:21" x14ac:dyDescent="0.35">
      <c r="A2" s="51"/>
      <c r="B2" s="42" t="s">
        <v>203</v>
      </c>
      <c r="C2" s="52">
        <f>J2/H2*1000</f>
        <v>1.7779699450558586</v>
      </c>
      <c r="D2" s="53" t="s">
        <v>197</v>
      </c>
      <c r="E2" s="53" t="s">
        <v>233</v>
      </c>
      <c r="F2" s="53" t="s">
        <v>234</v>
      </c>
      <c r="G2" s="53" t="s">
        <v>201</v>
      </c>
      <c r="H2" s="54">
        <v>1056</v>
      </c>
      <c r="I2" s="55">
        <f>H2*C2</f>
        <v>1877.5362619789867</v>
      </c>
      <c r="J2" s="55">
        <v>1.8775362619789866</v>
      </c>
      <c r="K2" s="56">
        <v>2.0074918373910156</v>
      </c>
      <c r="L2" s="57">
        <f>(K2*H2)/1000</f>
        <v>2.1199113802849125</v>
      </c>
      <c r="M2" s="58">
        <f t="shared" ref="M2:M65" si="0">(J2-L2)/J2</f>
        <v>-0.12909211034382601</v>
      </c>
      <c r="N2" s="59" t="s">
        <v>235</v>
      </c>
      <c r="R2" s="30">
        <f>VLOOKUP(B2,'[6]Backup file'!$A:$F,3,FALSE)</f>
        <v>3.3E-3</v>
      </c>
      <c r="S2" s="30">
        <f>VLOOKUP(B2,'[6]Backup file'!$A:$F,6,FALSE)</f>
        <v>2.8000000000000001E-2</v>
      </c>
      <c r="T2" s="85">
        <f>R2*H2</f>
        <v>3.4847999999999999</v>
      </c>
      <c r="U2" s="85">
        <f>S2*H2</f>
        <v>29.568000000000001</v>
      </c>
    </row>
    <row r="3" spans="1:21" x14ac:dyDescent="0.35">
      <c r="A3" s="51"/>
      <c r="B3" s="42" t="s">
        <v>203</v>
      </c>
      <c r="C3" s="52">
        <f>J3/H3*1000</f>
        <v>1.7631535862753112</v>
      </c>
      <c r="D3" s="53" t="s">
        <v>197</v>
      </c>
      <c r="E3" s="53" t="s">
        <v>233</v>
      </c>
      <c r="F3" s="53" t="s">
        <v>234</v>
      </c>
      <c r="G3" s="53" t="s">
        <v>201</v>
      </c>
      <c r="H3" s="54">
        <v>3432</v>
      </c>
      <c r="I3" s="55">
        <f t="shared" ref="I3:I66" si="1">H3*C3</f>
        <v>6051.1431080968678</v>
      </c>
      <c r="J3" s="55">
        <v>6.0511431080968681</v>
      </c>
      <c r="K3" s="56">
        <v>2.0074918373910156</v>
      </c>
      <c r="L3" s="57">
        <f>(K3*H3)/1000</f>
        <v>6.8897119859259659</v>
      </c>
      <c r="M3" s="58">
        <f t="shared" si="0"/>
        <v>-0.1385802422532417</v>
      </c>
      <c r="N3" s="59" t="s">
        <v>236</v>
      </c>
      <c r="R3" s="30">
        <f>VLOOKUP(B3,'[6]Backup file'!$A:$F,3,FALSE)</f>
        <v>3.3E-3</v>
      </c>
      <c r="S3" s="30">
        <f>VLOOKUP(B3,'[6]Backup file'!$A:$F,6,FALSE)</f>
        <v>2.8000000000000001E-2</v>
      </c>
      <c r="T3" s="85">
        <f t="shared" ref="T3:T66" si="2">R3*H3</f>
        <v>11.3256</v>
      </c>
      <c r="U3" s="85">
        <f t="shared" ref="U3:U66" si="3">S3*H3</f>
        <v>96.096000000000004</v>
      </c>
    </row>
    <row r="4" spans="1:21" x14ac:dyDescent="0.35">
      <c r="A4" s="51"/>
      <c r="B4" s="42" t="s">
        <v>203</v>
      </c>
      <c r="C4" s="52">
        <f t="shared" ref="C4:C67" si="4">J4/H4*1000</f>
        <v>1.7631535804963674</v>
      </c>
      <c r="D4" s="53" t="s">
        <v>197</v>
      </c>
      <c r="E4" s="53" t="s">
        <v>233</v>
      </c>
      <c r="F4" s="53" t="s">
        <v>234</v>
      </c>
      <c r="G4" s="53" t="s">
        <v>201</v>
      </c>
      <c r="H4" s="54">
        <v>1584</v>
      </c>
      <c r="I4" s="55">
        <f t="shared" si="1"/>
        <v>2792.835271506246</v>
      </c>
      <c r="J4" s="55">
        <v>2.7928352715062461</v>
      </c>
      <c r="K4" s="56">
        <v>2.0074918373910156</v>
      </c>
      <c r="L4" s="57">
        <f>(K4*H4)/1000</f>
        <v>3.1798670704273686</v>
      </c>
      <c r="M4" s="58">
        <f t="shared" si="0"/>
        <v>-0.13858024598507257</v>
      </c>
      <c r="N4" s="59" t="s">
        <v>236</v>
      </c>
      <c r="R4" s="30">
        <f>VLOOKUP(B4,'[6]Backup file'!$A:$F,3,FALSE)</f>
        <v>3.3E-3</v>
      </c>
      <c r="S4" s="30">
        <f>VLOOKUP(B4,'[6]Backup file'!$A:$F,6,FALSE)</f>
        <v>2.8000000000000001E-2</v>
      </c>
      <c r="T4" s="85">
        <f t="shared" si="2"/>
        <v>5.2271999999999998</v>
      </c>
      <c r="U4" s="85">
        <f t="shared" si="3"/>
        <v>44.352000000000004</v>
      </c>
    </row>
    <row r="5" spans="1:21" x14ac:dyDescent="0.35">
      <c r="A5" s="51"/>
      <c r="B5" s="60" t="s">
        <v>237</v>
      </c>
      <c r="C5" s="52">
        <f t="shared" si="4"/>
        <v>2.1218400145206933</v>
      </c>
      <c r="D5" s="53" t="s">
        <v>197</v>
      </c>
      <c r="E5" s="53" t="s">
        <v>238</v>
      </c>
      <c r="F5" s="53" t="s">
        <v>239</v>
      </c>
      <c r="G5" s="53" t="s">
        <v>201</v>
      </c>
      <c r="H5" s="54">
        <v>3960</v>
      </c>
      <c r="I5" s="55">
        <f t="shared" si="1"/>
        <v>8402.4864575019456</v>
      </c>
      <c r="J5" s="55">
        <v>8.4024864575019453</v>
      </c>
      <c r="K5" s="56">
        <v>1.4211312002673693</v>
      </c>
      <c r="L5" s="57">
        <f t="shared" ref="L5:L68" si="5">(K5*H5)/1000</f>
        <v>5.6276795530587824</v>
      </c>
      <c r="M5" s="58">
        <f t="shared" si="0"/>
        <v>0.33023640305492519</v>
      </c>
      <c r="N5" s="59"/>
      <c r="R5" s="30">
        <f>VLOOKUP(B5,'[6]Backup file'!$A:$F,3,FALSE)</f>
        <v>3.3E-3</v>
      </c>
      <c r="S5" s="30">
        <f>VLOOKUP(B5,'[6]Backup file'!$A:$F,6,FALSE)</f>
        <v>2.8000000000000001E-2</v>
      </c>
      <c r="T5" s="85">
        <f t="shared" si="2"/>
        <v>13.068</v>
      </c>
      <c r="U5" s="85">
        <f t="shared" si="3"/>
        <v>110.88</v>
      </c>
    </row>
    <row r="6" spans="1:21" x14ac:dyDescent="0.35">
      <c r="A6" s="51"/>
      <c r="B6" s="60" t="s">
        <v>240</v>
      </c>
      <c r="C6" s="52">
        <f t="shared" si="4"/>
        <v>2.2663199939292209</v>
      </c>
      <c r="D6" s="53" t="s">
        <v>197</v>
      </c>
      <c r="E6" s="53" t="s">
        <v>238</v>
      </c>
      <c r="F6" s="53" t="s">
        <v>239</v>
      </c>
      <c r="G6" s="53" t="s">
        <v>201</v>
      </c>
      <c r="H6" s="54">
        <v>3960</v>
      </c>
      <c r="I6" s="55">
        <f t="shared" si="1"/>
        <v>8974.6271759597148</v>
      </c>
      <c r="J6" s="55">
        <v>8.9746271759597143</v>
      </c>
      <c r="K6" s="56">
        <v>1.4446804204448673</v>
      </c>
      <c r="L6" s="57">
        <f t="shared" si="5"/>
        <v>5.7209344649616751</v>
      </c>
      <c r="M6" s="58">
        <f t="shared" si="0"/>
        <v>0.36254349592523333</v>
      </c>
      <c r="N6" s="59" t="s">
        <v>236</v>
      </c>
      <c r="R6" s="30">
        <f>VLOOKUP(B6,'[6]Backup file'!$A:$F,3,FALSE)</f>
        <v>3.3E-3</v>
      </c>
      <c r="S6" s="30">
        <f>VLOOKUP(B6,'[6]Backup file'!$A:$F,6,FALSE)</f>
        <v>4.3999999999999997E-2</v>
      </c>
      <c r="T6" s="85">
        <f t="shared" si="2"/>
        <v>13.068</v>
      </c>
      <c r="U6" s="85">
        <f t="shared" si="3"/>
        <v>174.23999999999998</v>
      </c>
    </row>
    <row r="7" spans="1:21" x14ac:dyDescent="0.35">
      <c r="A7" s="51"/>
      <c r="B7" s="60" t="s">
        <v>241</v>
      </c>
      <c r="C7" s="52">
        <f t="shared" si="4"/>
        <v>2.2568800480876372</v>
      </c>
      <c r="D7" s="53" t="s">
        <v>197</v>
      </c>
      <c r="E7" s="53" t="s">
        <v>238</v>
      </c>
      <c r="F7" s="53" t="s">
        <v>239</v>
      </c>
      <c r="G7" s="53" t="s">
        <v>201</v>
      </c>
      <c r="H7" s="54">
        <v>990</v>
      </c>
      <c r="I7" s="55">
        <f t="shared" si="1"/>
        <v>2234.3112476067608</v>
      </c>
      <c r="J7" s="55">
        <v>2.2343112476067608</v>
      </c>
      <c r="K7" s="56">
        <v>0.97377563595209105</v>
      </c>
      <c r="L7" s="57">
        <f t="shared" si="5"/>
        <v>0.96403787959257015</v>
      </c>
      <c r="M7" s="58">
        <f t="shared" si="0"/>
        <v>0.56853017652523541</v>
      </c>
      <c r="N7" s="59" t="s">
        <v>235</v>
      </c>
      <c r="R7" s="30">
        <f>VLOOKUP(B7,'[6]Backup file'!$A:$F,3,FALSE)</f>
        <v>1.6999999999999999E-3</v>
      </c>
      <c r="S7" s="30">
        <f>VLOOKUP(B7,'[6]Backup file'!$A:$F,6,FALSE)</f>
        <v>3.0000000000000001E-3</v>
      </c>
      <c r="T7" s="85">
        <f t="shared" si="2"/>
        <v>1.6829999999999998</v>
      </c>
      <c r="U7" s="85">
        <f t="shared" si="3"/>
        <v>2.97</v>
      </c>
    </row>
    <row r="8" spans="1:21" x14ac:dyDescent="0.35">
      <c r="A8" s="51"/>
      <c r="B8" s="60" t="s">
        <v>196</v>
      </c>
      <c r="C8" s="52">
        <f t="shared" si="4"/>
        <v>4.4960996540370557</v>
      </c>
      <c r="D8" s="53" t="s">
        <v>197</v>
      </c>
      <c r="E8" s="53" t="s">
        <v>238</v>
      </c>
      <c r="F8" s="53" t="s">
        <v>239</v>
      </c>
      <c r="G8" s="53" t="s">
        <v>198</v>
      </c>
      <c r="H8" s="54">
        <v>132</v>
      </c>
      <c r="I8" s="55">
        <f t="shared" si="1"/>
        <v>593.4851543328914</v>
      </c>
      <c r="J8" s="55">
        <v>0.59348515433289128</v>
      </c>
      <c r="K8" s="56">
        <v>3.4168201759355572</v>
      </c>
      <c r="L8" s="57">
        <f t="shared" si="5"/>
        <v>0.45102026322349353</v>
      </c>
      <c r="M8" s="58">
        <f t="shared" si="0"/>
        <v>0.24004794402909005</v>
      </c>
      <c r="N8" s="59" t="s">
        <v>235</v>
      </c>
      <c r="R8" s="30">
        <f>VLOOKUP(B8,'[6]Backup file'!$A:$F,3,FALSE)</f>
        <v>3.3E-3</v>
      </c>
      <c r="S8" s="30">
        <f>VLOOKUP(B8,'[6]Backup file'!$A:$F,6,FALSE)</f>
        <v>4.2799999999999998E-2</v>
      </c>
      <c r="T8" s="85">
        <f t="shared" si="2"/>
        <v>0.43559999999999999</v>
      </c>
      <c r="U8" s="85">
        <f t="shared" si="3"/>
        <v>5.6495999999999995</v>
      </c>
    </row>
    <row r="9" spans="1:21" x14ac:dyDescent="0.35">
      <c r="A9" s="51"/>
      <c r="B9" s="60" t="s">
        <v>200</v>
      </c>
      <c r="C9" s="52">
        <f t="shared" si="4"/>
        <v>1.6784950688182976</v>
      </c>
      <c r="D9" s="53" t="s">
        <v>197</v>
      </c>
      <c r="E9" s="53" t="s">
        <v>233</v>
      </c>
      <c r="F9" s="53" t="s">
        <v>234</v>
      </c>
      <c r="G9" s="53" t="s">
        <v>198</v>
      </c>
      <c r="H9" s="54">
        <v>264</v>
      </c>
      <c r="I9" s="55">
        <f t="shared" si="1"/>
        <v>443.12269816803058</v>
      </c>
      <c r="J9" s="55">
        <v>0.44312269816803057</v>
      </c>
      <c r="K9" s="56">
        <v>1.9114091278287344</v>
      </c>
      <c r="L9" s="57">
        <f t="shared" si="5"/>
        <v>0.50461200974678588</v>
      </c>
      <c r="M9" s="58">
        <f t="shared" si="0"/>
        <v>-0.13876362423537777</v>
      </c>
      <c r="N9" s="59" t="s">
        <v>235</v>
      </c>
      <c r="R9" s="30">
        <f>VLOOKUP(B9,'[6]Backup file'!$A:$F,3,FALSE)</f>
        <v>3.3E-3</v>
      </c>
      <c r="S9" s="30">
        <f>VLOOKUP(B9,'[6]Backup file'!$A:$F,6,FALSE)</f>
        <v>2.7E-2</v>
      </c>
      <c r="T9" s="85">
        <f t="shared" si="2"/>
        <v>0.87119999999999997</v>
      </c>
      <c r="U9" s="85">
        <f t="shared" si="3"/>
        <v>7.1280000000000001</v>
      </c>
    </row>
    <row r="10" spans="1:21" x14ac:dyDescent="0.35">
      <c r="A10" s="51"/>
      <c r="B10" s="60" t="s">
        <v>200</v>
      </c>
      <c r="C10" s="52">
        <f t="shared" si="4"/>
        <v>1.6784950688182976</v>
      </c>
      <c r="D10" s="53" t="s">
        <v>197</v>
      </c>
      <c r="E10" s="53" t="s">
        <v>233</v>
      </c>
      <c r="F10" s="53" t="s">
        <v>234</v>
      </c>
      <c r="G10" s="53" t="s">
        <v>198</v>
      </c>
      <c r="H10" s="54">
        <v>264</v>
      </c>
      <c r="I10" s="55">
        <f t="shared" si="1"/>
        <v>443.12269816803058</v>
      </c>
      <c r="J10" s="55">
        <v>0.44312269816803057</v>
      </c>
      <c r="K10" s="56">
        <v>1.9114091278287344</v>
      </c>
      <c r="L10" s="57">
        <f t="shared" si="5"/>
        <v>0.50461200974678588</v>
      </c>
      <c r="M10" s="58">
        <f t="shared" si="0"/>
        <v>-0.13876362423537777</v>
      </c>
      <c r="N10" s="59" t="s">
        <v>235</v>
      </c>
      <c r="R10" s="30">
        <f>VLOOKUP(B10,'[6]Backup file'!$A:$F,3,FALSE)</f>
        <v>3.3E-3</v>
      </c>
      <c r="S10" s="30">
        <f>VLOOKUP(B10,'[6]Backup file'!$A:$F,6,FALSE)</f>
        <v>2.7E-2</v>
      </c>
      <c r="T10" s="85">
        <f t="shared" si="2"/>
        <v>0.87119999999999997</v>
      </c>
      <c r="U10" s="85">
        <f t="shared" si="3"/>
        <v>7.1280000000000001</v>
      </c>
    </row>
    <row r="11" spans="1:21" x14ac:dyDescent="0.35">
      <c r="A11" s="51"/>
      <c r="B11" s="60" t="s">
        <v>200</v>
      </c>
      <c r="C11" s="52">
        <f t="shared" si="4"/>
        <v>1.6784950688182976</v>
      </c>
      <c r="D11" s="53" t="s">
        <v>197</v>
      </c>
      <c r="E11" s="53" t="s">
        <v>233</v>
      </c>
      <c r="F11" s="53" t="s">
        <v>234</v>
      </c>
      <c r="G11" s="53" t="s">
        <v>198</v>
      </c>
      <c r="H11" s="54">
        <v>264</v>
      </c>
      <c r="I11" s="55">
        <f t="shared" si="1"/>
        <v>443.12269816803058</v>
      </c>
      <c r="J11" s="55">
        <v>0.44312269816803057</v>
      </c>
      <c r="K11" s="56">
        <v>1.9114091278287344</v>
      </c>
      <c r="L11" s="57">
        <f t="shared" si="5"/>
        <v>0.50461200974678588</v>
      </c>
      <c r="M11" s="58">
        <f t="shared" si="0"/>
        <v>-0.13876362423537777</v>
      </c>
      <c r="N11" s="59" t="s">
        <v>235</v>
      </c>
      <c r="R11" s="30">
        <f>VLOOKUP(B11,'[6]Backup file'!$A:$F,3,FALSE)</f>
        <v>3.3E-3</v>
      </c>
      <c r="S11" s="30">
        <f>VLOOKUP(B11,'[6]Backup file'!$A:$F,6,FALSE)</f>
        <v>2.7E-2</v>
      </c>
      <c r="T11" s="85">
        <f t="shared" si="2"/>
        <v>0.87119999999999997</v>
      </c>
      <c r="U11" s="85">
        <f t="shared" si="3"/>
        <v>7.1280000000000001</v>
      </c>
    </row>
    <row r="12" spans="1:21" x14ac:dyDescent="0.35">
      <c r="A12" s="51"/>
      <c r="B12" s="60" t="s">
        <v>200</v>
      </c>
      <c r="C12" s="52">
        <f t="shared" si="4"/>
        <v>1.6784950688182976</v>
      </c>
      <c r="D12" s="53" t="s">
        <v>197</v>
      </c>
      <c r="E12" s="53" t="s">
        <v>233</v>
      </c>
      <c r="F12" s="53" t="s">
        <v>234</v>
      </c>
      <c r="G12" s="53" t="s">
        <v>198</v>
      </c>
      <c r="H12" s="54">
        <v>264</v>
      </c>
      <c r="I12" s="55">
        <f t="shared" si="1"/>
        <v>443.12269816803058</v>
      </c>
      <c r="J12" s="55">
        <v>0.44312269816803057</v>
      </c>
      <c r="K12" s="56">
        <v>1.9114091278287344</v>
      </c>
      <c r="L12" s="57">
        <f t="shared" si="5"/>
        <v>0.50461200974678588</v>
      </c>
      <c r="M12" s="58">
        <f t="shared" si="0"/>
        <v>-0.13876362423537777</v>
      </c>
      <c r="N12" s="59" t="s">
        <v>235</v>
      </c>
      <c r="R12" s="30">
        <f>VLOOKUP(B12,'[6]Backup file'!$A:$F,3,FALSE)</f>
        <v>3.3E-3</v>
      </c>
      <c r="S12" s="30">
        <f>VLOOKUP(B12,'[6]Backup file'!$A:$F,6,FALSE)</f>
        <v>2.7E-2</v>
      </c>
      <c r="T12" s="85">
        <f t="shared" si="2"/>
        <v>0.87119999999999997</v>
      </c>
      <c r="U12" s="85">
        <f t="shared" si="3"/>
        <v>7.1280000000000001</v>
      </c>
    </row>
    <row r="13" spans="1:21" x14ac:dyDescent="0.35">
      <c r="A13" s="51"/>
      <c r="B13" s="60" t="s">
        <v>200</v>
      </c>
      <c r="C13" s="52">
        <f t="shared" si="4"/>
        <v>1.6784950688182976</v>
      </c>
      <c r="D13" s="53" t="s">
        <v>197</v>
      </c>
      <c r="E13" s="53" t="s">
        <v>233</v>
      </c>
      <c r="F13" s="53" t="s">
        <v>234</v>
      </c>
      <c r="G13" s="53" t="s">
        <v>198</v>
      </c>
      <c r="H13" s="54">
        <v>264</v>
      </c>
      <c r="I13" s="55">
        <f t="shared" si="1"/>
        <v>443.12269816803058</v>
      </c>
      <c r="J13" s="55">
        <v>0.44312269816803057</v>
      </c>
      <c r="K13" s="56">
        <v>1.9114091278287344</v>
      </c>
      <c r="L13" s="57">
        <f t="shared" si="5"/>
        <v>0.50461200974678588</v>
      </c>
      <c r="M13" s="58">
        <f t="shared" si="0"/>
        <v>-0.13876362423537777</v>
      </c>
      <c r="N13" s="59" t="s">
        <v>236</v>
      </c>
      <c r="R13" s="30">
        <f>VLOOKUP(B13,'[6]Backup file'!$A:$F,3,FALSE)</f>
        <v>3.3E-3</v>
      </c>
      <c r="S13" s="30">
        <f>VLOOKUP(B13,'[6]Backup file'!$A:$F,6,FALSE)</f>
        <v>2.7E-2</v>
      </c>
      <c r="T13" s="85">
        <f t="shared" si="2"/>
        <v>0.87119999999999997</v>
      </c>
      <c r="U13" s="85">
        <f t="shared" si="3"/>
        <v>7.1280000000000001</v>
      </c>
    </row>
    <row r="14" spans="1:21" x14ac:dyDescent="0.35">
      <c r="A14" s="51"/>
      <c r="B14" s="60" t="s">
        <v>200</v>
      </c>
      <c r="C14" s="52">
        <f t="shared" si="4"/>
        <v>1.6784950688182976</v>
      </c>
      <c r="D14" s="53" t="s">
        <v>197</v>
      </c>
      <c r="E14" s="53" t="s">
        <v>233</v>
      </c>
      <c r="F14" s="53" t="s">
        <v>234</v>
      </c>
      <c r="G14" s="53" t="s">
        <v>198</v>
      </c>
      <c r="H14" s="61">
        <v>264</v>
      </c>
      <c r="I14" s="55">
        <f t="shared" si="1"/>
        <v>443.12269816803058</v>
      </c>
      <c r="J14" s="55">
        <v>0.44312269816803057</v>
      </c>
      <c r="K14" s="56">
        <v>1.9114091278287344</v>
      </c>
      <c r="L14" s="57">
        <f t="shared" si="5"/>
        <v>0.50461200974678588</v>
      </c>
      <c r="M14" s="58">
        <f t="shared" si="0"/>
        <v>-0.13876362423537777</v>
      </c>
      <c r="N14" s="59" t="s">
        <v>236</v>
      </c>
      <c r="R14" s="30">
        <f>VLOOKUP(B14,'[6]Backup file'!$A:$F,3,FALSE)</f>
        <v>3.3E-3</v>
      </c>
      <c r="S14" s="30">
        <f>VLOOKUP(B14,'[6]Backup file'!$A:$F,6,FALSE)</f>
        <v>2.7E-2</v>
      </c>
      <c r="T14" s="85">
        <f t="shared" si="2"/>
        <v>0.87119999999999997</v>
      </c>
      <c r="U14" s="85">
        <f t="shared" si="3"/>
        <v>7.1280000000000001</v>
      </c>
    </row>
    <row r="15" spans="1:21" x14ac:dyDescent="0.35">
      <c r="A15" s="51"/>
      <c r="B15" s="60" t="s">
        <v>200</v>
      </c>
      <c r="C15" s="52">
        <f t="shared" si="4"/>
        <v>1.6784950688182976</v>
      </c>
      <c r="D15" s="53" t="s">
        <v>197</v>
      </c>
      <c r="E15" s="53" t="s">
        <v>233</v>
      </c>
      <c r="F15" s="53" t="s">
        <v>234</v>
      </c>
      <c r="G15" s="53" t="s">
        <v>198</v>
      </c>
      <c r="H15" s="61">
        <v>264</v>
      </c>
      <c r="I15" s="55">
        <f t="shared" si="1"/>
        <v>443.12269816803058</v>
      </c>
      <c r="J15" s="55">
        <v>0.44312269816803057</v>
      </c>
      <c r="K15" s="56">
        <v>1.9114091278287344</v>
      </c>
      <c r="L15" s="57">
        <f t="shared" si="5"/>
        <v>0.50461200974678588</v>
      </c>
      <c r="M15" s="58">
        <f t="shared" si="0"/>
        <v>-0.13876362423537777</v>
      </c>
      <c r="N15" s="59" t="s">
        <v>236</v>
      </c>
      <c r="R15" s="30">
        <f>VLOOKUP(B15,'[6]Backup file'!$A:$F,3,FALSE)</f>
        <v>3.3E-3</v>
      </c>
      <c r="S15" s="30">
        <f>VLOOKUP(B15,'[6]Backup file'!$A:$F,6,FALSE)</f>
        <v>2.7E-2</v>
      </c>
      <c r="T15" s="85">
        <f t="shared" si="2"/>
        <v>0.87119999999999997</v>
      </c>
      <c r="U15" s="85">
        <f t="shared" si="3"/>
        <v>7.1280000000000001</v>
      </c>
    </row>
    <row r="16" spans="1:21" x14ac:dyDescent="0.35">
      <c r="A16" s="51"/>
      <c r="B16" s="62" t="s">
        <v>242</v>
      </c>
      <c r="C16" s="52">
        <f t="shared" si="4"/>
        <v>2.1348599694737032</v>
      </c>
      <c r="D16" s="53" t="s">
        <v>197</v>
      </c>
      <c r="E16" s="53" t="s">
        <v>238</v>
      </c>
      <c r="F16" s="53" t="s">
        <v>239</v>
      </c>
      <c r="G16" s="53" t="s">
        <v>63</v>
      </c>
      <c r="H16" s="63">
        <v>1008</v>
      </c>
      <c r="I16" s="55">
        <f t="shared" si="1"/>
        <v>2151.9388492294929</v>
      </c>
      <c r="J16" s="55">
        <v>2.1519388492294929</v>
      </c>
      <c r="K16" s="56">
        <v>2.1326551366709108</v>
      </c>
      <c r="L16" s="57">
        <f t="shared" si="5"/>
        <v>2.1497163777642783</v>
      </c>
      <c r="M16" s="58">
        <f t="shared" si="0"/>
        <v>1.0327763105398438E-3</v>
      </c>
      <c r="N16" s="59" t="s">
        <v>236</v>
      </c>
      <c r="R16" s="30">
        <f>VLOOKUP(B16,'[6]Backup file'!$A:$F,3,FALSE)</f>
        <v>2.1810000000000002E-3</v>
      </c>
      <c r="S16" s="30">
        <f>VLOOKUP(B16,'[6]Backup file'!$A:$F,6,FALSE)</f>
        <v>1.3086E-2</v>
      </c>
      <c r="T16" s="85">
        <f t="shared" si="2"/>
        <v>2.1984480000000004</v>
      </c>
      <c r="U16" s="85">
        <f t="shared" si="3"/>
        <v>13.190688</v>
      </c>
    </row>
    <row r="17" spans="1:21" x14ac:dyDescent="0.35">
      <c r="A17" s="51"/>
      <c r="B17" s="62" t="s">
        <v>243</v>
      </c>
      <c r="C17" s="52">
        <f t="shared" si="4"/>
        <v>1.4783270848289962</v>
      </c>
      <c r="D17" s="53" t="s">
        <v>197</v>
      </c>
      <c r="E17" s="53" t="s">
        <v>238</v>
      </c>
      <c r="F17" s="53" t="s">
        <v>239</v>
      </c>
      <c r="G17" s="53" t="s">
        <v>207</v>
      </c>
      <c r="H17" s="63">
        <v>8052</v>
      </c>
      <c r="I17" s="55">
        <f t="shared" si="1"/>
        <v>11903.489687043078</v>
      </c>
      <c r="J17" s="55">
        <v>11.903489687043077</v>
      </c>
      <c r="K17" s="56">
        <v>1.5405069379240044</v>
      </c>
      <c r="L17" s="57">
        <f t="shared" si="5"/>
        <v>12.404161864164083</v>
      </c>
      <c r="M17" s="58">
        <f t="shared" si="0"/>
        <v>-4.206095777660783E-2</v>
      </c>
      <c r="N17" s="59" t="s">
        <v>236</v>
      </c>
      <c r="R17" s="30">
        <f>VLOOKUP(B17,'[6]Backup file'!$A:$F,3,FALSE)</f>
        <v>2E-3</v>
      </c>
      <c r="S17" s="30">
        <f>VLOOKUP(B17,'[6]Backup file'!$A:$F,6,FALSE)</f>
        <v>1.7999999999999999E-2</v>
      </c>
      <c r="T17" s="85">
        <f t="shared" si="2"/>
        <v>16.103999999999999</v>
      </c>
      <c r="U17" s="85">
        <f t="shared" si="3"/>
        <v>144.93599999999998</v>
      </c>
    </row>
    <row r="18" spans="1:21" x14ac:dyDescent="0.35">
      <c r="A18" s="51" t="s">
        <v>244</v>
      </c>
      <c r="B18" s="62" t="s">
        <v>202</v>
      </c>
      <c r="C18" s="52">
        <f t="shared" si="4"/>
        <v>4.0608000402301752</v>
      </c>
      <c r="D18" s="53" t="s">
        <v>197</v>
      </c>
      <c r="E18" s="53" t="s">
        <v>238</v>
      </c>
      <c r="F18" s="53" t="s">
        <v>239</v>
      </c>
      <c r="G18" s="53" t="s">
        <v>63</v>
      </c>
      <c r="H18" s="63">
        <v>396</v>
      </c>
      <c r="I18" s="55">
        <f t="shared" si="1"/>
        <v>1608.0768159311494</v>
      </c>
      <c r="J18" s="55">
        <v>1.6080768159311494</v>
      </c>
      <c r="K18" s="56">
        <v>2.8765778480907818</v>
      </c>
      <c r="L18" s="57">
        <f t="shared" si="5"/>
        <v>1.1391248278439496</v>
      </c>
      <c r="M18" s="58">
        <f t="shared" si="0"/>
        <v>0.29162287736587711</v>
      </c>
      <c r="N18" s="59" t="s">
        <v>236</v>
      </c>
      <c r="R18" s="30">
        <f>VLOOKUP(B18,'[6]Backup file'!$A:$F,3,FALSE)</f>
        <v>3.0000000000000001E-3</v>
      </c>
      <c r="S18" s="30">
        <f>VLOOKUP(B18,'[6]Backup file'!$A:$F,6,FALSE)</f>
        <v>3.5000000000000003E-2</v>
      </c>
      <c r="T18" s="85">
        <f t="shared" si="2"/>
        <v>1.1879999999999999</v>
      </c>
      <c r="U18" s="85">
        <f t="shared" si="3"/>
        <v>13.860000000000001</v>
      </c>
    </row>
    <row r="19" spans="1:21" x14ac:dyDescent="0.35">
      <c r="A19" s="51"/>
      <c r="B19" s="62" t="s">
        <v>202</v>
      </c>
      <c r="C19" s="52">
        <f t="shared" si="4"/>
        <v>4.060799980129163</v>
      </c>
      <c r="D19" s="53" t="s">
        <v>197</v>
      </c>
      <c r="E19" s="53" t="s">
        <v>238</v>
      </c>
      <c r="F19" s="53" t="s">
        <v>239</v>
      </c>
      <c r="G19" s="53" t="s">
        <v>63</v>
      </c>
      <c r="H19" s="63">
        <v>1320</v>
      </c>
      <c r="I19" s="55">
        <f t="shared" si="1"/>
        <v>5360.2559737704951</v>
      </c>
      <c r="J19" s="55">
        <v>5.3602559737704949</v>
      </c>
      <c r="K19" s="56">
        <v>2.8765778480907818</v>
      </c>
      <c r="L19" s="57">
        <f t="shared" si="5"/>
        <v>3.797082759479832</v>
      </c>
      <c r="M19" s="58">
        <f t="shared" si="0"/>
        <v>0.29162286688169115</v>
      </c>
      <c r="N19" s="59" t="s">
        <v>236</v>
      </c>
      <c r="R19" s="30">
        <f>VLOOKUP(B19,'[6]Backup file'!$A:$F,3,FALSE)</f>
        <v>3.0000000000000001E-3</v>
      </c>
      <c r="S19" s="30">
        <f>VLOOKUP(B19,'[6]Backup file'!$A:$F,6,FALSE)</f>
        <v>3.5000000000000003E-2</v>
      </c>
      <c r="T19" s="85">
        <f t="shared" si="2"/>
        <v>3.96</v>
      </c>
      <c r="U19" s="85">
        <f t="shared" si="3"/>
        <v>46.2</v>
      </c>
    </row>
    <row r="20" spans="1:21" x14ac:dyDescent="0.35">
      <c r="A20" s="51"/>
      <c r="B20" s="62" t="s">
        <v>203</v>
      </c>
      <c r="C20" s="52">
        <f t="shared" si="4"/>
        <v>1.7779699450558586</v>
      </c>
      <c r="D20" s="53" t="s">
        <v>197</v>
      </c>
      <c r="E20" s="53" t="s">
        <v>233</v>
      </c>
      <c r="F20" s="53" t="s">
        <v>234</v>
      </c>
      <c r="G20" s="53" t="s">
        <v>201</v>
      </c>
      <c r="H20" s="63">
        <v>1056</v>
      </c>
      <c r="I20" s="55">
        <f t="shared" si="1"/>
        <v>1877.5362619789867</v>
      </c>
      <c r="J20" s="55">
        <v>1.8775362619789866</v>
      </c>
      <c r="K20" s="56">
        <v>2.0074918373910156</v>
      </c>
      <c r="L20" s="57">
        <f t="shared" si="5"/>
        <v>2.1199113802849125</v>
      </c>
      <c r="M20" s="58">
        <f t="shared" si="0"/>
        <v>-0.12909211034382601</v>
      </c>
      <c r="N20" s="59" t="s">
        <v>236</v>
      </c>
      <c r="R20" s="30">
        <f>VLOOKUP(B20,'[6]Backup file'!$A:$F,3,FALSE)</f>
        <v>3.3E-3</v>
      </c>
      <c r="S20" s="30">
        <f>VLOOKUP(B20,'[6]Backup file'!$A:$F,6,FALSE)</f>
        <v>2.8000000000000001E-2</v>
      </c>
      <c r="T20" s="85">
        <f t="shared" si="2"/>
        <v>3.4847999999999999</v>
      </c>
      <c r="U20" s="85">
        <f t="shared" si="3"/>
        <v>29.568000000000001</v>
      </c>
    </row>
    <row r="21" spans="1:21" x14ac:dyDescent="0.35">
      <c r="A21" s="51"/>
      <c r="B21" s="62" t="s">
        <v>204</v>
      </c>
      <c r="C21" s="52">
        <f t="shared" si="4"/>
        <v>1.4464450593042473</v>
      </c>
      <c r="D21" s="53" t="s">
        <v>197</v>
      </c>
      <c r="E21" s="53" t="s">
        <v>233</v>
      </c>
      <c r="F21" s="53" t="s">
        <v>234</v>
      </c>
      <c r="G21" s="53" t="s">
        <v>198</v>
      </c>
      <c r="H21" s="63">
        <v>924</v>
      </c>
      <c r="I21" s="55">
        <f t="shared" si="1"/>
        <v>1336.5152347971245</v>
      </c>
      <c r="J21" s="55">
        <v>1.3365152347971245</v>
      </c>
      <c r="K21" s="56">
        <v>0.64251852964783973</v>
      </c>
      <c r="L21" s="57">
        <f t="shared" si="5"/>
        <v>0.59368712139460389</v>
      </c>
      <c r="M21" s="58">
        <f t="shared" si="0"/>
        <v>0.55579472202221303</v>
      </c>
      <c r="N21" s="59" t="s">
        <v>236</v>
      </c>
      <c r="R21" s="30">
        <f>VLOOKUP(B21,'[6]Backup file'!$A:$F,3,FALSE)</f>
        <v>3.3E-3</v>
      </c>
      <c r="S21" s="30">
        <f>VLOOKUP(B21,'[6]Backup file'!$A:$F,6,FALSE)</f>
        <v>1.6934999999999999E-2</v>
      </c>
      <c r="T21" s="85">
        <f t="shared" si="2"/>
        <v>3.0491999999999999</v>
      </c>
      <c r="U21" s="85">
        <f t="shared" si="3"/>
        <v>15.647939999999998</v>
      </c>
    </row>
    <row r="22" spans="1:21" x14ac:dyDescent="0.35">
      <c r="A22" s="51"/>
      <c r="B22" s="53" t="s">
        <v>204</v>
      </c>
      <c r="C22" s="52">
        <f t="shared" si="4"/>
        <v>1.4464450593042473</v>
      </c>
      <c r="D22" s="53" t="s">
        <v>197</v>
      </c>
      <c r="E22" s="53" t="s">
        <v>233</v>
      </c>
      <c r="F22" s="53" t="s">
        <v>234</v>
      </c>
      <c r="G22" s="53" t="s">
        <v>198</v>
      </c>
      <c r="H22" s="63">
        <v>924</v>
      </c>
      <c r="I22" s="55">
        <f t="shared" si="1"/>
        <v>1336.5152347971245</v>
      </c>
      <c r="J22" s="55">
        <v>1.3365152347971245</v>
      </c>
      <c r="K22" s="56">
        <v>0.64251852964783973</v>
      </c>
      <c r="L22" s="57">
        <f t="shared" si="5"/>
        <v>0.59368712139460389</v>
      </c>
      <c r="M22" s="58">
        <f t="shared" si="0"/>
        <v>0.55579472202221303</v>
      </c>
      <c r="N22" s="59"/>
      <c r="R22" s="30">
        <f>VLOOKUP(B22,'[6]Backup file'!$A:$F,3,FALSE)</f>
        <v>3.3E-3</v>
      </c>
      <c r="S22" s="30">
        <f>VLOOKUP(B22,'[6]Backup file'!$A:$F,6,FALSE)</f>
        <v>1.6934999999999999E-2</v>
      </c>
      <c r="T22" s="85">
        <f t="shared" si="2"/>
        <v>3.0491999999999999</v>
      </c>
      <c r="U22" s="85">
        <f t="shared" si="3"/>
        <v>15.647939999999998</v>
      </c>
    </row>
    <row r="23" spans="1:21" x14ac:dyDescent="0.35">
      <c r="A23" s="51"/>
      <c r="B23" s="53" t="s">
        <v>205</v>
      </c>
      <c r="C23" s="52">
        <f t="shared" si="4"/>
        <v>4.7446399539999353</v>
      </c>
      <c r="D23" s="53" t="s">
        <v>197</v>
      </c>
      <c r="E23" s="53" t="s">
        <v>233</v>
      </c>
      <c r="F23" s="53" t="s">
        <v>234</v>
      </c>
      <c r="G23" s="53" t="s">
        <v>201</v>
      </c>
      <c r="H23" s="63">
        <v>1056</v>
      </c>
      <c r="I23" s="55">
        <f t="shared" si="1"/>
        <v>5010.3397914239313</v>
      </c>
      <c r="J23" s="55">
        <v>5.0103397914239318</v>
      </c>
      <c r="K23" s="56">
        <v>3.0257157651706263</v>
      </c>
      <c r="L23" s="57">
        <f t="shared" si="5"/>
        <v>3.1951558480201814</v>
      </c>
      <c r="M23" s="58">
        <f t="shared" si="0"/>
        <v>0.36228759305122449</v>
      </c>
      <c r="N23" s="59"/>
      <c r="R23" s="30">
        <f>VLOOKUP(B23,'[6]Backup file'!$A:$F,3,FALSE)</f>
        <v>5.5999999999999999E-3</v>
      </c>
      <c r="S23" s="30">
        <f>VLOOKUP(B23,'[6]Backup file'!$A:$F,6,FALSE)</f>
        <v>8.8999999999999996E-2</v>
      </c>
      <c r="T23" s="85">
        <f t="shared" si="2"/>
        <v>5.9135999999999997</v>
      </c>
      <c r="U23" s="85">
        <f t="shared" si="3"/>
        <v>93.983999999999995</v>
      </c>
    </row>
    <row r="24" spans="1:21" x14ac:dyDescent="0.35">
      <c r="A24" s="51"/>
      <c r="B24" s="53" t="s">
        <v>206</v>
      </c>
      <c r="C24" s="52">
        <f t="shared" si="4"/>
        <v>2.001000001232919</v>
      </c>
      <c r="D24" s="53" t="s">
        <v>197</v>
      </c>
      <c r="E24" s="53" t="s">
        <v>233</v>
      </c>
      <c r="F24" s="53" t="s">
        <v>234</v>
      </c>
      <c r="G24" s="53" t="s">
        <v>207</v>
      </c>
      <c r="H24" s="63">
        <v>3366</v>
      </c>
      <c r="I24" s="55">
        <f t="shared" si="1"/>
        <v>6735.3660041500052</v>
      </c>
      <c r="J24" s="55">
        <v>6.7353660041500056</v>
      </c>
      <c r="K24" s="56">
        <v>3.159321237603621</v>
      </c>
      <c r="L24" s="57">
        <f t="shared" si="5"/>
        <v>10.634275285773789</v>
      </c>
      <c r="M24" s="58">
        <f t="shared" si="0"/>
        <v>-0.57887118223738177</v>
      </c>
      <c r="N24" s="59"/>
      <c r="R24" s="30">
        <f>VLOOKUP(B24,'[6]Backup file'!$A:$F,3,FALSE)</f>
        <v>2.7899999999999999E-3</v>
      </c>
      <c r="S24" s="30">
        <f>VLOOKUP(B24,'[6]Backup file'!$A:$F,6,FALSE)</f>
        <v>2.9760000000000002E-2</v>
      </c>
      <c r="T24" s="85">
        <f t="shared" si="2"/>
        <v>9.39114</v>
      </c>
      <c r="U24" s="85">
        <f t="shared" si="3"/>
        <v>100.17216000000001</v>
      </c>
    </row>
    <row r="25" spans="1:21" x14ac:dyDescent="0.35">
      <c r="A25" s="51"/>
      <c r="B25" s="53" t="s">
        <v>206</v>
      </c>
      <c r="C25" s="52">
        <f t="shared" si="4"/>
        <v>2.0009999946041312</v>
      </c>
      <c r="D25" s="53" t="s">
        <v>197</v>
      </c>
      <c r="E25" s="53" t="s">
        <v>233</v>
      </c>
      <c r="F25" s="53" t="s">
        <v>234</v>
      </c>
      <c r="G25" s="53" t="s">
        <v>207</v>
      </c>
      <c r="H25" s="63">
        <v>9504</v>
      </c>
      <c r="I25" s="55">
        <f t="shared" si="1"/>
        <v>19017.503948717662</v>
      </c>
      <c r="J25" s="55">
        <v>19.01750394871766</v>
      </c>
      <c r="K25" s="56">
        <v>3.159321237603621</v>
      </c>
      <c r="L25" s="57">
        <f t="shared" si="5"/>
        <v>30.026189042184814</v>
      </c>
      <c r="M25" s="58">
        <f t="shared" si="0"/>
        <v>-0.57887118746776778</v>
      </c>
      <c r="N25" s="59"/>
      <c r="R25" s="30">
        <f>VLOOKUP(B25,'[6]Backup file'!$A:$F,3,FALSE)</f>
        <v>2.7899999999999999E-3</v>
      </c>
      <c r="S25" s="30">
        <f>VLOOKUP(B25,'[6]Backup file'!$A:$F,6,FALSE)</f>
        <v>2.9760000000000002E-2</v>
      </c>
      <c r="T25" s="85">
        <f t="shared" si="2"/>
        <v>26.516159999999999</v>
      </c>
      <c r="U25" s="85">
        <f t="shared" si="3"/>
        <v>282.83904000000001</v>
      </c>
    </row>
    <row r="26" spans="1:21" x14ac:dyDescent="0.35">
      <c r="A26" s="51"/>
      <c r="B26" s="53" t="s">
        <v>206</v>
      </c>
      <c r="C26" s="52">
        <f t="shared" si="4"/>
        <v>1.9843250077642514</v>
      </c>
      <c r="D26" s="53" t="s">
        <v>197</v>
      </c>
      <c r="E26" s="53" t="s">
        <v>233</v>
      </c>
      <c r="F26" s="53" t="s">
        <v>234</v>
      </c>
      <c r="G26" s="53" t="s">
        <v>207</v>
      </c>
      <c r="H26" s="63">
        <v>9702</v>
      </c>
      <c r="I26" s="55">
        <f t="shared" si="1"/>
        <v>19251.921225328766</v>
      </c>
      <c r="J26" s="55">
        <v>19.251921225328768</v>
      </c>
      <c r="K26" s="56">
        <v>3.159321237603621</v>
      </c>
      <c r="L26" s="57">
        <f t="shared" si="5"/>
        <v>30.651734647230331</v>
      </c>
      <c r="M26" s="58">
        <f t="shared" si="0"/>
        <v>-0.59213900204948955</v>
      </c>
      <c r="N26" s="59"/>
      <c r="R26" s="30">
        <f>VLOOKUP(B26,'[6]Backup file'!$A:$F,3,FALSE)</f>
        <v>2.7899999999999999E-3</v>
      </c>
      <c r="S26" s="30">
        <f>VLOOKUP(B26,'[6]Backup file'!$A:$F,6,FALSE)</f>
        <v>2.9760000000000002E-2</v>
      </c>
      <c r="T26" s="85">
        <f t="shared" si="2"/>
        <v>27.068580000000001</v>
      </c>
      <c r="U26" s="85">
        <f t="shared" si="3"/>
        <v>288.73151999999999</v>
      </c>
    </row>
    <row r="27" spans="1:21" x14ac:dyDescent="0.35">
      <c r="A27" s="51"/>
      <c r="B27" s="53" t="s">
        <v>206</v>
      </c>
      <c r="C27" s="52">
        <f t="shared" si="4"/>
        <v>1.9843249811889738</v>
      </c>
      <c r="D27" s="53" t="s">
        <v>197</v>
      </c>
      <c r="E27" s="53" t="s">
        <v>233</v>
      </c>
      <c r="F27" s="53" t="s">
        <v>234</v>
      </c>
      <c r="G27" s="53" t="s">
        <v>207</v>
      </c>
      <c r="H27" s="63">
        <v>1188</v>
      </c>
      <c r="I27" s="55">
        <f t="shared" si="1"/>
        <v>2357.3780776525009</v>
      </c>
      <c r="J27" s="55">
        <v>2.3573780776525011</v>
      </c>
      <c r="K27" s="56">
        <v>3.159321237603621</v>
      </c>
      <c r="L27" s="57">
        <f t="shared" si="5"/>
        <v>3.7532736302731018</v>
      </c>
      <c r="M27" s="58">
        <f t="shared" si="0"/>
        <v>-0.59213902337237578</v>
      </c>
      <c r="N27" s="59" t="s">
        <v>236</v>
      </c>
      <c r="R27" s="30">
        <f>VLOOKUP(B27,'[6]Backup file'!$A:$F,3,FALSE)</f>
        <v>2.7899999999999999E-3</v>
      </c>
      <c r="S27" s="30">
        <f>VLOOKUP(B27,'[6]Backup file'!$A:$F,6,FALSE)</f>
        <v>2.9760000000000002E-2</v>
      </c>
      <c r="T27" s="85">
        <f t="shared" si="2"/>
        <v>3.3145199999999999</v>
      </c>
      <c r="U27" s="85">
        <f t="shared" si="3"/>
        <v>35.354880000000001</v>
      </c>
    </row>
    <row r="28" spans="1:21" x14ac:dyDescent="0.35">
      <c r="A28" s="51"/>
      <c r="B28" s="53" t="s">
        <v>206</v>
      </c>
      <c r="C28" s="52">
        <f t="shared" si="4"/>
        <v>1.8719999910954341</v>
      </c>
      <c r="D28" s="53" t="s">
        <v>197</v>
      </c>
      <c r="E28" s="53" t="s">
        <v>233</v>
      </c>
      <c r="F28" s="53" t="s">
        <v>234</v>
      </c>
      <c r="G28" s="53" t="s">
        <v>63</v>
      </c>
      <c r="H28" s="63">
        <v>4950</v>
      </c>
      <c r="I28" s="55">
        <f t="shared" si="1"/>
        <v>9266.3999559223994</v>
      </c>
      <c r="J28" s="55">
        <v>9.2663999559223988</v>
      </c>
      <c r="K28" s="56">
        <v>3.159321237603621</v>
      </c>
      <c r="L28" s="57">
        <f t="shared" si="5"/>
        <v>15.638640126137924</v>
      </c>
      <c r="M28" s="58">
        <f t="shared" si="0"/>
        <v>-0.68767160931175431</v>
      </c>
      <c r="N28" s="59" t="s">
        <v>236</v>
      </c>
      <c r="R28" s="30">
        <f>VLOOKUP(B28,'[6]Backup file'!$A:$F,3,FALSE)</f>
        <v>2.7899999999999999E-3</v>
      </c>
      <c r="S28" s="30">
        <f>VLOOKUP(B28,'[6]Backup file'!$A:$F,6,FALSE)</f>
        <v>2.9760000000000002E-2</v>
      </c>
      <c r="T28" s="85">
        <f t="shared" si="2"/>
        <v>13.810499999999999</v>
      </c>
      <c r="U28" s="85">
        <f t="shared" si="3"/>
        <v>147.31200000000001</v>
      </c>
    </row>
    <row r="29" spans="1:21" x14ac:dyDescent="0.35">
      <c r="A29" s="51"/>
      <c r="B29" s="53" t="s">
        <v>206</v>
      </c>
      <c r="C29" s="52">
        <f t="shared" si="4"/>
        <v>2.0010000004472852</v>
      </c>
      <c r="D29" s="53" t="s">
        <v>197</v>
      </c>
      <c r="E29" s="53" t="s">
        <v>233</v>
      </c>
      <c r="F29" s="53" t="s">
        <v>234</v>
      </c>
      <c r="G29" s="53" t="s">
        <v>207</v>
      </c>
      <c r="H29" s="63">
        <v>8910</v>
      </c>
      <c r="I29" s="55">
        <f t="shared" si="1"/>
        <v>17828.910003985311</v>
      </c>
      <c r="J29" s="55">
        <v>17.82891000398531</v>
      </c>
      <c r="K29" s="56">
        <v>3.159321237603621</v>
      </c>
      <c r="L29" s="57">
        <f t="shared" si="5"/>
        <v>28.149552227048265</v>
      </c>
      <c r="M29" s="58">
        <f t="shared" si="0"/>
        <v>-0.57887118285727912</v>
      </c>
      <c r="N29" s="59"/>
      <c r="R29" s="30">
        <f>VLOOKUP(B29,'[6]Backup file'!$A:$F,3,FALSE)</f>
        <v>2.7899999999999999E-3</v>
      </c>
      <c r="S29" s="30">
        <f>VLOOKUP(B29,'[6]Backup file'!$A:$F,6,FALSE)</f>
        <v>2.9760000000000002E-2</v>
      </c>
      <c r="T29" s="85">
        <f t="shared" si="2"/>
        <v>24.858899999999998</v>
      </c>
      <c r="U29" s="85">
        <f t="shared" si="3"/>
        <v>265.16160000000002</v>
      </c>
    </row>
    <row r="30" spans="1:21" x14ac:dyDescent="0.35">
      <c r="A30" s="51"/>
      <c r="B30" s="53" t="s">
        <v>206</v>
      </c>
      <c r="C30" s="52">
        <f t="shared" si="4"/>
        <v>1.9843250046326315</v>
      </c>
      <c r="D30" s="53" t="s">
        <v>197</v>
      </c>
      <c r="E30" s="53" t="s">
        <v>233</v>
      </c>
      <c r="F30" s="53" t="s">
        <v>234</v>
      </c>
      <c r="G30" s="53" t="s">
        <v>207</v>
      </c>
      <c r="H30" s="63">
        <v>9306</v>
      </c>
      <c r="I30" s="55">
        <f t="shared" si="1"/>
        <v>18466.128493111268</v>
      </c>
      <c r="J30" s="55">
        <v>18.466128493111267</v>
      </c>
      <c r="K30" s="56">
        <v>3.159321237603621</v>
      </c>
      <c r="L30" s="57">
        <f t="shared" si="5"/>
        <v>29.400643437139298</v>
      </c>
      <c r="M30" s="58">
        <f t="shared" si="0"/>
        <v>-0.59213900456217006</v>
      </c>
      <c r="N30" s="59"/>
      <c r="R30" s="30">
        <f>VLOOKUP(B30,'[6]Backup file'!$A:$F,3,FALSE)</f>
        <v>2.7899999999999999E-3</v>
      </c>
      <c r="S30" s="30">
        <f>VLOOKUP(B30,'[6]Backup file'!$A:$F,6,FALSE)</f>
        <v>2.9760000000000002E-2</v>
      </c>
      <c r="T30" s="85">
        <f t="shared" si="2"/>
        <v>25.963739999999998</v>
      </c>
      <c r="U30" s="85">
        <f t="shared" si="3"/>
        <v>276.94656000000003</v>
      </c>
    </row>
    <row r="31" spans="1:21" x14ac:dyDescent="0.35">
      <c r="A31" s="51"/>
      <c r="B31" s="53" t="s">
        <v>206</v>
      </c>
      <c r="C31" s="52">
        <f t="shared" si="4"/>
        <v>1.9843249974954504</v>
      </c>
      <c r="D31" s="53" t="s">
        <v>197</v>
      </c>
      <c r="E31" s="53" t="s">
        <v>233</v>
      </c>
      <c r="F31" s="53" t="s">
        <v>234</v>
      </c>
      <c r="G31" s="53" t="s">
        <v>207</v>
      </c>
      <c r="H31" s="63">
        <v>8514</v>
      </c>
      <c r="I31" s="55">
        <f t="shared" si="1"/>
        <v>16894.543028676264</v>
      </c>
      <c r="J31" s="55">
        <v>16.894543028676264</v>
      </c>
      <c r="K31" s="56">
        <v>3.159321237603621</v>
      </c>
      <c r="L31" s="57">
        <f t="shared" si="5"/>
        <v>26.898461016957231</v>
      </c>
      <c r="M31" s="58">
        <f t="shared" si="0"/>
        <v>-0.59213901028874427</v>
      </c>
      <c r="N31" s="59"/>
      <c r="R31" s="30">
        <f>VLOOKUP(B31,'[6]Backup file'!$A:$F,3,FALSE)</f>
        <v>2.7899999999999999E-3</v>
      </c>
      <c r="S31" s="30">
        <f>VLOOKUP(B31,'[6]Backup file'!$A:$F,6,FALSE)</f>
        <v>2.9760000000000002E-2</v>
      </c>
      <c r="T31" s="85">
        <f t="shared" si="2"/>
        <v>23.754059999999999</v>
      </c>
      <c r="U31" s="85">
        <f t="shared" si="3"/>
        <v>253.37664000000001</v>
      </c>
    </row>
    <row r="32" spans="1:21" x14ac:dyDescent="0.35">
      <c r="A32" s="51"/>
      <c r="B32" s="53" t="s">
        <v>211</v>
      </c>
      <c r="C32" s="52">
        <f t="shared" si="4"/>
        <v>1.5111111111111111</v>
      </c>
      <c r="D32" s="53" t="s">
        <v>197</v>
      </c>
      <c r="E32" s="53" t="s">
        <v>238</v>
      </c>
      <c r="F32" s="53" t="s">
        <v>245</v>
      </c>
      <c r="G32" s="53" t="s">
        <v>51</v>
      </c>
      <c r="H32" s="63">
        <v>90000</v>
      </c>
      <c r="I32" s="55">
        <f t="shared" si="1"/>
        <v>136000</v>
      </c>
      <c r="J32" s="55">
        <v>136</v>
      </c>
      <c r="K32" s="56">
        <v>1.9989734388026412</v>
      </c>
      <c r="L32" s="57">
        <f t="shared" si="5"/>
        <v>179.9076094922377</v>
      </c>
      <c r="M32" s="58">
        <f t="shared" si="0"/>
        <v>-0.32285006979586539</v>
      </c>
      <c r="N32" s="59"/>
      <c r="R32" s="30">
        <f>VLOOKUP(B32,'[6]Backup file'!$A:$F,3,FALSE)</f>
        <v>4.1666999999999997E-3</v>
      </c>
      <c r="S32" s="30">
        <f>VLOOKUP(B32,'[6]Backup file'!$A:$F,6,FALSE)</f>
        <v>3.77778E-2</v>
      </c>
      <c r="T32" s="85">
        <f t="shared" si="2"/>
        <v>375.00299999999999</v>
      </c>
      <c r="U32" s="85">
        <f t="shared" si="3"/>
        <v>3400.002</v>
      </c>
    </row>
    <row r="33" spans="1:21" x14ac:dyDescent="0.35">
      <c r="A33" s="51"/>
      <c r="B33" s="53" t="s">
        <v>220</v>
      </c>
      <c r="C33" s="52">
        <f t="shared" si="4"/>
        <v>2.0672700004777669</v>
      </c>
      <c r="D33" s="53" t="s">
        <v>197</v>
      </c>
      <c r="E33" s="53" t="s">
        <v>233</v>
      </c>
      <c r="F33" s="53" t="s">
        <v>246</v>
      </c>
      <c r="G33" s="53" t="s">
        <v>201</v>
      </c>
      <c r="H33" s="63">
        <v>1056</v>
      </c>
      <c r="I33" s="55">
        <f t="shared" si="1"/>
        <v>2183.0371205045217</v>
      </c>
      <c r="J33" s="55">
        <v>2.183037120504522</v>
      </c>
      <c r="K33" s="56">
        <v>1.6016200401922516</v>
      </c>
      <c r="L33" s="57">
        <f t="shared" si="5"/>
        <v>1.6913107624430177</v>
      </c>
      <c r="M33" s="58">
        <f t="shared" si="0"/>
        <v>0.22524873876073229</v>
      </c>
      <c r="N33" s="59"/>
      <c r="R33" s="30">
        <f>VLOOKUP(B33,'[6]Backup file'!$A:$F,3,FALSE)</f>
        <v>3.0000000000000001E-3</v>
      </c>
      <c r="S33" s="30">
        <f>VLOOKUP(B33,'[6]Backup file'!$A:$F,6,FALSE)</f>
        <v>2.8728E-2</v>
      </c>
      <c r="T33" s="85">
        <f t="shared" si="2"/>
        <v>3.1680000000000001</v>
      </c>
      <c r="U33" s="85">
        <f t="shared" si="3"/>
        <v>30.336767999999999</v>
      </c>
    </row>
    <row r="34" spans="1:21" x14ac:dyDescent="0.35">
      <c r="A34" s="51"/>
      <c r="B34" s="53" t="s">
        <v>219</v>
      </c>
      <c r="C34" s="52">
        <f t="shared" si="4"/>
        <v>1.771910072648313</v>
      </c>
      <c r="D34" s="53" t="s">
        <v>197</v>
      </c>
      <c r="E34" s="53" t="s">
        <v>233</v>
      </c>
      <c r="F34" s="53" t="s">
        <v>246</v>
      </c>
      <c r="G34" s="53" t="s">
        <v>63</v>
      </c>
      <c r="H34" s="63">
        <v>264</v>
      </c>
      <c r="I34" s="55">
        <f t="shared" si="1"/>
        <v>467.78425917915462</v>
      </c>
      <c r="J34" s="55">
        <v>0.46778425917915462</v>
      </c>
      <c r="K34" s="56">
        <v>1.0555660856614397</v>
      </c>
      <c r="L34" s="57">
        <f t="shared" si="5"/>
        <v>0.27866944661462006</v>
      </c>
      <c r="M34" s="58">
        <f t="shared" si="0"/>
        <v>0.40427784572397574</v>
      </c>
      <c r="N34" s="59"/>
      <c r="R34" s="30">
        <f>VLOOKUP(B34,'[6]Backup file'!$A:$F,3,FALSE)</f>
        <v>3.0000000000000001E-3</v>
      </c>
      <c r="S34" s="30">
        <f>VLOOKUP(B34,'[6]Backup file'!$A:$F,6,FALSE)</f>
        <v>8.2510399999999994E-3</v>
      </c>
      <c r="T34" s="85">
        <f t="shared" si="2"/>
        <v>0.79200000000000004</v>
      </c>
      <c r="U34" s="85">
        <f t="shared" si="3"/>
        <v>2.1782745599999997</v>
      </c>
    </row>
    <row r="35" spans="1:21" x14ac:dyDescent="0.35">
      <c r="A35" s="51"/>
      <c r="B35" s="53" t="s">
        <v>218</v>
      </c>
      <c r="C35" s="52">
        <f t="shared" si="4"/>
        <v>2.1185768075055886</v>
      </c>
      <c r="D35" s="53" t="s">
        <v>197</v>
      </c>
      <c r="E35" s="53" t="s">
        <v>233</v>
      </c>
      <c r="F35" s="53" t="s">
        <v>246</v>
      </c>
      <c r="G35" s="53" t="s">
        <v>63</v>
      </c>
      <c r="H35" s="63">
        <v>1056</v>
      </c>
      <c r="I35" s="55">
        <f t="shared" si="1"/>
        <v>2237.2171087259017</v>
      </c>
      <c r="J35" s="55">
        <v>2.2372171087259014</v>
      </c>
      <c r="K35" s="56">
        <v>2.2413829810060522</v>
      </c>
      <c r="L35" s="57">
        <f t="shared" si="5"/>
        <v>2.3669004279423911</v>
      </c>
      <c r="M35" s="58">
        <f t="shared" si="0"/>
        <v>-5.7966354141795622E-2</v>
      </c>
      <c r="N35" s="59"/>
      <c r="R35" s="30">
        <f>VLOOKUP(B35,'[6]Backup file'!$A:$F,3,FALSE)</f>
        <v>6.1000000000000004E-3</v>
      </c>
      <c r="S35" s="30">
        <f>VLOOKUP(B35,'[6]Backup file'!$A:$F,6,FALSE)</f>
        <v>1.43181E-2</v>
      </c>
      <c r="T35" s="85">
        <f t="shared" si="2"/>
        <v>6.4416000000000002</v>
      </c>
      <c r="U35" s="85">
        <f t="shared" si="3"/>
        <v>15.1199136</v>
      </c>
    </row>
    <row r="36" spans="1:21" x14ac:dyDescent="0.35">
      <c r="A36" s="51"/>
      <c r="B36" s="53" t="s">
        <v>219</v>
      </c>
      <c r="C36" s="52">
        <f t="shared" si="4"/>
        <v>1.771910072648313</v>
      </c>
      <c r="D36" s="53" t="s">
        <v>197</v>
      </c>
      <c r="E36" s="53" t="s">
        <v>233</v>
      </c>
      <c r="F36" s="53" t="s">
        <v>246</v>
      </c>
      <c r="G36" s="53" t="s">
        <v>63</v>
      </c>
      <c r="H36" s="63">
        <v>264</v>
      </c>
      <c r="I36" s="55">
        <f t="shared" si="1"/>
        <v>467.78425917915462</v>
      </c>
      <c r="J36" s="55">
        <v>0.46778425917915462</v>
      </c>
      <c r="K36" s="56">
        <v>1.0555660856614397</v>
      </c>
      <c r="L36" s="57">
        <f t="shared" si="5"/>
        <v>0.27866944661462006</v>
      </c>
      <c r="M36" s="58">
        <f t="shared" si="0"/>
        <v>0.40427784572397574</v>
      </c>
      <c r="N36" s="59"/>
      <c r="R36" s="30">
        <f>VLOOKUP(B36,'[6]Backup file'!$A:$F,3,FALSE)</f>
        <v>3.0000000000000001E-3</v>
      </c>
      <c r="S36" s="30">
        <f>VLOOKUP(B36,'[6]Backup file'!$A:$F,6,FALSE)</f>
        <v>8.2510399999999994E-3</v>
      </c>
      <c r="T36" s="85">
        <f t="shared" si="2"/>
        <v>0.79200000000000004</v>
      </c>
      <c r="U36" s="85">
        <f t="shared" si="3"/>
        <v>2.1782745599999997</v>
      </c>
    </row>
    <row r="37" spans="1:21" x14ac:dyDescent="0.35">
      <c r="A37" s="51"/>
      <c r="B37" s="53" t="s">
        <v>247</v>
      </c>
      <c r="C37" s="52">
        <f t="shared" si="4"/>
        <v>2.6101199630755243</v>
      </c>
      <c r="D37" s="53" t="s">
        <v>197</v>
      </c>
      <c r="E37" s="53" t="s">
        <v>233</v>
      </c>
      <c r="F37" s="53" t="s">
        <v>246</v>
      </c>
      <c r="G37" s="53" t="s">
        <v>201</v>
      </c>
      <c r="H37" s="63">
        <v>792</v>
      </c>
      <c r="I37" s="55">
        <f t="shared" si="1"/>
        <v>2067.2150107558155</v>
      </c>
      <c r="J37" s="55">
        <v>2.0672150107558154</v>
      </c>
      <c r="K37" s="56">
        <v>1.3973220847682255</v>
      </c>
      <c r="L37" s="57">
        <f t="shared" si="5"/>
        <v>1.1066790911364346</v>
      </c>
      <c r="M37" s="58">
        <f t="shared" si="0"/>
        <v>0.46465215984871816</v>
      </c>
      <c r="N37" s="59"/>
      <c r="R37" s="30">
        <f>VLOOKUP(B37,'[6]Backup file'!$A:$F,3,FALSE)</f>
        <v>3.0000000000000001E-3</v>
      </c>
      <c r="S37" s="30">
        <f>VLOOKUP(B37,'[6]Backup file'!$A:$F,6,FALSE)</f>
        <v>8.6999999999999994E-3</v>
      </c>
      <c r="T37" s="85">
        <f t="shared" si="2"/>
        <v>2.3759999999999999</v>
      </c>
      <c r="U37" s="85">
        <f t="shared" si="3"/>
        <v>6.8903999999999996</v>
      </c>
    </row>
    <row r="38" spans="1:21" x14ac:dyDescent="0.35">
      <c r="A38" s="51"/>
      <c r="B38" s="53" t="s">
        <v>220</v>
      </c>
      <c r="C38" s="52">
        <f t="shared" si="4"/>
        <v>2.0672700004777669</v>
      </c>
      <c r="D38" s="53" t="s">
        <v>197</v>
      </c>
      <c r="E38" s="53" t="s">
        <v>233</v>
      </c>
      <c r="F38" s="53" t="s">
        <v>246</v>
      </c>
      <c r="G38" s="53" t="s">
        <v>201</v>
      </c>
      <c r="H38" s="63">
        <v>1056</v>
      </c>
      <c r="I38" s="55">
        <f t="shared" si="1"/>
        <v>2183.0371205045217</v>
      </c>
      <c r="J38" s="55">
        <v>2.183037120504522</v>
      </c>
      <c r="K38" s="56">
        <v>1.6016200401922516</v>
      </c>
      <c r="L38" s="57">
        <f t="shared" si="5"/>
        <v>1.6913107624430177</v>
      </c>
      <c r="M38" s="58">
        <f t="shared" si="0"/>
        <v>0.22524873876073229</v>
      </c>
      <c r="N38" s="59"/>
      <c r="R38" s="30">
        <f>VLOOKUP(B38,'[6]Backup file'!$A:$F,3,FALSE)</f>
        <v>3.0000000000000001E-3</v>
      </c>
      <c r="S38" s="30">
        <f>VLOOKUP(B38,'[6]Backup file'!$A:$F,6,FALSE)</f>
        <v>2.8728E-2</v>
      </c>
      <c r="T38" s="85">
        <f t="shared" si="2"/>
        <v>3.1680000000000001</v>
      </c>
      <c r="U38" s="85">
        <f t="shared" si="3"/>
        <v>30.336767999999999</v>
      </c>
    </row>
    <row r="39" spans="1:21" x14ac:dyDescent="0.35">
      <c r="A39" s="51"/>
      <c r="B39" s="53" t="s">
        <v>248</v>
      </c>
      <c r="C39" s="52">
        <f t="shared" si="4"/>
        <v>2.7951999294180121</v>
      </c>
      <c r="D39" s="53" t="s">
        <v>197</v>
      </c>
      <c r="E39" s="53" t="s">
        <v>233</v>
      </c>
      <c r="F39" s="53" t="s">
        <v>249</v>
      </c>
      <c r="G39" s="53" t="s">
        <v>63</v>
      </c>
      <c r="H39" s="63">
        <v>648</v>
      </c>
      <c r="I39" s="55">
        <f t="shared" si="1"/>
        <v>1811.2895542628719</v>
      </c>
      <c r="J39" s="55">
        <v>1.8112895542628717</v>
      </c>
      <c r="K39" s="56">
        <v>1.8813353846098009</v>
      </c>
      <c r="L39" s="57">
        <f t="shared" si="5"/>
        <v>1.219105329227151</v>
      </c>
      <c r="M39" s="58">
        <f t="shared" si="0"/>
        <v>0.32694067254018805</v>
      </c>
      <c r="N39" s="59"/>
      <c r="R39" s="30">
        <f>VLOOKUP(B39,'[6]Backup file'!$A:$F,3,FALSE)</f>
        <v>6.7000000000000002E-3</v>
      </c>
      <c r="S39" s="30">
        <f>VLOOKUP(B39,'[6]Backup file'!$A:$F,6,FALSE)</f>
        <v>3.0244440000000001E-2</v>
      </c>
      <c r="T39" s="85">
        <f t="shared" si="2"/>
        <v>4.3416000000000006</v>
      </c>
      <c r="U39" s="85">
        <f t="shared" si="3"/>
        <v>19.598397120000001</v>
      </c>
    </row>
    <row r="40" spans="1:21" x14ac:dyDescent="0.35">
      <c r="A40" s="51"/>
      <c r="B40" s="53" t="s">
        <v>208</v>
      </c>
      <c r="C40" s="52">
        <f t="shared" si="4"/>
        <v>1.4938899952772675</v>
      </c>
      <c r="D40" s="53" t="s">
        <v>197</v>
      </c>
      <c r="E40" s="53" t="s">
        <v>233</v>
      </c>
      <c r="F40" s="53" t="s">
        <v>249</v>
      </c>
      <c r="G40" s="53" t="s">
        <v>201</v>
      </c>
      <c r="H40" s="63">
        <v>2016</v>
      </c>
      <c r="I40" s="55">
        <f t="shared" si="1"/>
        <v>3011.6822304789712</v>
      </c>
      <c r="J40" s="55">
        <v>3.0116822304789714</v>
      </c>
      <c r="K40" s="56">
        <v>0.84788465290733084</v>
      </c>
      <c r="L40" s="57">
        <f t="shared" si="5"/>
        <v>1.709335460261179</v>
      </c>
      <c r="M40" s="58">
        <f t="shared" si="0"/>
        <v>0.43243166793552124</v>
      </c>
      <c r="N40" s="59"/>
      <c r="R40" s="30">
        <f>VLOOKUP(B40,'[6]Backup file'!$A:$F,3,FALSE)</f>
        <v>0.01</v>
      </c>
      <c r="S40" s="30">
        <f>VLOOKUP(B40,'[6]Backup file'!$A:$F,6,FALSE)</f>
        <v>2.895E-2</v>
      </c>
      <c r="T40" s="85">
        <f t="shared" si="2"/>
        <v>20.16</v>
      </c>
      <c r="U40" s="85">
        <f t="shared" si="3"/>
        <v>58.363199999999999</v>
      </c>
    </row>
    <row r="41" spans="1:21" x14ac:dyDescent="0.35">
      <c r="A41" s="51"/>
      <c r="B41" s="53" t="s">
        <v>212</v>
      </c>
      <c r="C41" s="52">
        <f t="shared" si="4"/>
        <v>1.9033000515201506</v>
      </c>
      <c r="D41" s="53" t="s">
        <v>197</v>
      </c>
      <c r="E41" s="53" t="s">
        <v>238</v>
      </c>
      <c r="F41" s="53" t="s">
        <v>245</v>
      </c>
      <c r="G41" s="53" t="s">
        <v>207</v>
      </c>
      <c r="H41" s="63">
        <v>1056</v>
      </c>
      <c r="I41" s="55">
        <f t="shared" si="1"/>
        <v>2009.8848544052789</v>
      </c>
      <c r="J41" s="55">
        <v>2.009884854405279</v>
      </c>
      <c r="K41" s="56">
        <v>1.0059906732199178</v>
      </c>
      <c r="L41" s="57">
        <f t="shared" si="5"/>
        <v>1.0623261509202333</v>
      </c>
      <c r="M41" s="58">
        <f t="shared" si="0"/>
        <v>0.47144924815378364</v>
      </c>
      <c r="N41" s="59"/>
      <c r="R41" s="30">
        <f>VLOOKUP(B41,'[6]Backup file'!$A:$F,3,FALSE)</f>
        <v>5.0000000000000001E-3</v>
      </c>
      <c r="S41" s="30">
        <f>VLOOKUP(B41,'[6]Backup file'!$A:$F,6,FALSE)</f>
        <v>2.5000000000000001E-2</v>
      </c>
      <c r="T41" s="85">
        <f t="shared" si="2"/>
        <v>5.28</v>
      </c>
      <c r="U41" s="85">
        <f t="shared" si="3"/>
        <v>26.400000000000002</v>
      </c>
    </row>
    <row r="42" spans="1:21" x14ac:dyDescent="0.35">
      <c r="A42" s="51"/>
      <c r="B42" s="53" t="s">
        <v>250</v>
      </c>
      <c r="C42" s="52">
        <f t="shared" si="4"/>
        <v>2.548800083193985</v>
      </c>
      <c r="D42" s="53" t="s">
        <v>197</v>
      </c>
      <c r="E42" s="53" t="s">
        <v>238</v>
      </c>
      <c r="F42" s="53" t="s">
        <v>245</v>
      </c>
      <c r="G42" s="53" t="s">
        <v>63</v>
      </c>
      <c r="H42" s="63">
        <v>704</v>
      </c>
      <c r="I42" s="55">
        <f t="shared" si="1"/>
        <v>1794.3552585685654</v>
      </c>
      <c r="J42" s="55">
        <v>1.7943552585685656</v>
      </c>
      <c r="K42" s="56">
        <v>2.8054766103431712</v>
      </c>
      <c r="L42" s="57">
        <f t="shared" si="5"/>
        <v>1.9750555336815925</v>
      </c>
      <c r="M42" s="58">
        <f t="shared" si="0"/>
        <v>-0.10070484885873675</v>
      </c>
      <c r="N42" s="59"/>
      <c r="R42" s="30">
        <f>VLOOKUP(B42,'[6]Backup file'!$A:$F,3,FALSE)</f>
        <v>1.2E-2</v>
      </c>
      <c r="S42" s="30">
        <f>VLOOKUP(B42,'[6]Backup file'!$A:$F,6,FALSE)</f>
        <v>2.8000000000000001E-2</v>
      </c>
      <c r="T42" s="85">
        <f t="shared" si="2"/>
        <v>8.4480000000000004</v>
      </c>
      <c r="U42" s="85">
        <f t="shared" si="3"/>
        <v>19.712</v>
      </c>
    </row>
    <row r="43" spans="1:21" x14ac:dyDescent="0.35">
      <c r="A43" s="51"/>
      <c r="B43" s="53" t="s">
        <v>250</v>
      </c>
      <c r="C43" s="52">
        <f t="shared" si="4"/>
        <v>2.548800083193985</v>
      </c>
      <c r="D43" s="53" t="s">
        <v>197</v>
      </c>
      <c r="E43" s="53" t="s">
        <v>238</v>
      </c>
      <c r="F43" s="53" t="s">
        <v>245</v>
      </c>
      <c r="G43" s="53" t="s">
        <v>63</v>
      </c>
      <c r="H43" s="63">
        <v>704</v>
      </c>
      <c r="I43" s="55">
        <f t="shared" si="1"/>
        <v>1794.3552585685654</v>
      </c>
      <c r="J43" s="55">
        <v>1.7943552585685656</v>
      </c>
      <c r="K43" s="56">
        <v>2.8054766103431712</v>
      </c>
      <c r="L43" s="57">
        <f t="shared" si="5"/>
        <v>1.9750555336815925</v>
      </c>
      <c r="M43" s="58">
        <f t="shared" si="0"/>
        <v>-0.10070484885873675</v>
      </c>
      <c r="N43" s="59"/>
      <c r="R43" s="30">
        <f>VLOOKUP(B43,'[6]Backup file'!$A:$F,3,FALSE)</f>
        <v>1.2E-2</v>
      </c>
      <c r="S43" s="30">
        <f>VLOOKUP(B43,'[6]Backup file'!$A:$F,6,FALSE)</f>
        <v>2.8000000000000001E-2</v>
      </c>
      <c r="T43" s="85">
        <f t="shared" si="2"/>
        <v>8.4480000000000004</v>
      </c>
      <c r="U43" s="85">
        <f t="shared" si="3"/>
        <v>19.712</v>
      </c>
    </row>
    <row r="44" spans="1:21" x14ac:dyDescent="0.35">
      <c r="A44" s="51"/>
      <c r="B44" s="62" t="s">
        <v>251</v>
      </c>
      <c r="C44" s="52">
        <f t="shared" si="4"/>
        <v>3.1905399826639913</v>
      </c>
      <c r="D44" s="53" t="s">
        <v>197</v>
      </c>
      <c r="E44" s="53" t="s">
        <v>233</v>
      </c>
      <c r="F44" s="53" t="s">
        <v>249</v>
      </c>
      <c r="G44" s="53" t="s">
        <v>63</v>
      </c>
      <c r="H44" s="63">
        <v>864</v>
      </c>
      <c r="I44" s="55">
        <f t="shared" si="1"/>
        <v>2756.6265450216883</v>
      </c>
      <c r="J44" s="55">
        <v>2.7566265450216885</v>
      </c>
      <c r="K44" s="56">
        <v>1.4898735416757651</v>
      </c>
      <c r="L44" s="57">
        <f t="shared" si="5"/>
        <v>1.2872507400078612</v>
      </c>
      <c r="M44" s="58">
        <f t="shared" si="0"/>
        <v>0.53303404759975082</v>
      </c>
      <c r="N44" s="59" t="s">
        <v>236</v>
      </c>
      <c r="R44" s="30">
        <v>1.2E-2</v>
      </c>
      <c r="S44" s="30">
        <f>VLOOKUP(B44,'[6]Backup file'!$A:$F,6,FALSE)</f>
        <v>3.6545399999999999E-2</v>
      </c>
      <c r="T44" s="85">
        <f t="shared" si="2"/>
        <v>10.368</v>
      </c>
      <c r="U44" s="85">
        <f t="shared" si="3"/>
        <v>31.5752256</v>
      </c>
    </row>
    <row r="45" spans="1:21" x14ac:dyDescent="0.35">
      <c r="A45" s="51"/>
      <c r="B45" s="53" t="s">
        <v>209</v>
      </c>
      <c r="C45" s="52">
        <f t="shared" si="4"/>
        <v>3.4977299559069279</v>
      </c>
      <c r="D45" s="53" t="s">
        <v>197</v>
      </c>
      <c r="E45" s="53" t="s">
        <v>238</v>
      </c>
      <c r="F45" s="53" t="s">
        <v>245</v>
      </c>
      <c r="G45" s="53" t="s">
        <v>201</v>
      </c>
      <c r="H45" s="63">
        <v>288</v>
      </c>
      <c r="I45" s="55">
        <f t="shared" si="1"/>
        <v>1007.3462273011952</v>
      </c>
      <c r="J45" s="55">
        <v>1.0073462273011953</v>
      </c>
      <c r="K45" s="56">
        <v>3.33368170612211</v>
      </c>
      <c r="L45" s="57">
        <f t="shared" si="5"/>
        <v>0.96010033136316775</v>
      </c>
      <c r="M45" s="58">
        <f t="shared" si="0"/>
        <v>4.6901347975070208E-2</v>
      </c>
      <c r="N45" s="59"/>
      <c r="R45" s="30">
        <f>VLOOKUP(B45,'[6]Backup file'!$A:$F,3,FALSE)</f>
        <v>0.03</v>
      </c>
      <c r="S45" s="30">
        <f>VLOOKUP(B45,'[6]Backup file'!$A:$F,6,FALSE)</f>
        <v>2.9000000000000001E-2</v>
      </c>
      <c r="T45" s="85">
        <f t="shared" si="2"/>
        <v>8.64</v>
      </c>
      <c r="U45" s="85">
        <f t="shared" si="3"/>
        <v>8.3520000000000003</v>
      </c>
    </row>
    <row r="46" spans="1:21" x14ac:dyDescent="0.35">
      <c r="A46" s="51"/>
      <c r="B46" s="53" t="s">
        <v>210</v>
      </c>
      <c r="C46" s="52">
        <f t="shared" si="4"/>
        <v>3.4874399971517063</v>
      </c>
      <c r="D46" s="53" t="s">
        <v>197</v>
      </c>
      <c r="E46" s="53" t="s">
        <v>238</v>
      </c>
      <c r="F46" s="53" t="s">
        <v>245</v>
      </c>
      <c r="G46" s="53" t="s">
        <v>201</v>
      </c>
      <c r="H46" s="63">
        <v>2016</v>
      </c>
      <c r="I46" s="55">
        <f t="shared" si="1"/>
        <v>7030.6790342578397</v>
      </c>
      <c r="J46" s="55">
        <v>7.0306790342578402</v>
      </c>
      <c r="K46" s="56">
        <v>3.095833210126282</v>
      </c>
      <c r="L46" s="57">
        <f t="shared" si="5"/>
        <v>6.2411997516145847</v>
      </c>
      <c r="M46" s="58">
        <f t="shared" si="0"/>
        <v>0.11229061642501692</v>
      </c>
      <c r="N46" s="59"/>
      <c r="R46" s="30">
        <f>VLOOKUP(B46,'[6]Backup file'!$A:$F,3,FALSE)</f>
        <v>0.03</v>
      </c>
      <c r="S46" s="30">
        <f>VLOOKUP(B46,'[6]Backup file'!$A:$F,6,FALSE)</f>
        <v>3.9350000000000003E-2</v>
      </c>
      <c r="T46" s="85">
        <f t="shared" si="2"/>
        <v>60.48</v>
      </c>
      <c r="U46" s="85">
        <f t="shared" si="3"/>
        <v>79.329599999999999</v>
      </c>
    </row>
    <row r="47" spans="1:21" x14ac:dyDescent="0.35">
      <c r="A47" s="51"/>
      <c r="B47" s="53" t="s">
        <v>252</v>
      </c>
      <c r="C47" s="52">
        <f t="shared" si="4"/>
        <v>1.8803400467119975</v>
      </c>
      <c r="D47" s="53" t="s">
        <v>197</v>
      </c>
      <c r="E47" s="53" t="s">
        <v>233</v>
      </c>
      <c r="F47" s="53" t="s">
        <v>246</v>
      </c>
      <c r="G47" s="53" t="s">
        <v>201</v>
      </c>
      <c r="H47" s="63">
        <v>1152</v>
      </c>
      <c r="I47" s="55">
        <f t="shared" si="1"/>
        <v>2166.1517338122212</v>
      </c>
      <c r="J47" s="55">
        <v>2.1661517338122209</v>
      </c>
      <c r="K47" s="56">
        <v>1.1932895852492831</v>
      </c>
      <c r="L47" s="57">
        <f t="shared" si="5"/>
        <v>1.3746696022071743</v>
      </c>
      <c r="M47" s="58">
        <f t="shared" si="0"/>
        <v>0.36538628354169511</v>
      </c>
      <c r="N47" s="59"/>
      <c r="R47" s="30">
        <f>VLOOKUP(B47,'[6]Backup file'!$A:$F,3,FALSE)</f>
        <v>1.4999999999999999E-2</v>
      </c>
      <c r="S47" s="30">
        <f>VLOOKUP(B47,'[6]Backup file'!$A:$F,6,FALSE)</f>
        <v>2.5000000000000001E-2</v>
      </c>
      <c r="T47" s="85">
        <f t="shared" si="2"/>
        <v>17.28</v>
      </c>
      <c r="U47" s="85">
        <f t="shared" si="3"/>
        <v>28.8</v>
      </c>
    </row>
    <row r="48" spans="1:21" x14ac:dyDescent="0.35">
      <c r="A48" s="51"/>
      <c r="B48" s="53" t="s">
        <v>253</v>
      </c>
      <c r="C48" s="52">
        <f t="shared" si="4"/>
        <v>2.4300000456527289</v>
      </c>
      <c r="D48" s="53" t="s">
        <v>197</v>
      </c>
      <c r="E48" s="53" t="s">
        <v>233</v>
      </c>
      <c r="F48" s="53" t="s">
        <v>246</v>
      </c>
      <c r="G48" s="53" t="s">
        <v>199</v>
      </c>
      <c r="H48" s="63">
        <v>1056</v>
      </c>
      <c r="I48" s="55">
        <f t="shared" si="1"/>
        <v>2566.0800482092818</v>
      </c>
      <c r="J48" s="55">
        <v>2.5660800482092818</v>
      </c>
      <c r="K48" s="56">
        <v>1.9148743502248684</v>
      </c>
      <c r="L48" s="57">
        <f t="shared" si="5"/>
        <v>2.022107313837461</v>
      </c>
      <c r="M48" s="58">
        <f t="shared" si="0"/>
        <v>0.21198587890951717</v>
      </c>
      <c r="N48" s="59"/>
      <c r="R48" s="30">
        <f>VLOOKUP(B48,'[6]Backup file'!$A:$F,3,FALSE)</f>
        <v>1.2E-2</v>
      </c>
      <c r="S48" s="30">
        <f>VLOOKUP(B48,'[6]Backup file'!$A:$F,6,FALSE)</f>
        <v>2.5999999999999999E-2</v>
      </c>
      <c r="T48" s="85">
        <f t="shared" si="2"/>
        <v>12.672000000000001</v>
      </c>
      <c r="U48" s="85">
        <f t="shared" si="3"/>
        <v>27.456</v>
      </c>
    </row>
    <row r="49" spans="1:21" x14ac:dyDescent="0.35">
      <c r="A49" s="51"/>
      <c r="B49" s="53" t="s">
        <v>217</v>
      </c>
      <c r="C49" s="52">
        <f t="shared" si="4"/>
        <v>1.7296601125827313</v>
      </c>
      <c r="D49" s="53" t="s">
        <v>197</v>
      </c>
      <c r="E49" s="53" t="s">
        <v>233</v>
      </c>
      <c r="F49" s="53" t="s">
        <v>254</v>
      </c>
      <c r="G49" s="53" t="s">
        <v>201</v>
      </c>
      <c r="H49" s="63">
        <v>264</v>
      </c>
      <c r="I49" s="55">
        <f t="shared" si="1"/>
        <v>456.63026972184105</v>
      </c>
      <c r="J49" s="55">
        <v>0.45663026972184106</v>
      </c>
      <c r="K49" s="56">
        <v>1.1494445758929077</v>
      </c>
      <c r="L49" s="57">
        <f t="shared" si="5"/>
        <v>0.30345336803572764</v>
      </c>
      <c r="M49" s="58">
        <f t="shared" si="0"/>
        <v>0.33545060816800865</v>
      </c>
      <c r="N49" s="59"/>
      <c r="R49" s="30">
        <f>VLOOKUP(B49,'[6]Backup file'!$A:$F,3,FALSE)</f>
        <v>2E-3</v>
      </c>
      <c r="S49" s="30">
        <f>VLOOKUP(B49,'[6]Backup file'!$A:$F,6,FALSE)</f>
        <v>2.1999999999999999E-2</v>
      </c>
      <c r="T49" s="85">
        <f t="shared" si="2"/>
        <v>0.52800000000000002</v>
      </c>
      <c r="U49" s="85">
        <f t="shared" si="3"/>
        <v>5.8079999999999998</v>
      </c>
    </row>
    <row r="50" spans="1:21" x14ac:dyDescent="0.35">
      <c r="A50" s="51"/>
      <c r="B50" s="53" t="s">
        <v>255</v>
      </c>
      <c r="C50" s="52">
        <f t="shared" si="4"/>
        <v>1.7793299934070752</v>
      </c>
      <c r="D50" s="53" t="s">
        <v>197</v>
      </c>
      <c r="E50" s="53" t="s">
        <v>233</v>
      </c>
      <c r="F50" s="53" t="s">
        <v>254</v>
      </c>
      <c r="G50" s="53" t="s">
        <v>201</v>
      </c>
      <c r="H50" s="63">
        <v>2904</v>
      </c>
      <c r="I50" s="55">
        <f t="shared" si="1"/>
        <v>5167.1743008541462</v>
      </c>
      <c r="J50" s="55">
        <v>5.1671743008541462</v>
      </c>
      <c r="K50" s="56">
        <v>1.1540828405217864</v>
      </c>
      <c r="L50" s="57">
        <f t="shared" si="5"/>
        <v>3.3514565688752675</v>
      </c>
      <c r="M50" s="58">
        <f t="shared" si="0"/>
        <v>0.35139471329208621</v>
      </c>
      <c r="N50" s="59"/>
      <c r="R50" s="30">
        <f>VLOOKUP(B50,'[6]Backup file'!$A:$F,3,FALSE)</f>
        <v>2E-3</v>
      </c>
      <c r="S50" s="30">
        <f>VLOOKUP(B50,'[6]Backup file'!$A:$F,6,FALSE)</f>
        <v>2.5999999999999999E-2</v>
      </c>
      <c r="T50" s="85">
        <f t="shared" si="2"/>
        <v>5.8079999999999998</v>
      </c>
      <c r="U50" s="85">
        <f t="shared" si="3"/>
        <v>75.503999999999991</v>
      </c>
    </row>
    <row r="51" spans="1:21" x14ac:dyDescent="0.35">
      <c r="A51" s="51"/>
      <c r="B51" s="53" t="s">
        <v>256</v>
      </c>
      <c r="C51" s="52">
        <f t="shared" si="4"/>
        <v>2.6397100050882782</v>
      </c>
      <c r="D51" s="53" t="s">
        <v>197</v>
      </c>
      <c r="E51" s="53" t="s">
        <v>233</v>
      </c>
      <c r="F51" s="53" t="s">
        <v>254</v>
      </c>
      <c r="G51" s="53" t="s">
        <v>201</v>
      </c>
      <c r="H51" s="63">
        <v>5478</v>
      </c>
      <c r="I51" s="55">
        <f t="shared" si="1"/>
        <v>14460.331407873588</v>
      </c>
      <c r="J51" s="55">
        <v>14.460331407873589</v>
      </c>
      <c r="K51" s="56">
        <v>2.1567894014359252</v>
      </c>
      <c r="L51" s="57">
        <f t="shared" si="5"/>
        <v>11.814892341065999</v>
      </c>
      <c r="M51" s="58">
        <f t="shared" si="0"/>
        <v>0.18294456691131988</v>
      </c>
      <c r="N51" s="59" t="s">
        <v>236</v>
      </c>
      <c r="R51" s="30">
        <f>VLOOKUP(B51,'[6]Backup file'!$A:$F,3,FALSE)</f>
        <v>3.0000000000000001E-3</v>
      </c>
      <c r="S51" s="30">
        <f>VLOOKUP(B51,'[6]Backup file'!$A:$F,6,FALSE)</f>
        <v>5.5E-2</v>
      </c>
      <c r="T51" s="85">
        <f t="shared" si="2"/>
        <v>16.434000000000001</v>
      </c>
      <c r="U51" s="85">
        <f t="shared" si="3"/>
        <v>301.29000000000002</v>
      </c>
    </row>
    <row r="52" spans="1:21" x14ac:dyDescent="0.35">
      <c r="A52" s="51"/>
      <c r="B52" s="53" t="s">
        <v>213</v>
      </c>
      <c r="C52" s="52">
        <f t="shared" si="4"/>
        <v>2.5389900283410154</v>
      </c>
      <c r="D52" s="53" t="s">
        <v>197</v>
      </c>
      <c r="E52" s="53" t="s">
        <v>233</v>
      </c>
      <c r="F52" s="53" t="s">
        <v>254</v>
      </c>
      <c r="G52" s="53" t="s">
        <v>201</v>
      </c>
      <c r="H52" s="63">
        <v>1848</v>
      </c>
      <c r="I52" s="55">
        <f t="shared" si="1"/>
        <v>4692.0535723741968</v>
      </c>
      <c r="J52" s="55">
        <v>4.6920535723741965</v>
      </c>
      <c r="K52" s="56">
        <v>1.9335239116182203</v>
      </c>
      <c r="L52" s="57">
        <f t="shared" si="5"/>
        <v>3.5731521886704711</v>
      </c>
      <c r="M52" s="58">
        <f t="shared" si="0"/>
        <v>0.23846730785248837</v>
      </c>
      <c r="N52" s="59"/>
      <c r="R52" s="30">
        <f>VLOOKUP(B52,'[6]Backup file'!$A:$F,3,FALSE)</f>
        <v>2E-3</v>
      </c>
      <c r="S52" s="30">
        <f>VLOOKUP(B52,'[6]Backup file'!$A:$F,6,FALSE)</f>
        <v>2.5999999999999999E-2</v>
      </c>
      <c r="T52" s="85">
        <f t="shared" si="2"/>
        <v>3.6960000000000002</v>
      </c>
      <c r="U52" s="85">
        <f t="shared" si="3"/>
        <v>48.047999999999995</v>
      </c>
    </row>
    <row r="53" spans="1:21" x14ac:dyDescent="0.35">
      <c r="A53" s="51"/>
      <c r="B53" s="53" t="s">
        <v>214</v>
      </c>
      <c r="C53" s="52">
        <f t="shared" si="4"/>
        <v>1.2142699934525134</v>
      </c>
      <c r="D53" s="53" t="s">
        <v>197</v>
      </c>
      <c r="E53" s="53" t="s">
        <v>233</v>
      </c>
      <c r="F53" s="53" t="s">
        <v>254</v>
      </c>
      <c r="G53" s="53" t="s">
        <v>201</v>
      </c>
      <c r="H53" s="63">
        <v>5148</v>
      </c>
      <c r="I53" s="55">
        <f t="shared" si="1"/>
        <v>6251.0619262935388</v>
      </c>
      <c r="J53" s="55">
        <v>6.2510619262935396</v>
      </c>
      <c r="K53" s="56">
        <v>0.9851299876977796</v>
      </c>
      <c r="L53" s="57">
        <f t="shared" si="5"/>
        <v>5.0714491766681693</v>
      </c>
      <c r="M53" s="58">
        <f t="shared" si="0"/>
        <v>0.18870597724582158</v>
      </c>
      <c r="N53" s="59"/>
      <c r="R53" s="30">
        <f>VLOOKUP(B53,'[6]Backup file'!$A:$F,3,FALSE)</f>
        <v>2E-3</v>
      </c>
      <c r="S53" s="30">
        <f>VLOOKUP(B53,'[6]Backup file'!$A:$F,6,FALSE)</f>
        <v>2.6977273E-2</v>
      </c>
      <c r="T53" s="85">
        <f t="shared" si="2"/>
        <v>10.295999999999999</v>
      </c>
      <c r="U53" s="85">
        <f t="shared" si="3"/>
        <v>138.87900140400001</v>
      </c>
    </row>
    <row r="54" spans="1:21" x14ac:dyDescent="0.35">
      <c r="A54" s="51"/>
      <c r="B54" s="53" t="s">
        <v>215</v>
      </c>
      <c r="C54" s="52">
        <f t="shared" si="4"/>
        <v>2.2281200307468603</v>
      </c>
      <c r="D54" s="53" t="s">
        <v>197</v>
      </c>
      <c r="E54" s="53" t="s">
        <v>233</v>
      </c>
      <c r="F54" s="53" t="s">
        <v>254</v>
      </c>
      <c r="G54" s="53" t="s">
        <v>201</v>
      </c>
      <c r="H54" s="63">
        <v>1584</v>
      </c>
      <c r="I54" s="55">
        <f t="shared" si="1"/>
        <v>3529.3421287030264</v>
      </c>
      <c r="J54" s="55">
        <v>3.5293421287030271</v>
      </c>
      <c r="K54" s="56">
        <v>1.6854360121610865</v>
      </c>
      <c r="L54" s="57">
        <f t="shared" si="5"/>
        <v>2.6697306432631613</v>
      </c>
      <c r="M54" s="58">
        <f t="shared" si="0"/>
        <v>0.24356139305648963</v>
      </c>
      <c r="N54" s="59"/>
      <c r="R54" s="30">
        <f>VLOOKUP(B54,'[6]Backup file'!$A:$F,3,FALSE)</f>
        <v>2E-3</v>
      </c>
      <c r="S54" s="30">
        <f>VLOOKUP(B54,'[6]Backup file'!$A:$F,6,FALSE)</f>
        <v>2.1999999999999999E-2</v>
      </c>
      <c r="T54" s="85">
        <f t="shared" si="2"/>
        <v>3.1680000000000001</v>
      </c>
      <c r="U54" s="85">
        <f t="shared" si="3"/>
        <v>34.847999999999999</v>
      </c>
    </row>
    <row r="55" spans="1:21" x14ac:dyDescent="0.35">
      <c r="A55" s="51"/>
      <c r="B55" s="53" t="s">
        <v>257</v>
      </c>
      <c r="C55" s="52">
        <f t="shared" si="4"/>
        <v>1.7111600292484703</v>
      </c>
      <c r="D55" s="53" t="s">
        <v>197</v>
      </c>
      <c r="E55" s="53" t="s">
        <v>233</v>
      </c>
      <c r="F55" s="53" t="s">
        <v>254</v>
      </c>
      <c r="G55" s="53" t="s">
        <v>201</v>
      </c>
      <c r="H55" s="63">
        <v>1980</v>
      </c>
      <c r="I55" s="55">
        <f t="shared" si="1"/>
        <v>3388.0968579119713</v>
      </c>
      <c r="J55" s="55">
        <v>3.3880968579119712</v>
      </c>
      <c r="K55" s="56">
        <v>0.89965172888562095</v>
      </c>
      <c r="L55" s="57">
        <f t="shared" si="5"/>
        <v>1.7813104231935295</v>
      </c>
      <c r="M55" s="58">
        <f t="shared" si="0"/>
        <v>0.47424453966427571</v>
      </c>
      <c r="N55" s="59" t="s">
        <v>236</v>
      </c>
      <c r="R55" s="30">
        <f>VLOOKUP(B55,'[6]Backup file'!$A:$F,3,FALSE)</f>
        <v>3.0000000000000001E-3</v>
      </c>
      <c r="S55" s="30">
        <f>VLOOKUP(B55,'[6]Backup file'!$A:$F,6,FALSE)</f>
        <v>0.05</v>
      </c>
      <c r="T55" s="85">
        <f t="shared" si="2"/>
        <v>5.94</v>
      </c>
      <c r="U55" s="85">
        <f t="shared" si="3"/>
        <v>99</v>
      </c>
    </row>
    <row r="56" spans="1:21" x14ac:dyDescent="0.35">
      <c r="A56" s="51"/>
      <c r="B56" s="53" t="s">
        <v>258</v>
      </c>
      <c r="C56" s="52">
        <f t="shared" si="4"/>
        <v>3.2146200418373008</v>
      </c>
      <c r="D56" s="53" t="s">
        <v>197</v>
      </c>
      <c r="E56" s="53" t="s">
        <v>233</v>
      </c>
      <c r="F56" s="53" t="s">
        <v>254</v>
      </c>
      <c r="G56" s="53" t="s">
        <v>201</v>
      </c>
      <c r="H56" s="63">
        <v>1056</v>
      </c>
      <c r="I56" s="55">
        <f t="shared" si="1"/>
        <v>3394.6387641801898</v>
      </c>
      <c r="J56" s="55">
        <v>3.3946387641801894</v>
      </c>
      <c r="K56" s="56">
        <v>1.331570511233541</v>
      </c>
      <c r="L56" s="57">
        <f t="shared" si="5"/>
        <v>1.4061384598626194</v>
      </c>
      <c r="M56" s="58">
        <f t="shared" si="0"/>
        <v>0.58577670334174592</v>
      </c>
      <c r="N56" s="59"/>
      <c r="R56" s="30">
        <f>VLOOKUP(B56,'[6]Backup file'!$A:$F,3,FALSE)</f>
        <v>6.0000000000000001E-3</v>
      </c>
      <c r="S56" s="30">
        <f>VLOOKUP(B56,'[6]Backup file'!$A:$F,6,FALSE)</f>
        <v>2.9000000000000001E-2</v>
      </c>
      <c r="T56" s="85">
        <f t="shared" si="2"/>
        <v>6.3360000000000003</v>
      </c>
      <c r="U56" s="85">
        <f t="shared" si="3"/>
        <v>30.624000000000002</v>
      </c>
    </row>
    <row r="57" spans="1:21" x14ac:dyDescent="0.35">
      <c r="A57" s="51"/>
      <c r="B57" s="53" t="s">
        <v>259</v>
      </c>
      <c r="C57" s="52">
        <f t="shared" si="4"/>
        <v>2.1260099129239824</v>
      </c>
      <c r="D57" s="53" t="s">
        <v>197</v>
      </c>
      <c r="E57" s="53" t="s">
        <v>233</v>
      </c>
      <c r="F57" s="53" t="s">
        <v>254</v>
      </c>
      <c r="G57" s="53" t="s">
        <v>201</v>
      </c>
      <c r="H57" s="63">
        <v>132</v>
      </c>
      <c r="I57" s="55">
        <f t="shared" si="1"/>
        <v>280.63330850596566</v>
      </c>
      <c r="J57" s="55">
        <v>0.28063330850596568</v>
      </c>
      <c r="K57" s="56">
        <v>1.3247008617183054</v>
      </c>
      <c r="L57" s="57">
        <f t="shared" si="5"/>
        <v>0.1748605137468163</v>
      </c>
      <c r="M57" s="58">
        <f t="shared" si="0"/>
        <v>0.37690748586567324</v>
      </c>
      <c r="N57" s="59"/>
      <c r="R57" s="30">
        <f>VLOOKUP(B57,'[6]Backup file'!$A:$F,3,FALSE)</f>
        <v>1.9E-3</v>
      </c>
      <c r="S57" s="30">
        <f>VLOOKUP(B57,'[6]Backup file'!$A:$F,6,FALSE)</f>
        <v>1.4668182E-2</v>
      </c>
      <c r="T57" s="85">
        <f t="shared" si="2"/>
        <v>0.25080000000000002</v>
      </c>
      <c r="U57" s="85">
        <f t="shared" si="3"/>
        <v>1.9362000239999999</v>
      </c>
    </row>
    <row r="58" spans="1:21" x14ac:dyDescent="0.35">
      <c r="A58" s="51"/>
      <c r="B58" s="53" t="s">
        <v>260</v>
      </c>
      <c r="C58" s="52">
        <f t="shared" si="4"/>
        <v>2.2213599890555575</v>
      </c>
      <c r="D58" s="53" t="s">
        <v>197</v>
      </c>
      <c r="E58" s="53" t="s">
        <v>233</v>
      </c>
      <c r="F58" s="53" t="s">
        <v>254</v>
      </c>
      <c r="G58" s="53" t="s">
        <v>201</v>
      </c>
      <c r="H58" s="63">
        <v>990</v>
      </c>
      <c r="I58" s="55">
        <f t="shared" si="1"/>
        <v>2199.1463891650019</v>
      </c>
      <c r="J58" s="55">
        <v>2.1991463891650018</v>
      </c>
      <c r="K58" s="56">
        <v>0.9453355781133288</v>
      </c>
      <c r="L58" s="57">
        <f t="shared" si="5"/>
        <v>0.93588222233219553</v>
      </c>
      <c r="M58" s="58">
        <f t="shared" si="0"/>
        <v>0.57443386809390962</v>
      </c>
      <c r="N58" s="59" t="s">
        <v>236</v>
      </c>
      <c r="R58" s="30">
        <f>VLOOKUP(B58,'[6]Backup file'!$A:$F,3,FALSE)</f>
        <v>1.6000000000000001E-3</v>
      </c>
      <c r="S58" s="30">
        <f>VLOOKUP(B58,'[6]Backup file'!$A:$F,6,FALSE)</f>
        <v>1.9699999999999999E-2</v>
      </c>
      <c r="T58" s="85">
        <f t="shared" si="2"/>
        <v>1.5840000000000001</v>
      </c>
      <c r="U58" s="85">
        <f t="shared" si="3"/>
        <v>19.503</v>
      </c>
    </row>
    <row r="59" spans="1:21" x14ac:dyDescent="0.35">
      <c r="A59" s="51"/>
      <c r="B59" s="53" t="s">
        <v>261</v>
      </c>
      <c r="C59" s="52">
        <f t="shared" si="4"/>
        <v>1.6063600305072259</v>
      </c>
      <c r="D59" s="53" t="s">
        <v>197</v>
      </c>
      <c r="E59" s="53" t="s">
        <v>233</v>
      </c>
      <c r="F59" s="53" t="s">
        <v>254</v>
      </c>
      <c r="G59" s="53" t="s">
        <v>201</v>
      </c>
      <c r="H59" s="63">
        <v>1584</v>
      </c>
      <c r="I59" s="55">
        <f t="shared" si="1"/>
        <v>2544.4742883234458</v>
      </c>
      <c r="J59" s="55">
        <v>2.5444742883234457</v>
      </c>
      <c r="K59" s="56">
        <v>0.84290501305370569</v>
      </c>
      <c r="L59" s="57">
        <f t="shared" si="5"/>
        <v>1.3351615406770698</v>
      </c>
      <c r="M59" s="58">
        <f t="shared" si="0"/>
        <v>0.47527017788935572</v>
      </c>
      <c r="N59" s="59"/>
      <c r="R59" s="30">
        <f>VLOOKUP(B59,'[6]Backup file'!$A:$F,3,FALSE)</f>
        <v>3.0000000000000001E-3</v>
      </c>
      <c r="S59" s="30">
        <f>VLOOKUP(B59,'[6]Backup file'!$A:$F,6,FALSE)</f>
        <v>2.5999999999999999E-2</v>
      </c>
      <c r="T59" s="85">
        <f t="shared" si="2"/>
        <v>4.7519999999999998</v>
      </c>
      <c r="U59" s="85">
        <f t="shared" si="3"/>
        <v>41.183999999999997</v>
      </c>
    </row>
    <row r="60" spans="1:21" x14ac:dyDescent="0.35">
      <c r="A60" s="51"/>
      <c r="B60" s="53" t="s">
        <v>214</v>
      </c>
      <c r="C60" s="52">
        <f t="shared" si="4"/>
        <v>1.2142699795830489</v>
      </c>
      <c r="D60" s="53" t="s">
        <v>197</v>
      </c>
      <c r="E60" s="53" t="s">
        <v>233</v>
      </c>
      <c r="F60" s="53" t="s">
        <v>254</v>
      </c>
      <c r="G60" s="53" t="s">
        <v>201</v>
      </c>
      <c r="H60" s="63">
        <v>1980</v>
      </c>
      <c r="I60" s="55">
        <f t="shared" si="1"/>
        <v>2404.2545595744368</v>
      </c>
      <c r="J60" s="55">
        <v>2.4042545595744369</v>
      </c>
      <c r="K60" s="56">
        <v>0.9851299876977796</v>
      </c>
      <c r="L60" s="57">
        <f t="shared" si="5"/>
        <v>1.9505573756416035</v>
      </c>
      <c r="M60" s="58">
        <f t="shared" si="0"/>
        <v>0.18870596797917261</v>
      </c>
      <c r="N60" s="59"/>
      <c r="R60" s="30">
        <f>VLOOKUP(B60,'[6]Backup file'!$A:$F,3,FALSE)</f>
        <v>2E-3</v>
      </c>
      <c r="S60" s="30">
        <f>VLOOKUP(B60,'[6]Backup file'!$A:$F,6,FALSE)</f>
        <v>2.6977273E-2</v>
      </c>
      <c r="T60" s="85">
        <f t="shared" si="2"/>
        <v>3.96</v>
      </c>
      <c r="U60" s="85">
        <f t="shared" si="3"/>
        <v>53.415000540000001</v>
      </c>
    </row>
    <row r="61" spans="1:21" x14ac:dyDescent="0.35">
      <c r="A61" s="51"/>
      <c r="B61" s="53" t="s">
        <v>262</v>
      </c>
      <c r="C61" s="52">
        <f t="shared" si="4"/>
        <v>1.26720000602717</v>
      </c>
      <c r="D61" s="53" t="s">
        <v>197</v>
      </c>
      <c r="E61" s="53" t="s">
        <v>233</v>
      </c>
      <c r="F61" s="53" t="s">
        <v>254</v>
      </c>
      <c r="G61" s="53" t="s">
        <v>63</v>
      </c>
      <c r="H61" s="63">
        <v>2112</v>
      </c>
      <c r="I61" s="55">
        <f t="shared" si="1"/>
        <v>2676.3264127293828</v>
      </c>
      <c r="J61" s="55">
        <v>2.6763264127293827</v>
      </c>
      <c r="K61" s="56">
        <v>1.6658772071186756</v>
      </c>
      <c r="L61" s="57">
        <f t="shared" si="5"/>
        <v>3.5183326614346431</v>
      </c>
      <c r="M61" s="58">
        <f t="shared" si="0"/>
        <v>-0.31461268875890291</v>
      </c>
      <c r="N61" s="59"/>
      <c r="R61" s="30">
        <f>VLOOKUP(B61,'[6]Backup file'!$A:$F,3,FALSE)</f>
        <v>1.9E-3</v>
      </c>
      <c r="S61" s="30">
        <f>VLOOKUP(B61,'[6]Backup file'!$A:$F,6,FALSE)</f>
        <v>1.4097426E-2</v>
      </c>
      <c r="T61" s="85">
        <f t="shared" si="2"/>
        <v>4.0128000000000004</v>
      </c>
      <c r="U61" s="85">
        <f t="shared" si="3"/>
        <v>29.773763712000001</v>
      </c>
    </row>
    <row r="62" spans="1:21" x14ac:dyDescent="0.35">
      <c r="A62" s="51"/>
      <c r="B62" s="53" t="s">
        <v>263</v>
      </c>
      <c r="C62" s="52">
        <f t="shared" si="4"/>
        <v>4.6667501686094841</v>
      </c>
      <c r="D62" s="53" t="s">
        <v>197</v>
      </c>
      <c r="E62" s="53" t="s">
        <v>233</v>
      </c>
      <c r="F62" s="53" t="s">
        <v>254</v>
      </c>
      <c r="G62" s="53" t="s">
        <v>63</v>
      </c>
      <c r="H62" s="63">
        <v>264</v>
      </c>
      <c r="I62" s="55">
        <f t="shared" si="1"/>
        <v>1232.0220445129039</v>
      </c>
      <c r="J62" s="55">
        <v>1.2320220445129038</v>
      </c>
      <c r="K62" s="56">
        <v>1.6581731553850894</v>
      </c>
      <c r="L62" s="57">
        <f t="shared" si="5"/>
        <v>0.43775771302166355</v>
      </c>
      <c r="M62" s="58">
        <f t="shared" si="0"/>
        <v>0.64468353876351547</v>
      </c>
      <c r="N62" s="59"/>
      <c r="R62" s="30">
        <f>VLOOKUP(B62,'[6]Backup file'!$A:$F,3,FALSE)</f>
        <v>2E-3</v>
      </c>
      <c r="S62" s="30">
        <f>VLOOKUP(B62,'[6]Backup file'!$A:$F,6,FALSE)</f>
        <v>3.9E-2</v>
      </c>
      <c r="T62" s="85">
        <f t="shared" si="2"/>
        <v>0.52800000000000002</v>
      </c>
      <c r="U62" s="85">
        <f t="shared" si="3"/>
        <v>10.295999999999999</v>
      </c>
    </row>
    <row r="63" spans="1:21" x14ac:dyDescent="0.35">
      <c r="A63" s="51"/>
      <c r="B63" s="53" t="s">
        <v>264</v>
      </c>
      <c r="C63" s="52">
        <f t="shared" si="4"/>
        <v>0.83647009490133462</v>
      </c>
      <c r="D63" s="53" t="s">
        <v>197</v>
      </c>
      <c r="E63" s="53" t="s">
        <v>233</v>
      </c>
      <c r="F63" s="53" t="s">
        <v>254</v>
      </c>
      <c r="G63" s="53" t="s">
        <v>63</v>
      </c>
      <c r="H63" s="63">
        <v>462</v>
      </c>
      <c r="I63" s="55">
        <f t="shared" si="1"/>
        <v>386.44918384441661</v>
      </c>
      <c r="J63" s="55">
        <v>0.38644918384441657</v>
      </c>
      <c r="K63" s="56">
        <v>0.57366709987349107</v>
      </c>
      <c r="L63" s="57">
        <f t="shared" si="5"/>
        <v>0.26503420014155288</v>
      </c>
      <c r="M63" s="58">
        <f t="shared" si="0"/>
        <v>0.31418098104133929</v>
      </c>
      <c r="N63" s="59"/>
      <c r="R63" s="30">
        <f>VLOOKUP(B63,'[6]Backup file'!$A:$F,3,FALSE)</f>
        <v>6.1000000000000004E-3</v>
      </c>
      <c r="S63" s="30">
        <f>VLOOKUP(B63,'[6]Backup file'!$A:$F,6,FALSE)</f>
        <v>1.4239999999999999E-2</v>
      </c>
      <c r="T63" s="85">
        <f t="shared" si="2"/>
        <v>2.8182</v>
      </c>
      <c r="U63" s="85">
        <f t="shared" si="3"/>
        <v>6.5788799999999998</v>
      </c>
    </row>
    <row r="64" spans="1:21" x14ac:dyDescent="0.35">
      <c r="A64" s="51"/>
      <c r="B64" s="53" t="s">
        <v>216</v>
      </c>
      <c r="C64" s="52">
        <f t="shared" si="4"/>
        <v>1.2229899994355191</v>
      </c>
      <c r="D64" s="53" t="s">
        <v>197</v>
      </c>
      <c r="E64" s="53" t="s">
        <v>233</v>
      </c>
      <c r="F64" s="53" t="s">
        <v>254</v>
      </c>
      <c r="G64" s="53" t="s">
        <v>63</v>
      </c>
      <c r="H64" s="63">
        <v>4950</v>
      </c>
      <c r="I64" s="55">
        <f t="shared" si="1"/>
        <v>6053.8004972058197</v>
      </c>
      <c r="J64" s="55">
        <v>6.0538004972058204</v>
      </c>
      <c r="K64" s="56">
        <v>0.72867255248703477</v>
      </c>
      <c r="L64" s="57">
        <f t="shared" si="5"/>
        <v>3.6069291348108221</v>
      </c>
      <c r="M64" s="58">
        <f t="shared" si="0"/>
        <v>0.40418764436065757</v>
      </c>
      <c r="N64" s="59"/>
      <c r="R64" s="30">
        <f>VLOOKUP(B64,'[6]Backup file'!$A:$F,3,FALSE)</f>
        <v>2E-3</v>
      </c>
      <c r="S64" s="30">
        <f>VLOOKUP(B64,'[6]Backup file'!$A:$F,6,FALSE)</f>
        <v>2.3800000000000002E-2</v>
      </c>
      <c r="T64" s="85">
        <f t="shared" si="2"/>
        <v>9.9</v>
      </c>
      <c r="U64" s="85">
        <f t="shared" si="3"/>
        <v>117.81</v>
      </c>
    </row>
    <row r="65" spans="1:21" x14ac:dyDescent="0.35">
      <c r="A65" s="51"/>
      <c r="B65" s="53" t="s">
        <v>263</v>
      </c>
      <c r="C65" s="52">
        <f t="shared" si="4"/>
        <v>4.6667501686094841</v>
      </c>
      <c r="D65" s="53" t="s">
        <v>197</v>
      </c>
      <c r="E65" s="53" t="s">
        <v>233</v>
      </c>
      <c r="F65" s="53" t="s">
        <v>254</v>
      </c>
      <c r="G65" s="53" t="s">
        <v>63</v>
      </c>
      <c r="H65" s="63">
        <v>264</v>
      </c>
      <c r="I65" s="55">
        <f t="shared" si="1"/>
        <v>1232.0220445129039</v>
      </c>
      <c r="J65" s="55">
        <v>1.2320220445129038</v>
      </c>
      <c r="K65" s="56">
        <v>1.6581731553850894</v>
      </c>
      <c r="L65" s="57">
        <f t="shared" si="5"/>
        <v>0.43775771302166355</v>
      </c>
      <c r="M65" s="58">
        <f t="shared" si="0"/>
        <v>0.64468353876351547</v>
      </c>
      <c r="N65" s="59"/>
      <c r="R65" s="30">
        <f>VLOOKUP(B65,'[6]Backup file'!$A:$F,3,FALSE)</f>
        <v>2E-3</v>
      </c>
      <c r="S65" s="30">
        <f>VLOOKUP(B65,'[6]Backup file'!$A:$F,6,FALSE)</f>
        <v>3.9E-2</v>
      </c>
      <c r="T65" s="85">
        <f t="shared" si="2"/>
        <v>0.52800000000000002</v>
      </c>
      <c r="U65" s="85">
        <f t="shared" si="3"/>
        <v>10.295999999999999</v>
      </c>
    </row>
    <row r="66" spans="1:21" x14ac:dyDescent="0.35">
      <c r="A66" s="51"/>
      <c r="B66" s="53" t="s">
        <v>265</v>
      </c>
      <c r="C66" s="52">
        <f t="shared" si="4"/>
        <v>2.6260199864546983</v>
      </c>
      <c r="D66" s="53" t="s">
        <v>197</v>
      </c>
      <c r="E66" s="53" t="s">
        <v>233</v>
      </c>
      <c r="F66" s="53" t="s">
        <v>254</v>
      </c>
      <c r="G66" s="53" t="s">
        <v>199</v>
      </c>
      <c r="H66" s="63">
        <v>264</v>
      </c>
      <c r="I66" s="55">
        <f t="shared" si="1"/>
        <v>693.2692764240403</v>
      </c>
      <c r="J66" s="55">
        <v>0.69326927642404035</v>
      </c>
      <c r="K66" s="56">
        <v>1.4685422236531314</v>
      </c>
      <c r="L66" s="57">
        <f t="shared" si="5"/>
        <v>0.3876951470444267</v>
      </c>
      <c r="M66" s="58">
        <f t="shared" ref="M66:M70" si="6">(J66-L66)/J66</f>
        <v>0.44077264025862911</v>
      </c>
      <c r="N66" s="59"/>
      <c r="R66" s="30">
        <f>VLOOKUP(B66,'[6]Backup file'!$A:$F,3,FALSE)</f>
        <v>1.9E-3</v>
      </c>
      <c r="S66" s="30">
        <f>VLOOKUP(B66,'[6]Backup file'!$A:$F,6,FALSE)</f>
        <v>2.9000000000000001E-2</v>
      </c>
      <c r="T66" s="85">
        <f t="shared" si="2"/>
        <v>0.50160000000000005</v>
      </c>
      <c r="U66" s="85">
        <f t="shared" si="3"/>
        <v>7.6560000000000006</v>
      </c>
    </row>
    <row r="67" spans="1:21" x14ac:dyDescent="0.35">
      <c r="A67" s="51"/>
      <c r="B67" s="53" t="s">
        <v>266</v>
      </c>
      <c r="C67" s="52">
        <f t="shared" si="4"/>
        <v>1.9800899633385707</v>
      </c>
      <c r="D67" s="53" t="s">
        <v>197</v>
      </c>
      <c r="E67" s="53" t="s">
        <v>233</v>
      </c>
      <c r="F67" s="53" t="s">
        <v>254</v>
      </c>
      <c r="G67" s="53" t="s">
        <v>199</v>
      </c>
      <c r="H67" s="63">
        <v>594</v>
      </c>
      <c r="I67" s="55">
        <f t="shared" ref="I67:I77" si="7">H67*C67</f>
        <v>1176.1734382231109</v>
      </c>
      <c r="J67" s="55">
        <v>1.176173438223111</v>
      </c>
      <c r="K67" s="56">
        <v>1.3262244418513023</v>
      </c>
      <c r="L67" s="57">
        <f t="shared" si="5"/>
        <v>0.78777731845967358</v>
      </c>
      <c r="M67" s="58">
        <f t="shared" si="6"/>
        <v>0.33022010797166268</v>
      </c>
      <c r="N67" s="59"/>
      <c r="R67" s="30">
        <f>VLOOKUP(B67,'[6]Backup file'!$A:$F,3,FALSE)</f>
        <v>1.6000000000000001E-3</v>
      </c>
      <c r="S67" s="30">
        <f>VLOOKUP(B67,'[6]Backup file'!$A:$F,6,FALSE)</f>
        <v>2.8645E-2</v>
      </c>
      <c r="T67" s="85">
        <f t="shared" ref="T67:T70" si="8">R67*H67</f>
        <v>0.95040000000000002</v>
      </c>
      <c r="U67" s="85">
        <f t="shared" ref="U67:U70" si="9">S67*H67</f>
        <v>17.015129999999999</v>
      </c>
    </row>
    <row r="68" spans="1:21" x14ac:dyDescent="0.35">
      <c r="A68" s="51"/>
      <c r="B68" s="53" t="s">
        <v>266</v>
      </c>
      <c r="C68" s="52">
        <f t="shared" ref="C68:C70" si="10">J68/H68*1000</f>
        <v>1.980090063506925</v>
      </c>
      <c r="D68" s="53" t="s">
        <v>197</v>
      </c>
      <c r="E68" s="53" t="s">
        <v>233</v>
      </c>
      <c r="F68" s="53" t="s">
        <v>254</v>
      </c>
      <c r="G68" s="53" t="s">
        <v>199</v>
      </c>
      <c r="H68" s="63">
        <v>396</v>
      </c>
      <c r="I68" s="55">
        <f t="shared" si="7"/>
        <v>784.11566514874232</v>
      </c>
      <c r="J68" s="55">
        <v>0.78411566514874231</v>
      </c>
      <c r="K68" s="56">
        <v>1.3262244418513023</v>
      </c>
      <c r="L68" s="57">
        <f t="shared" si="5"/>
        <v>0.52518487897311572</v>
      </c>
      <c r="M68" s="58">
        <f t="shared" si="6"/>
        <v>0.3302201418543384</v>
      </c>
      <c r="N68" s="59"/>
      <c r="R68" s="30">
        <f>VLOOKUP(B68,'[6]Backup file'!$A:$F,3,FALSE)</f>
        <v>1.6000000000000001E-3</v>
      </c>
      <c r="S68" s="30">
        <f>VLOOKUP(B68,'[6]Backup file'!$A:$F,6,FALSE)</f>
        <v>2.8645E-2</v>
      </c>
      <c r="T68" s="85">
        <f t="shared" si="8"/>
        <v>0.63360000000000005</v>
      </c>
      <c r="U68" s="85">
        <f t="shared" si="9"/>
        <v>11.34342</v>
      </c>
    </row>
    <row r="69" spans="1:21" x14ac:dyDescent="0.35">
      <c r="A69" s="51"/>
      <c r="B69" s="53" t="s">
        <v>267</v>
      </c>
      <c r="C69" s="52">
        <f t="shared" si="10"/>
        <v>2.7500700089649919</v>
      </c>
      <c r="D69" s="53" t="s">
        <v>197</v>
      </c>
      <c r="E69" s="53" t="s">
        <v>233</v>
      </c>
      <c r="F69" s="53" t="s">
        <v>254</v>
      </c>
      <c r="G69" s="53" t="s">
        <v>201</v>
      </c>
      <c r="H69" s="63">
        <v>1320</v>
      </c>
      <c r="I69" s="55">
        <f t="shared" si="7"/>
        <v>3630.0924118337894</v>
      </c>
      <c r="J69" s="55">
        <v>3.6300924118337892</v>
      </c>
      <c r="K69" s="56">
        <v>0.96852795999243635</v>
      </c>
      <c r="L69" s="57">
        <f t="shared" ref="L69:L77" si="11">(K69*H69)/1000</f>
        <v>1.278456907190016</v>
      </c>
      <c r="M69" s="58">
        <f t="shared" si="6"/>
        <v>0.64781698035500235</v>
      </c>
      <c r="N69" s="59"/>
      <c r="R69" s="30">
        <f>VLOOKUP(B69,'[6]Backup file'!$A:$F,3,FALSE)</f>
        <v>1.9E-3</v>
      </c>
      <c r="S69" s="30">
        <f>VLOOKUP(B69,'[6]Backup file'!$A:$F,6,FALSE)</f>
        <v>2.0617046E-2</v>
      </c>
      <c r="T69" s="85">
        <f t="shared" si="8"/>
        <v>2.508</v>
      </c>
      <c r="U69" s="85">
        <f t="shared" si="9"/>
        <v>27.21450072</v>
      </c>
    </row>
    <row r="70" spans="1:21" x14ac:dyDescent="0.35">
      <c r="A70" s="51"/>
      <c r="B70" s="53" t="s">
        <v>267</v>
      </c>
      <c r="C70" s="52">
        <f t="shared" si="10"/>
        <v>2.7500700218437801</v>
      </c>
      <c r="D70" s="53" t="s">
        <v>197</v>
      </c>
      <c r="E70" s="53" t="s">
        <v>233</v>
      </c>
      <c r="F70" s="53" t="s">
        <v>254</v>
      </c>
      <c r="G70" s="53" t="s">
        <v>201</v>
      </c>
      <c r="H70" s="63">
        <v>1848</v>
      </c>
      <c r="I70" s="55">
        <f t="shared" si="7"/>
        <v>5082.1294003673056</v>
      </c>
      <c r="J70" s="55">
        <v>5.0821294003673056</v>
      </c>
      <c r="K70" s="56">
        <v>0.96852795999243635</v>
      </c>
      <c r="L70" s="57">
        <f t="shared" si="11"/>
        <v>1.7898396700660224</v>
      </c>
      <c r="M70" s="58">
        <f t="shared" si="6"/>
        <v>0.64781698200430249</v>
      </c>
      <c r="N70" s="59"/>
      <c r="R70" s="30">
        <f>VLOOKUP(B70,'[6]Backup file'!$A:$F,3,FALSE)</f>
        <v>1.9E-3</v>
      </c>
      <c r="S70" s="30">
        <f>VLOOKUP(B70,'[6]Backup file'!$A:$F,6,FALSE)</f>
        <v>2.0617046E-2</v>
      </c>
      <c r="T70" s="85">
        <f t="shared" si="8"/>
        <v>3.5112000000000001</v>
      </c>
      <c r="U70" s="85">
        <f t="shared" si="9"/>
        <v>38.100301008000002</v>
      </c>
    </row>
    <row r="71" spans="1:21" x14ac:dyDescent="0.35">
      <c r="A71" s="51"/>
      <c r="B71" s="53"/>
      <c r="C71" s="64"/>
      <c r="D71" s="53"/>
      <c r="E71" s="53"/>
      <c r="F71" s="53"/>
      <c r="G71" s="53"/>
      <c r="H71" s="63"/>
      <c r="I71" s="55">
        <f t="shared" si="7"/>
        <v>0</v>
      </c>
      <c r="J71" s="55">
        <f t="shared" ref="J71:J77" si="12">I71/1000</f>
        <v>0</v>
      </c>
      <c r="K71" s="56"/>
      <c r="L71" s="57">
        <f t="shared" si="11"/>
        <v>0</v>
      </c>
      <c r="M71" s="58"/>
      <c r="N71" s="59"/>
      <c r="T71" s="87">
        <f>SUM(T2:T70)</f>
        <v>884.5182480000002</v>
      </c>
      <c r="U71" s="87">
        <f>SUM(U2:U70)</f>
        <v>7469.0445868480001</v>
      </c>
    </row>
    <row r="72" spans="1:21" x14ac:dyDescent="0.35">
      <c r="A72" s="51"/>
      <c r="B72" s="53"/>
      <c r="C72" s="64"/>
      <c r="D72" s="53"/>
      <c r="E72" s="53"/>
      <c r="F72" s="53"/>
      <c r="G72" s="53"/>
      <c r="H72" s="63"/>
      <c r="I72" s="55">
        <f t="shared" si="7"/>
        <v>0</v>
      </c>
      <c r="J72" s="55">
        <f t="shared" si="12"/>
        <v>0</v>
      </c>
      <c r="K72" s="56"/>
      <c r="L72" s="57">
        <f t="shared" si="11"/>
        <v>0</v>
      </c>
      <c r="M72" s="58"/>
      <c r="N72" s="59"/>
      <c r="T72" s="481">
        <f>SUM(T71:U71)</f>
        <v>8353.5628348480004</v>
      </c>
      <c r="U72" s="482"/>
    </row>
    <row r="73" spans="1:21" x14ac:dyDescent="0.35">
      <c r="A73" s="51"/>
      <c r="B73" s="53"/>
      <c r="C73" s="64"/>
      <c r="D73" s="53"/>
      <c r="E73" s="53"/>
      <c r="F73" s="53"/>
      <c r="G73" s="53"/>
      <c r="H73" s="63"/>
      <c r="I73" s="55">
        <f t="shared" si="7"/>
        <v>0</v>
      </c>
      <c r="J73" s="55">
        <f t="shared" si="12"/>
        <v>0</v>
      </c>
      <c r="K73" s="56"/>
      <c r="L73" s="57">
        <f t="shared" si="11"/>
        <v>0</v>
      </c>
      <c r="M73" s="58"/>
      <c r="N73" s="59"/>
    </row>
    <row r="74" spans="1:21" x14ac:dyDescent="0.35">
      <c r="A74" s="51"/>
      <c r="B74" s="53"/>
      <c r="C74" s="64"/>
      <c r="D74" s="53"/>
      <c r="E74" s="53"/>
      <c r="F74" s="53"/>
      <c r="G74" s="53"/>
      <c r="H74" s="63"/>
      <c r="I74" s="55">
        <f t="shared" si="7"/>
        <v>0</v>
      </c>
      <c r="J74" s="55">
        <f t="shared" si="12"/>
        <v>0</v>
      </c>
      <c r="K74" s="56"/>
      <c r="L74" s="57">
        <f t="shared" si="11"/>
        <v>0</v>
      </c>
      <c r="M74" s="58"/>
      <c r="N74" s="59"/>
    </row>
    <row r="75" spans="1:21" x14ac:dyDescent="0.35">
      <c r="A75" s="51"/>
      <c r="B75" s="53"/>
      <c r="C75" s="64"/>
      <c r="D75" s="53"/>
      <c r="E75" s="53"/>
      <c r="F75" s="53"/>
      <c r="G75" s="53"/>
      <c r="H75" s="63"/>
      <c r="I75" s="55">
        <f t="shared" si="7"/>
        <v>0</v>
      </c>
      <c r="J75" s="55">
        <f t="shared" si="12"/>
        <v>0</v>
      </c>
      <c r="K75" s="56"/>
      <c r="L75" s="57">
        <f t="shared" si="11"/>
        <v>0</v>
      </c>
      <c r="M75" s="58"/>
      <c r="N75" s="59"/>
    </row>
    <row r="76" spans="1:21" x14ac:dyDescent="0.35">
      <c r="A76" s="51"/>
      <c r="B76" s="53"/>
      <c r="C76" s="64"/>
      <c r="D76" s="53"/>
      <c r="E76" s="53"/>
      <c r="F76" s="53"/>
      <c r="G76" s="53"/>
      <c r="H76" s="63"/>
      <c r="I76" s="55">
        <f t="shared" si="7"/>
        <v>0</v>
      </c>
      <c r="J76" s="55">
        <f t="shared" si="12"/>
        <v>0</v>
      </c>
      <c r="K76" s="56"/>
      <c r="L76" s="57">
        <f t="shared" si="11"/>
        <v>0</v>
      </c>
      <c r="M76" s="58"/>
      <c r="N76" s="59"/>
    </row>
    <row r="77" spans="1:21" x14ac:dyDescent="0.35">
      <c r="B77" s="53"/>
      <c r="C77" s="53"/>
      <c r="D77" s="53"/>
      <c r="E77" s="53"/>
      <c r="F77" s="53"/>
      <c r="G77" s="53"/>
      <c r="H77" s="63"/>
      <c r="I77" s="55">
        <f t="shared" si="7"/>
        <v>0</v>
      </c>
      <c r="J77" s="55">
        <f t="shared" si="12"/>
        <v>0</v>
      </c>
      <c r="K77" s="56"/>
      <c r="L77" s="57">
        <f t="shared" si="11"/>
        <v>0</v>
      </c>
      <c r="M77" s="58"/>
      <c r="N77" s="59" t="s">
        <v>236</v>
      </c>
      <c r="R77" s="31"/>
      <c r="S77" s="84"/>
    </row>
    <row r="78" spans="1:21" x14ac:dyDescent="0.35">
      <c r="B78" s="65"/>
      <c r="C78" s="65"/>
      <c r="D78" s="65"/>
      <c r="E78" s="65"/>
      <c r="F78" s="65"/>
      <c r="G78" s="65"/>
      <c r="H78" s="66"/>
      <c r="I78" s="67"/>
      <c r="J78" s="67">
        <f>SUM(J2:J77)</f>
        <v>417.69986592269458</v>
      </c>
      <c r="K78" s="56"/>
      <c r="L78" s="68">
        <f>SUM(L2:L77)</f>
        <v>484.18090872122349</v>
      </c>
      <c r="M78" s="69">
        <f>(J78-L78)/J78</f>
        <v>-0.15915983753471644</v>
      </c>
      <c r="R78" s="31"/>
      <c r="S78" s="84"/>
    </row>
    <row r="79" spans="1:21" x14ac:dyDescent="0.35">
      <c r="E79" s="53"/>
      <c r="F79" s="53"/>
      <c r="K79" s="56"/>
      <c r="R79" s="31"/>
      <c r="S79" s="84"/>
    </row>
    <row r="80" spans="1:21" x14ac:dyDescent="0.35">
      <c r="E80" s="53"/>
      <c r="F80" s="53"/>
      <c r="K80" s="56"/>
      <c r="R80" s="31"/>
      <c r="S80" s="84"/>
    </row>
    <row r="81" spans="5:19" x14ac:dyDescent="0.35">
      <c r="E81" s="53"/>
      <c r="F81" s="53"/>
      <c r="K81" s="56"/>
      <c r="R81" s="31"/>
      <c r="S81" s="84"/>
    </row>
    <row r="82" spans="5:19" x14ac:dyDescent="0.35">
      <c r="E82" s="53"/>
      <c r="F82" s="53"/>
      <c r="K82" s="56"/>
      <c r="R82" s="31"/>
      <c r="S82" s="84"/>
    </row>
    <row r="83" spans="5:19" x14ac:dyDescent="0.35">
      <c r="E83" s="53"/>
      <c r="F83" s="53"/>
      <c r="K83" s="56"/>
      <c r="R83" s="31"/>
      <c r="S83" s="84"/>
    </row>
    <row r="84" spans="5:19" x14ac:dyDescent="0.35">
      <c r="F84"/>
      <c r="K84"/>
    </row>
    <row r="85" spans="5:19" ht="15" thickBot="1" x14ac:dyDescent="0.4">
      <c r="K85"/>
    </row>
    <row r="86" spans="5:19" ht="15" thickBot="1" x14ac:dyDescent="0.4">
      <c r="K86"/>
      <c r="O86" s="71"/>
      <c r="P86" s="72"/>
    </row>
    <row r="87" spans="5:19" ht="15" thickBot="1" x14ac:dyDescent="0.4">
      <c r="O87" s="71"/>
      <c r="P87" s="72" t="s">
        <v>268</v>
      </c>
    </row>
    <row r="89" spans="5:19" ht="15" thickBot="1" x14ac:dyDescent="0.4"/>
    <row r="90" spans="5:19" ht="15" thickBot="1" x14ac:dyDescent="0.4">
      <c r="O90" s="72" t="s">
        <v>269</v>
      </c>
      <c r="P90" s="72">
        <v>200</v>
      </c>
      <c r="Q90">
        <v>200</v>
      </c>
    </row>
    <row r="91" spans="5:19" ht="15" thickBot="1" x14ac:dyDescent="0.4">
      <c r="O91" s="72" t="s">
        <v>270</v>
      </c>
      <c r="P91" s="72">
        <v>150</v>
      </c>
      <c r="Q91">
        <v>300</v>
      </c>
    </row>
    <row r="92" spans="5:19" ht="15" thickBot="1" x14ac:dyDescent="0.4">
      <c r="O92" s="72" t="s">
        <v>271</v>
      </c>
      <c r="P92" s="72">
        <v>250</v>
      </c>
      <c r="Q92">
        <v>200</v>
      </c>
    </row>
    <row r="93" spans="5:19" ht="15" thickBot="1" x14ac:dyDescent="0.4">
      <c r="O93" s="72" t="s">
        <v>272</v>
      </c>
      <c r="P93" s="72">
        <v>100</v>
      </c>
      <c r="Q93">
        <v>100</v>
      </c>
    </row>
    <row r="94" spans="5:19" ht="15" thickBot="1" x14ac:dyDescent="0.4">
      <c r="O94" s="72" t="s">
        <v>273</v>
      </c>
      <c r="P94" s="72"/>
    </row>
    <row r="95" spans="5:19" ht="15" thickBot="1" x14ac:dyDescent="0.4">
      <c r="O95" s="72"/>
      <c r="P95" s="72"/>
    </row>
    <row r="96" spans="5:19" ht="15" thickBot="1" x14ac:dyDescent="0.4">
      <c r="O96" s="72"/>
      <c r="P96" s="72"/>
    </row>
    <row r="97" spans="15:17" ht="15" thickBot="1" x14ac:dyDescent="0.4">
      <c r="O97" s="72"/>
      <c r="P97" s="73">
        <f>SUM(P89:P96)</f>
        <v>700</v>
      </c>
    </row>
    <row r="98" spans="15:17" ht="15" thickBot="1" x14ac:dyDescent="0.4">
      <c r="P98" s="32" t="e">
        <f>#REF!+#REF!+#REF!</f>
        <v>#REF!</v>
      </c>
    </row>
    <row r="99" spans="15:17" x14ac:dyDescent="0.35">
      <c r="O99" s="74"/>
      <c r="P99" s="75"/>
      <c r="Q99" s="76"/>
    </row>
    <row r="100" spans="15:17" ht="15" thickBot="1" x14ac:dyDescent="0.4">
      <c r="O100" s="77"/>
      <c r="P100" s="78" t="s">
        <v>274</v>
      </c>
      <c r="Q100" s="78"/>
    </row>
    <row r="101" spans="15:17" x14ac:dyDescent="0.35">
      <c r="O101" s="79" t="s">
        <v>275</v>
      </c>
      <c r="P101" s="80">
        <v>3624</v>
      </c>
    </row>
    <row r="102" spans="15:17" x14ac:dyDescent="0.35">
      <c r="O102" s="79" t="s">
        <v>269</v>
      </c>
      <c r="P102" s="81">
        <v>400</v>
      </c>
      <c r="Q102" s="80"/>
    </row>
    <row r="103" spans="15:17" x14ac:dyDescent="0.35">
      <c r="O103" s="79" t="s">
        <v>270</v>
      </c>
      <c r="P103" s="80">
        <v>150</v>
      </c>
    </row>
    <row r="104" spans="15:17" x14ac:dyDescent="0.35">
      <c r="O104" s="79" t="s">
        <v>271</v>
      </c>
      <c r="P104" s="81">
        <v>350</v>
      </c>
      <c r="Q104" s="80"/>
    </row>
    <row r="105" spans="15:17" x14ac:dyDescent="0.35">
      <c r="O105" s="79" t="s">
        <v>272</v>
      </c>
      <c r="P105" s="81">
        <v>100</v>
      </c>
      <c r="Q105" s="80"/>
    </row>
    <row r="106" spans="15:17" x14ac:dyDescent="0.35">
      <c r="O106" s="79" t="s">
        <v>276</v>
      </c>
      <c r="P106" s="81"/>
      <c r="Q106" s="80"/>
    </row>
    <row r="107" spans="15:17" x14ac:dyDescent="0.35">
      <c r="O107" s="79" t="s">
        <v>277</v>
      </c>
      <c r="P107" s="80">
        <v>200</v>
      </c>
    </row>
    <row r="108" spans="15:17" x14ac:dyDescent="0.35">
      <c r="O108" s="79" t="s">
        <v>273</v>
      </c>
      <c r="P108" s="81"/>
      <c r="Q108" s="80"/>
    </row>
    <row r="109" spans="15:17" x14ac:dyDescent="0.35">
      <c r="O109" s="79" t="s">
        <v>278</v>
      </c>
      <c r="P109" s="80"/>
      <c r="Q109" s="80"/>
    </row>
    <row r="110" spans="15:17" ht="15" thickBot="1" x14ac:dyDescent="0.4">
      <c r="O110" s="77"/>
      <c r="P110" s="82">
        <f>SUM(P101:P109)</f>
        <v>4824</v>
      </c>
      <c r="Q110" s="83">
        <f>SUM(Q101:Q109)</f>
        <v>0</v>
      </c>
    </row>
    <row r="111" spans="15:17" x14ac:dyDescent="0.35">
      <c r="P111" s="32"/>
      <c r="Q111" s="32" t="e">
        <f>#REF!-Q110</f>
        <v>#REF!</v>
      </c>
    </row>
  </sheetData>
  <autoFilter ref="A1:Q83" xr:uid="{00000000-0009-0000-0000-00000D000000}"/>
  <mergeCells count="1">
    <mergeCell ref="T72:U7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Summary-HC</vt:lpstr>
      <vt:lpstr>Sheet8</vt:lpstr>
      <vt:lpstr>Sheet1</vt:lpstr>
      <vt:lpstr>Data (2)</vt:lpstr>
      <vt:lpstr>PN-workout file</vt:lpstr>
      <vt:lpstr>Sheet7</vt:lpstr>
      <vt:lpstr>Machine crew-Cable</vt:lpstr>
      <vt:lpstr>Supporting HC details</vt:lpstr>
      <vt:lpstr>Capacity</vt:lpstr>
      <vt:lpstr>Sheet4</vt:lpstr>
      <vt:lpstr>Sheet2</vt:lpstr>
      <vt:lpstr>PB</vt:lpstr>
      <vt:lpstr>PN-workout file (2)</vt:lpstr>
      <vt:lpstr>NPD crew details</vt:lpstr>
      <vt:lpstr>Sheet6</vt:lpstr>
      <vt:lpstr>Plan-Jan</vt:lpstr>
      <vt:lpstr>To IE</vt:lpstr>
      <vt:lpstr>Forecast Vs Earned Hrs</vt:lpstr>
      <vt:lpstr>Nov Plan</vt:lpstr>
      <vt:lpstr>Sheet5</vt:lpstr>
      <vt:lpstr>Sheet3</vt:lpstr>
      <vt:lpstr>Line efficiency</vt:lpstr>
      <vt:lpstr>PB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Sreekutty</dc:creator>
  <cp:lastModifiedBy>Rednam, Prakash</cp:lastModifiedBy>
  <dcterms:created xsi:type="dcterms:W3CDTF">2024-09-24T13:15:24Z</dcterms:created>
  <dcterms:modified xsi:type="dcterms:W3CDTF">2026-07-16T06:12:14Z</dcterms:modified>
</cp:coreProperties>
</file>