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phenolfci-my.sharepoint.com/personal/prakash_rednam_amphenol-fci_com/Documents/Attachments/"/>
    </mc:Choice>
  </mc:AlternateContent>
  <xr:revisionPtr revIDLastSave="1" documentId="13_ncr:1_{77F87017-042E-45BE-A0DC-1A5933329520}" xr6:coauthVersionLast="47" xr6:coauthVersionMax="47" xr10:uidLastSave="{B80E2787-E8F5-492B-88FA-20AEE432643B}"/>
  <bookViews>
    <workbookView xWindow="-110" yWindow="-110" windowWidth="19420" windowHeight="10300" xr2:uid="{1F35AAE4-589E-4CA4-A79E-4AA293FEC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29" i="1"/>
  <c r="K28" i="1"/>
  <c r="L28" i="1" s="1"/>
  <c r="M28" i="1" s="1"/>
  <c r="H28" i="1"/>
  <c r="I28" i="1"/>
  <c r="J28" i="1"/>
  <c r="H29" i="1"/>
  <c r="I29" i="1"/>
  <c r="J29" i="1" s="1"/>
  <c r="H36" i="1"/>
  <c r="I36" i="1"/>
  <c r="J36" i="1" s="1"/>
  <c r="H68" i="1"/>
  <c r="I68" i="1"/>
  <c r="H69" i="1"/>
  <c r="H70" i="1" s="1"/>
  <c r="H72" i="1" s="1"/>
  <c r="I69" i="1"/>
  <c r="I70" i="1"/>
  <c r="H71" i="1"/>
  <c r="I71" i="1"/>
  <c r="I72" i="1"/>
  <c r="H73" i="1"/>
  <c r="I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N73" i="1"/>
  <c r="M73" i="1"/>
  <c r="L73" i="1"/>
  <c r="K73" i="1"/>
  <c r="G73" i="1"/>
  <c r="F73" i="1"/>
  <c r="E73" i="1"/>
  <c r="D73" i="1"/>
  <c r="C73" i="1"/>
  <c r="B73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N71" i="1"/>
  <c r="M71" i="1"/>
  <c r="K71" i="1"/>
  <c r="G71" i="1"/>
  <c r="F71" i="1"/>
  <c r="E71" i="1"/>
  <c r="D71" i="1"/>
  <c r="C71" i="1"/>
  <c r="B71" i="1"/>
  <c r="AF69" i="1"/>
  <c r="AF70" i="1" s="1"/>
  <c r="AE69" i="1"/>
  <c r="AE70" i="1" s="1"/>
  <c r="AD69" i="1"/>
  <c r="AD70" i="1" s="1"/>
  <c r="AC69" i="1"/>
  <c r="AC70" i="1" s="1"/>
  <c r="AB69" i="1"/>
  <c r="AB70" i="1" s="1"/>
  <c r="AA69" i="1"/>
  <c r="AA70" i="1" s="1"/>
  <c r="Z69" i="1"/>
  <c r="Z70" i="1" s="1"/>
  <c r="Y69" i="1"/>
  <c r="Y70" i="1" s="1"/>
  <c r="X69" i="1"/>
  <c r="X70" i="1" s="1"/>
  <c r="X72" i="1" s="1"/>
  <c r="W69" i="1"/>
  <c r="W70" i="1" s="1"/>
  <c r="V69" i="1"/>
  <c r="V70" i="1" s="1"/>
  <c r="U69" i="1"/>
  <c r="U70" i="1" s="1"/>
  <c r="C29" i="1" s="1"/>
  <c r="T69" i="1"/>
  <c r="T70" i="1" s="1"/>
  <c r="S69" i="1"/>
  <c r="S70" i="1" s="1"/>
  <c r="R69" i="1"/>
  <c r="R70" i="1" s="1"/>
  <c r="Q69" i="1"/>
  <c r="Q70" i="1" s="1"/>
  <c r="P69" i="1"/>
  <c r="P70" i="1" s="1"/>
  <c r="C24" i="1" s="1"/>
  <c r="F24" i="1" s="1"/>
  <c r="N69" i="1"/>
  <c r="N70" i="1" s="1"/>
  <c r="C23" i="1" s="1"/>
  <c r="M69" i="1"/>
  <c r="M70" i="1" s="1"/>
  <c r="K69" i="1"/>
  <c r="K70" i="1" s="1"/>
  <c r="K72" i="1" s="1"/>
  <c r="G69" i="1"/>
  <c r="G70" i="1" s="1"/>
  <c r="F69" i="1"/>
  <c r="F70" i="1" s="1"/>
  <c r="E69" i="1"/>
  <c r="E70" i="1" s="1"/>
  <c r="D69" i="1"/>
  <c r="D70" i="1" s="1"/>
  <c r="C69" i="1"/>
  <c r="C70" i="1" s="1"/>
  <c r="B69" i="1"/>
  <c r="B70" i="1" s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N68" i="1"/>
  <c r="M68" i="1"/>
  <c r="K68" i="1"/>
  <c r="G68" i="1"/>
  <c r="F68" i="1"/>
  <c r="E68" i="1"/>
  <c r="D68" i="1"/>
  <c r="C68" i="1"/>
  <c r="B68" i="1"/>
  <c r="L45" i="1"/>
  <c r="L69" i="1" s="1"/>
  <c r="L70" i="1" s="1"/>
  <c r="D40" i="1"/>
  <c r="D39" i="1"/>
  <c r="D38" i="1"/>
  <c r="D37" i="1"/>
  <c r="L36" i="1"/>
  <c r="M36" i="1" s="1"/>
  <c r="D36" i="1"/>
  <c r="D35" i="1"/>
  <c r="D34" i="1"/>
  <c r="D33" i="1"/>
  <c r="G32" i="1"/>
  <c r="F32" i="1"/>
  <c r="E32" i="1"/>
  <c r="D31" i="1"/>
  <c r="D30" i="1"/>
  <c r="L29" i="1"/>
  <c r="M29" i="1" s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AB72" i="1" l="1"/>
  <c r="C36" i="1"/>
  <c r="F36" i="1" s="1"/>
  <c r="B72" i="1"/>
  <c r="C12" i="1"/>
  <c r="F12" i="1" s="1"/>
  <c r="Y72" i="1"/>
  <c r="C33" i="1"/>
  <c r="F33" i="1" s="1"/>
  <c r="C22" i="1"/>
  <c r="F22" i="1" s="1"/>
  <c r="M72" i="1"/>
  <c r="C34" i="1"/>
  <c r="F34" i="1" s="1"/>
  <c r="Z72" i="1"/>
  <c r="C35" i="1"/>
  <c r="E35" i="1" s="1"/>
  <c r="AA72" i="1"/>
  <c r="N72" i="1"/>
  <c r="P72" i="1"/>
  <c r="D41" i="1"/>
  <c r="L68" i="1"/>
  <c r="F23" i="1"/>
  <c r="E23" i="1"/>
  <c r="G23" i="1"/>
  <c r="Q72" i="1"/>
  <c r="C25" i="1"/>
  <c r="C37" i="1"/>
  <c r="AC72" i="1"/>
  <c r="L72" i="1"/>
  <c r="C21" i="1"/>
  <c r="C18" i="1"/>
  <c r="C19" i="1"/>
  <c r="C13" i="1"/>
  <c r="C72" i="1"/>
  <c r="R72" i="1"/>
  <c r="C26" i="1"/>
  <c r="C38" i="1"/>
  <c r="AD72" i="1"/>
  <c r="D72" i="1"/>
  <c r="C14" i="1"/>
  <c r="C27" i="1"/>
  <c r="S72" i="1"/>
  <c r="C39" i="1"/>
  <c r="AE72" i="1"/>
  <c r="W72" i="1"/>
  <c r="C31" i="1"/>
  <c r="C15" i="1"/>
  <c r="E72" i="1"/>
  <c r="C28" i="1"/>
  <c r="T72" i="1"/>
  <c r="C40" i="1"/>
  <c r="AF72" i="1"/>
  <c r="C16" i="1"/>
  <c r="F72" i="1"/>
  <c r="U72" i="1"/>
  <c r="C17" i="1"/>
  <c r="G72" i="1"/>
  <c r="V72" i="1"/>
  <c r="C30" i="1"/>
  <c r="G33" i="1"/>
  <c r="E24" i="1"/>
  <c r="L71" i="1"/>
  <c r="C20" i="1"/>
  <c r="G24" i="1"/>
  <c r="G36" i="1"/>
  <c r="E22" i="1" l="1"/>
  <c r="E33" i="1"/>
  <c r="G22" i="1"/>
  <c r="G34" i="1"/>
  <c r="E34" i="1"/>
  <c r="F35" i="1"/>
  <c r="G35" i="1"/>
  <c r="G12" i="1"/>
  <c r="E36" i="1"/>
  <c r="E12" i="1"/>
  <c r="G17" i="1"/>
  <c r="F17" i="1"/>
  <c r="E17" i="1"/>
  <c r="G15" i="1"/>
  <c r="F15" i="1"/>
  <c r="E15" i="1"/>
  <c r="F29" i="1"/>
  <c r="E29" i="1"/>
  <c r="G29" i="1"/>
  <c r="F20" i="1"/>
  <c r="G20" i="1"/>
  <c r="E20" i="1"/>
  <c r="G16" i="1"/>
  <c r="F16" i="1"/>
  <c r="E16" i="1"/>
  <c r="E37" i="1"/>
  <c r="G37" i="1"/>
  <c r="F37" i="1"/>
  <c r="F14" i="1"/>
  <c r="E14" i="1"/>
  <c r="G14" i="1"/>
  <c r="F40" i="1"/>
  <c r="E40" i="1"/>
  <c r="G40" i="1"/>
  <c r="G18" i="1"/>
  <c r="F18" i="1"/>
  <c r="E18" i="1"/>
  <c r="E13" i="1"/>
  <c r="F13" i="1"/>
  <c r="G13" i="1"/>
  <c r="C41" i="1"/>
  <c r="G19" i="1"/>
  <c r="E19" i="1"/>
  <c r="F19" i="1"/>
  <c r="G27" i="1"/>
  <c r="F27" i="1"/>
  <c r="E27" i="1"/>
  <c r="F30" i="1"/>
  <c r="E30" i="1"/>
  <c r="G30" i="1"/>
  <c r="E31" i="1"/>
  <c r="G31" i="1"/>
  <c r="F31" i="1"/>
  <c r="G39" i="1"/>
  <c r="F39" i="1"/>
  <c r="E39" i="1"/>
  <c r="E25" i="1"/>
  <c r="G25" i="1"/>
  <c r="F25" i="1"/>
  <c r="F28" i="1"/>
  <c r="E28" i="1"/>
  <c r="G28" i="1"/>
  <c r="G38" i="1"/>
  <c r="F38" i="1"/>
  <c r="E38" i="1"/>
  <c r="G21" i="1"/>
  <c r="F21" i="1"/>
  <c r="E21" i="1"/>
  <c r="F26" i="1"/>
  <c r="E26" i="1"/>
  <c r="G26" i="1"/>
  <c r="E41" i="1" l="1"/>
  <c r="F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50" authorId="0" shapeId="0" xr:uid="{4A6A9368-ACEC-427B-BE11-6D44B9CC0083}">
      <text>
        <r>
          <rPr>
            <sz val="11"/>
            <color theme="1"/>
            <rFont val="Calibri"/>
            <family val="2"/>
          </rPr>
          <t>Molding time with out unwrapping</t>
        </r>
      </text>
    </comment>
  </commentList>
</comments>
</file>

<file path=xl/sharedStrings.xml><?xml version="1.0" encoding="utf-8"?>
<sst xmlns="http://schemas.openxmlformats.org/spreadsheetml/2006/main" count="158" uniqueCount="70">
  <si>
    <t>Part Details</t>
  </si>
  <si>
    <t>PN</t>
  </si>
  <si>
    <t>10183597-1-005B5LF</t>
  </si>
  <si>
    <t>Line Name</t>
  </si>
  <si>
    <t>125A DC WHIP</t>
  </si>
  <si>
    <t>BU</t>
  </si>
  <si>
    <t>PWR</t>
  </si>
  <si>
    <t>Date</t>
  </si>
  <si>
    <t>2026-05-22</t>
  </si>
  <si>
    <t>Actual production per shift</t>
  </si>
  <si>
    <t>1</t>
  </si>
  <si>
    <t>Customer Demand Per Day</t>
  </si>
  <si>
    <t/>
  </si>
  <si>
    <t>S/N</t>
  </si>
  <si>
    <t>Process</t>
  </si>
  <si>
    <t>Actual CT Including eff.( sec)</t>
  </si>
  <si>
    <t>Actual Manning</t>
  </si>
  <si>
    <t>Actual CT Including mannning + eff.</t>
  </si>
  <si>
    <t>C/T- min</t>
  </si>
  <si>
    <t>Per hour output</t>
  </si>
  <si>
    <t>new cycle time- min</t>
  </si>
  <si>
    <t>new cycle time- sec</t>
  </si>
  <si>
    <t>Per hr New o/p</t>
  </si>
  <si>
    <t>Manning</t>
  </si>
  <si>
    <t>Short contact welding</t>
  </si>
  <si>
    <t>Long contact Welding</t>
  </si>
  <si>
    <t>Long contact cable Weld taping, HST insertion and shrinking, TPA insertion</t>
  </si>
  <si>
    <t>Short contact cable weld joint taping and tpa assy</t>
  </si>
  <si>
    <t xml:space="preserve"> 2 CABLE HST CUTTING</t>
  </si>
  <si>
    <t>2 cable jaket outing, filler cable cutting</t>
  </si>
  <si>
    <t xml:space="preserve">2 cable inner core stripping </t>
  </si>
  <si>
    <t>2 cable contact crimping</t>
  </si>
  <si>
    <t>Tinning of 2 cable</t>
  </si>
  <si>
    <t>Soldering of 2 cable</t>
  </si>
  <si>
    <t xml:space="preserve">Shrinking of 2 cable </t>
  </si>
  <si>
    <t>Small blue wire stripping</t>
  </si>
  <si>
    <t>Blue small wire contact insertion and crimping</t>
  </si>
  <si>
    <t>Tinning of small blue wire</t>
  </si>
  <si>
    <t>Hst insertion of small wire</t>
  </si>
  <si>
    <t xml:space="preserve">Blue wire Soldering </t>
  </si>
  <si>
    <t xml:space="preserve">5 cable arranging,Brade insertion HST insertion. </t>
  </si>
  <si>
    <t>A and B side Housing assy</t>
  </si>
  <si>
    <t>A side pre molding</t>
  </si>
  <si>
    <t xml:space="preserve"> A side premolding inspection and wrapping</t>
  </si>
  <si>
    <t>Bside Pre molding</t>
  </si>
  <si>
    <t>A side over molding</t>
  </si>
  <si>
    <t>A side Over molding inspection and bubble wrapping</t>
  </si>
  <si>
    <t>B Side overmolding</t>
  </si>
  <si>
    <t>Strain relief assy, hst shrinking, white taping, latch assy, labeling, bubble wrapping on to strain relief and housing</t>
  </si>
  <si>
    <t>Acetate taping and labeling</t>
  </si>
  <si>
    <t>Hipot testing and scanning</t>
  </si>
  <si>
    <t>Legnth checking</t>
  </si>
  <si>
    <t>Inp</t>
  </si>
  <si>
    <t>Total</t>
  </si>
  <si>
    <t>Type</t>
  </si>
  <si>
    <t>machine</t>
  </si>
  <si>
    <t>manual</t>
  </si>
  <si>
    <t>Category</t>
  </si>
  <si>
    <t>MAN</t>
  </si>
  <si>
    <t>INP</t>
  </si>
  <si>
    <t>Frequency</t>
  </si>
  <si>
    <t>B side pre molding</t>
  </si>
  <si>
    <t>4th Min</t>
  </si>
  <si>
    <t>Average</t>
  </si>
  <si>
    <t>Actual Time</t>
  </si>
  <si>
    <t>Max</t>
  </si>
  <si>
    <t>Theoretical Manning</t>
  </si>
  <si>
    <t>Takt Time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</si>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</sst>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/>
    <xf numFmtId="0" fontId="0" fillId="2" borderId="3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D4E0-333A-4D49-9763-0588C68DCFBA}">
  <dimension ref="A2:AF81"/>
  <sheetViews>
    <sheetView tabSelected="1" topLeftCell="A10" zoomScale="78" zoomScaleNormal="70" workbookViewId="0">
      <selection activeCell="L19" sqref="L19"/>
    </sheetView>
  </sheetViews>
  <sheetFormatPr defaultRowHeight="14.5" x14ac:dyDescent="0.35"/>
  <cols>
    <col min="1" max="1" width="20" customWidth="1"/>
    <col min="2" max="2" width="52.1796875" customWidth="1"/>
    <col min="3" max="4" width="20" customWidth="1"/>
    <col min="5" max="5" width="20" hidden="1" customWidth="1"/>
    <col min="6" max="7" width="18" customWidth="1"/>
    <col min="8" max="10" width="18" hidden="1" customWidth="1"/>
    <col min="11" max="37" width="18" customWidth="1"/>
  </cols>
  <sheetData>
    <row r="2" spans="1:17" x14ac:dyDescent="0.35">
      <c r="A2" s="21" t="s">
        <v>0</v>
      </c>
      <c r="B2" s="22"/>
      <c r="D2" s="23"/>
      <c r="E2" s="24"/>
    </row>
    <row r="3" spans="1:17" x14ac:dyDescent="0.35">
      <c r="A3" s="2" t="s">
        <v>1</v>
      </c>
      <c r="B3" s="2" t="s">
        <v>2</v>
      </c>
      <c r="E3" s="3"/>
    </row>
    <row r="4" spans="1:17" x14ac:dyDescent="0.35">
      <c r="A4" s="2" t="s">
        <v>3</v>
      </c>
      <c r="B4" s="2" t="s">
        <v>4</v>
      </c>
      <c r="E4" s="3"/>
    </row>
    <row r="5" spans="1:17" x14ac:dyDescent="0.35">
      <c r="A5" s="2" t="s">
        <v>5</v>
      </c>
      <c r="B5" s="2" t="s">
        <v>6</v>
      </c>
      <c r="E5" s="3"/>
    </row>
    <row r="6" spans="1:17" x14ac:dyDescent="0.35">
      <c r="A6" s="2" t="s">
        <v>7</v>
      </c>
      <c r="B6" s="2" t="s">
        <v>8</v>
      </c>
      <c r="E6" s="3"/>
    </row>
    <row r="7" spans="1:17" x14ac:dyDescent="0.35">
      <c r="A7" s="2" t="s">
        <v>9</v>
      </c>
      <c r="B7" s="2" t="s">
        <v>10</v>
      </c>
      <c r="E7" s="3"/>
    </row>
    <row r="8" spans="1:17" x14ac:dyDescent="0.35">
      <c r="A8" s="2" t="s">
        <v>11</v>
      </c>
      <c r="B8" s="2" t="s">
        <v>10</v>
      </c>
    </row>
    <row r="9" spans="1:17" x14ac:dyDescent="0.35">
      <c r="B9" t="s">
        <v>12</v>
      </c>
    </row>
    <row r="10" spans="1:17" x14ac:dyDescent="0.35">
      <c r="F10" s="25" t="s">
        <v>68</v>
      </c>
      <c r="G10" s="25"/>
      <c r="H10" s="14"/>
      <c r="I10" s="14"/>
      <c r="J10" s="14"/>
      <c r="K10" s="25" t="s">
        <v>69</v>
      </c>
      <c r="L10" s="25"/>
      <c r="M10" s="25"/>
    </row>
    <row r="11" spans="1:17" ht="29" x14ac:dyDescent="0.35">
      <c r="A11" s="4" t="s">
        <v>13</v>
      </c>
      <c r="B11" s="4" t="s">
        <v>14</v>
      </c>
      <c r="C11" s="4" t="s">
        <v>15</v>
      </c>
      <c r="D11" s="4" t="s">
        <v>16</v>
      </c>
      <c r="E11" s="13" t="s">
        <v>17</v>
      </c>
      <c r="F11" s="15" t="s">
        <v>18</v>
      </c>
      <c r="G11" s="15" t="s">
        <v>19</v>
      </c>
      <c r="H11" s="17" t="s">
        <v>20</v>
      </c>
      <c r="I11" s="15" t="s">
        <v>21</v>
      </c>
      <c r="J11" s="15" t="s">
        <v>22</v>
      </c>
      <c r="K11" s="15" t="s">
        <v>20</v>
      </c>
      <c r="L11" s="15" t="s">
        <v>21</v>
      </c>
      <c r="M11" s="15" t="s">
        <v>22</v>
      </c>
      <c r="Q11" t="s">
        <v>23</v>
      </c>
    </row>
    <row r="12" spans="1:17" x14ac:dyDescent="0.35">
      <c r="A12" s="2">
        <v>1</v>
      </c>
      <c r="B12" s="5" t="s">
        <v>24</v>
      </c>
      <c r="C12" s="6">
        <f>B70</f>
        <v>81.07058823529411</v>
      </c>
      <c r="D12" s="6">
        <f>B46</f>
        <v>1</v>
      </c>
      <c r="E12" s="16">
        <f>C12*D12</f>
        <v>81.07058823529411</v>
      </c>
      <c r="F12" s="9">
        <f>C12/60</f>
        <v>1.3511764705882352</v>
      </c>
      <c r="G12" s="18">
        <f>3600/C12</f>
        <v>44.40574662603396</v>
      </c>
    </row>
    <row r="13" spans="1:17" x14ac:dyDescent="0.35">
      <c r="A13" s="2">
        <v>2</v>
      </c>
      <c r="B13" s="5" t="s">
        <v>25</v>
      </c>
      <c r="C13" s="6">
        <f>C70</f>
        <v>109.22352941176472</v>
      </c>
      <c r="D13" s="6">
        <f>C46</f>
        <v>1</v>
      </c>
      <c r="E13" s="16">
        <f t="shared" ref="E13:E40" si="0">C13*D13</f>
        <v>109.22352941176472</v>
      </c>
      <c r="F13" s="9">
        <f t="shared" ref="F13:F27" si="1">C13/60</f>
        <v>1.8203921568627452</v>
      </c>
      <c r="G13" s="18">
        <f t="shared" ref="G13:G40" si="2">3600/C13</f>
        <v>32.959931064196461</v>
      </c>
    </row>
    <row r="14" spans="1:17" ht="29" x14ac:dyDescent="0.35">
      <c r="A14" s="2">
        <v>3</v>
      </c>
      <c r="B14" s="5" t="s">
        <v>26</v>
      </c>
      <c r="C14" s="6">
        <f>D70</f>
        <v>340.80588235294118</v>
      </c>
      <c r="D14" s="6">
        <f>D46</f>
        <v>1</v>
      </c>
      <c r="E14" s="16">
        <f t="shared" si="0"/>
        <v>340.80588235294118</v>
      </c>
      <c r="F14" s="9">
        <f t="shared" si="1"/>
        <v>5.6800980392156868</v>
      </c>
      <c r="G14" s="18">
        <f t="shared" si="2"/>
        <v>10.563197956400918</v>
      </c>
    </row>
    <row r="15" spans="1:17" x14ac:dyDescent="0.35">
      <c r="A15" s="2">
        <v>4</v>
      </c>
      <c r="B15" s="5" t="s">
        <v>27</v>
      </c>
      <c r="C15" s="6">
        <f>E70</f>
        <v>370.49411764705877</v>
      </c>
      <c r="D15" s="6">
        <f>E46</f>
        <v>1</v>
      </c>
      <c r="E15" s="16">
        <f t="shared" si="0"/>
        <v>370.49411764705877</v>
      </c>
      <c r="F15" s="9">
        <f t="shared" si="1"/>
        <v>6.1749019607843127</v>
      </c>
      <c r="G15" s="18">
        <f t="shared" si="2"/>
        <v>9.716753461196495</v>
      </c>
    </row>
    <row r="16" spans="1:17" x14ac:dyDescent="0.35">
      <c r="A16" s="2">
        <v>5</v>
      </c>
      <c r="B16" s="5" t="s">
        <v>28</v>
      </c>
      <c r="C16" s="6">
        <f>F70</f>
        <v>5.5680672268907561</v>
      </c>
      <c r="D16" s="6">
        <f>F46</f>
        <v>1</v>
      </c>
      <c r="E16" s="16">
        <f t="shared" si="0"/>
        <v>5.5680672268907561</v>
      </c>
      <c r="F16" s="9">
        <f t="shared" si="1"/>
        <v>9.2801120448179272E-2</v>
      </c>
      <c r="G16" s="18">
        <f t="shared" si="2"/>
        <v>646.54391789918509</v>
      </c>
    </row>
    <row r="17" spans="1:17" x14ac:dyDescent="0.35">
      <c r="A17" s="2">
        <v>6</v>
      </c>
      <c r="B17" s="5" t="s">
        <v>29</v>
      </c>
      <c r="C17" s="6">
        <f>G70</f>
        <v>33.983823529411765</v>
      </c>
      <c r="D17" s="6">
        <f>G46</f>
        <v>1</v>
      </c>
      <c r="E17" s="16">
        <f t="shared" si="0"/>
        <v>33.983823529411765</v>
      </c>
      <c r="F17" s="9">
        <f t="shared" si="1"/>
        <v>0.56639705882352942</v>
      </c>
      <c r="G17" s="18">
        <f t="shared" si="2"/>
        <v>105.93275347267299</v>
      </c>
    </row>
    <row r="18" spans="1:17" x14ac:dyDescent="0.35">
      <c r="A18" s="2">
        <v>7</v>
      </c>
      <c r="B18" s="5" t="s">
        <v>30</v>
      </c>
      <c r="C18" s="6">
        <f>H70</f>
        <v>24.651960784313726</v>
      </c>
      <c r="D18" s="6">
        <f>H46</f>
        <v>1</v>
      </c>
      <c r="E18" s="16">
        <f t="shared" si="0"/>
        <v>24.651960784313726</v>
      </c>
      <c r="F18" s="9">
        <f t="shared" si="1"/>
        <v>0.41086601307189541</v>
      </c>
      <c r="G18" s="18">
        <f t="shared" si="2"/>
        <v>146.03300855040763</v>
      </c>
    </row>
    <row r="19" spans="1:17" x14ac:dyDescent="0.35">
      <c r="A19" s="2">
        <v>8</v>
      </c>
      <c r="B19" s="5" t="s">
        <v>31</v>
      </c>
      <c r="C19" s="6">
        <f>I70</f>
        <v>80.17941176470589</v>
      </c>
      <c r="D19" s="6">
        <f>I46</f>
        <v>1</v>
      </c>
      <c r="E19" s="16">
        <f t="shared" si="0"/>
        <v>80.17941176470589</v>
      </c>
      <c r="F19" s="9">
        <f t="shared" si="1"/>
        <v>1.3363235294117648</v>
      </c>
      <c r="G19" s="18">
        <f t="shared" si="2"/>
        <v>44.899306701881805</v>
      </c>
    </row>
    <row r="20" spans="1:17" x14ac:dyDescent="0.35">
      <c r="A20" s="2">
        <v>9</v>
      </c>
      <c r="B20" s="5" t="s">
        <v>32</v>
      </c>
      <c r="C20" s="6">
        <f>K70</f>
        <v>31.173529411764704</v>
      </c>
      <c r="D20" s="6">
        <f>K46</f>
        <v>1</v>
      </c>
      <c r="E20" s="16">
        <f t="shared" si="0"/>
        <v>31.173529411764704</v>
      </c>
      <c r="F20" s="9">
        <f t="shared" si="1"/>
        <v>0.51955882352941174</v>
      </c>
      <c r="G20" s="18">
        <f t="shared" si="2"/>
        <v>115.48259269742429</v>
      </c>
    </row>
    <row r="21" spans="1:17" x14ac:dyDescent="0.35">
      <c r="A21" s="2">
        <v>10</v>
      </c>
      <c r="B21" s="5" t="s">
        <v>33</v>
      </c>
      <c r="C21" s="6">
        <f>L70</f>
        <v>130.4964705882353</v>
      </c>
      <c r="D21" s="6">
        <f>L46</f>
        <v>1</v>
      </c>
      <c r="E21" s="16">
        <f t="shared" si="0"/>
        <v>130.4964705882353</v>
      </c>
      <c r="F21" s="9">
        <f t="shared" si="1"/>
        <v>2.1749411764705884</v>
      </c>
      <c r="G21" s="18">
        <f t="shared" si="2"/>
        <v>27.58695299399578</v>
      </c>
    </row>
    <row r="22" spans="1:17" x14ac:dyDescent="0.35">
      <c r="A22" s="2">
        <v>11</v>
      </c>
      <c r="B22" s="5" t="s">
        <v>34</v>
      </c>
      <c r="C22" s="6">
        <f>M70</f>
        <v>111.8</v>
      </c>
      <c r="D22" s="6">
        <f>M46</f>
        <v>1</v>
      </c>
      <c r="E22" s="16">
        <f t="shared" si="0"/>
        <v>111.8</v>
      </c>
      <c r="F22" s="9">
        <f t="shared" si="1"/>
        <v>1.8633333333333333</v>
      </c>
      <c r="G22" s="18">
        <f t="shared" si="2"/>
        <v>32.200357781753134</v>
      </c>
    </row>
    <row r="23" spans="1:17" x14ac:dyDescent="0.35">
      <c r="A23" s="2">
        <v>12</v>
      </c>
      <c r="B23" s="5" t="s">
        <v>35</v>
      </c>
      <c r="C23" s="6">
        <f>N70</f>
        <v>27.729411764705883</v>
      </c>
      <c r="D23" s="6">
        <f>N46</f>
        <v>1</v>
      </c>
      <c r="E23" s="16">
        <f t="shared" si="0"/>
        <v>27.729411764705883</v>
      </c>
      <c r="F23" s="9">
        <f t="shared" si="1"/>
        <v>0.46215686274509804</v>
      </c>
      <c r="G23" s="18">
        <f t="shared" si="2"/>
        <v>129.82605006364022</v>
      </c>
    </row>
    <row r="24" spans="1:17" x14ac:dyDescent="0.35">
      <c r="A24" s="2">
        <v>13</v>
      </c>
      <c r="B24" s="5" t="s">
        <v>36</v>
      </c>
      <c r="C24" s="6">
        <f>P70</f>
        <v>52.135294117647057</v>
      </c>
      <c r="D24" s="6">
        <f>P46</f>
        <v>1</v>
      </c>
      <c r="E24" s="16">
        <f t="shared" si="0"/>
        <v>52.135294117647057</v>
      </c>
      <c r="F24" s="9">
        <f t="shared" si="1"/>
        <v>0.86892156862745096</v>
      </c>
      <c r="G24" s="18">
        <f t="shared" si="2"/>
        <v>69.051111361841365</v>
      </c>
    </row>
    <row r="25" spans="1:17" x14ac:dyDescent="0.35">
      <c r="A25" s="2">
        <v>14</v>
      </c>
      <c r="B25" s="5" t="s">
        <v>37</v>
      </c>
      <c r="C25" s="6">
        <f>Q70</f>
        <v>6.8855614973262034</v>
      </c>
      <c r="D25" s="6">
        <f>Q46</f>
        <v>1</v>
      </c>
      <c r="E25" s="16">
        <f t="shared" si="0"/>
        <v>6.8855614973262034</v>
      </c>
      <c r="F25" s="9">
        <f t="shared" si="1"/>
        <v>0.11475935828877006</v>
      </c>
      <c r="G25" s="18">
        <f t="shared" si="2"/>
        <v>522.83317800559178</v>
      </c>
    </row>
    <row r="26" spans="1:17" x14ac:dyDescent="0.35">
      <c r="A26" s="2">
        <v>15</v>
      </c>
      <c r="B26" s="5" t="s">
        <v>38</v>
      </c>
      <c r="C26" s="6">
        <f>R70</f>
        <v>8.1437908496732021</v>
      </c>
      <c r="D26" s="6">
        <f>R46</f>
        <v>1</v>
      </c>
      <c r="E26" s="16">
        <f t="shared" si="0"/>
        <v>8.1437908496732021</v>
      </c>
      <c r="F26" s="9">
        <f t="shared" si="1"/>
        <v>0.13572984749455336</v>
      </c>
      <c r="G26" s="18">
        <f t="shared" si="2"/>
        <v>442.05457463884431</v>
      </c>
    </row>
    <row r="27" spans="1:17" x14ac:dyDescent="0.35">
      <c r="A27" s="2">
        <v>16</v>
      </c>
      <c r="B27" s="5" t="s">
        <v>39</v>
      </c>
      <c r="C27" s="6">
        <f>S70</f>
        <v>28.849019607843143</v>
      </c>
      <c r="D27" s="6">
        <f>S46</f>
        <v>1</v>
      </c>
      <c r="E27" s="16">
        <f t="shared" si="0"/>
        <v>28.849019607843143</v>
      </c>
      <c r="F27" s="9">
        <f t="shared" si="1"/>
        <v>0.48081699346405238</v>
      </c>
      <c r="G27" s="18">
        <f t="shared" si="2"/>
        <v>124.78760280024466</v>
      </c>
    </row>
    <row r="28" spans="1:17" x14ac:dyDescent="0.35">
      <c r="A28" s="2">
        <v>17</v>
      </c>
      <c r="B28" s="5" t="s">
        <v>40</v>
      </c>
      <c r="C28" s="6">
        <f>T70</f>
        <v>539.61176470588236</v>
      </c>
      <c r="D28" s="6">
        <f>T46</f>
        <v>2</v>
      </c>
      <c r="E28" s="16">
        <f>C28*D28</f>
        <v>1079.2235294117647</v>
      </c>
      <c r="F28" s="19">
        <f t="shared" ref="F28:F36" si="3">C28/60</f>
        <v>8.9935294117647064</v>
      </c>
      <c r="G28" s="20">
        <f t="shared" si="2"/>
        <v>6.6714631434364575</v>
      </c>
      <c r="H28" s="1">
        <f>AVERAGE(T77:T81)</f>
        <v>8.4879999999999995</v>
      </c>
      <c r="I28" s="1">
        <f>H28*60</f>
        <v>509.28</v>
      </c>
      <c r="J28" s="7">
        <f>3600/I28</f>
        <v>7.0688030160226205</v>
      </c>
      <c r="K28" s="8">
        <f>H28/0.85</f>
        <v>9.9858823529411769</v>
      </c>
      <c r="L28" s="8">
        <f>K28*60</f>
        <v>599.15294117647056</v>
      </c>
      <c r="M28" s="9">
        <f>3600/L28</f>
        <v>6.0084825636192276</v>
      </c>
      <c r="Q28">
        <v>4</v>
      </c>
    </row>
    <row r="29" spans="1:17" x14ac:dyDescent="0.35">
      <c r="A29" s="2">
        <v>18</v>
      </c>
      <c r="B29" s="5" t="s">
        <v>41</v>
      </c>
      <c r="C29" s="6">
        <f>U70</f>
        <v>2117.6470588235293</v>
      </c>
      <c r="D29" s="6">
        <f>U46</f>
        <v>1</v>
      </c>
      <c r="E29" s="16">
        <f t="shared" si="0"/>
        <v>2117.6470588235293</v>
      </c>
      <c r="F29" s="19">
        <f t="shared" si="3"/>
        <v>35.294117647058819</v>
      </c>
      <c r="G29" s="20">
        <f t="shared" si="2"/>
        <v>1.7000000000000002</v>
      </c>
      <c r="H29" s="1">
        <f>AVERAGE(U77:U81)</f>
        <v>6.6499999999999995</v>
      </c>
      <c r="I29" s="1">
        <f>H29*60</f>
        <v>398.99999999999994</v>
      </c>
      <c r="J29" s="7">
        <f>3600/I29</f>
        <v>9.0225563909774458</v>
      </c>
      <c r="K29" s="8">
        <f>H29/0.85</f>
        <v>7.8235294117647056</v>
      </c>
      <c r="L29" s="8">
        <f>K29*60</f>
        <v>469.41176470588232</v>
      </c>
      <c r="M29" s="9">
        <f>3600/L29</f>
        <v>7.6691729323308273</v>
      </c>
      <c r="Q29">
        <v>1</v>
      </c>
    </row>
    <row r="30" spans="1:17" x14ac:dyDescent="0.35">
      <c r="A30" s="2">
        <v>19</v>
      </c>
      <c r="B30" s="5" t="s">
        <v>42</v>
      </c>
      <c r="C30" s="6">
        <f>V70</f>
        <v>259.75686274509803</v>
      </c>
      <c r="D30" s="6">
        <f>V46</f>
        <v>2</v>
      </c>
      <c r="E30" s="16">
        <f t="shared" si="0"/>
        <v>519.51372549019607</v>
      </c>
      <c r="F30" s="9">
        <f t="shared" si="3"/>
        <v>4.3292810457516335</v>
      </c>
      <c r="G30" s="18">
        <f t="shared" si="2"/>
        <v>13.859114103686705</v>
      </c>
      <c r="H30" s="1"/>
      <c r="I30" s="1"/>
      <c r="J30" s="7"/>
      <c r="K30" s="8"/>
      <c r="L30" s="8"/>
      <c r="M30" s="9"/>
    </row>
    <row r="31" spans="1:17" x14ac:dyDescent="0.35">
      <c r="B31" s="5" t="s">
        <v>43</v>
      </c>
      <c r="C31" s="6">
        <f>W70</f>
        <v>85.117647058823522</v>
      </c>
      <c r="D31" s="6">
        <f>W46</f>
        <v>1</v>
      </c>
      <c r="E31" s="16">
        <f t="shared" si="0"/>
        <v>85.117647058823522</v>
      </c>
      <c r="F31" s="9">
        <f t="shared" si="3"/>
        <v>1.418627450980392</v>
      </c>
      <c r="G31" s="18">
        <f t="shared" si="2"/>
        <v>42.294402211472011</v>
      </c>
      <c r="H31" s="1"/>
      <c r="I31" s="1"/>
      <c r="J31" s="7"/>
      <c r="K31" s="8"/>
      <c r="L31" s="8"/>
      <c r="M31" s="9"/>
    </row>
    <row r="32" spans="1:17" x14ac:dyDescent="0.35">
      <c r="A32" s="2">
        <v>20</v>
      </c>
      <c r="B32" s="10" t="s">
        <v>44</v>
      </c>
      <c r="C32" s="6">
        <v>339.02647058823533</v>
      </c>
      <c r="D32" s="6">
        <v>2</v>
      </c>
      <c r="E32" s="16">
        <f t="shared" si="0"/>
        <v>678.05294117647065</v>
      </c>
      <c r="F32" s="9">
        <f t="shared" si="3"/>
        <v>5.6504411764705891</v>
      </c>
      <c r="G32" s="18">
        <f t="shared" si="2"/>
        <v>10.618639877156911</v>
      </c>
      <c r="H32" s="1"/>
      <c r="I32" s="1"/>
      <c r="J32" s="7"/>
      <c r="K32" s="8"/>
      <c r="L32" s="8"/>
      <c r="M32" s="9"/>
    </row>
    <row r="33" spans="1:32" x14ac:dyDescent="0.35">
      <c r="A33" s="2">
        <v>21</v>
      </c>
      <c r="B33" s="5" t="s">
        <v>45</v>
      </c>
      <c r="C33" s="6">
        <f>Y70</f>
        <v>187.91764705882355</v>
      </c>
      <c r="D33" s="6">
        <f>Y46</f>
        <v>2</v>
      </c>
      <c r="E33" s="16">
        <f t="shared" si="0"/>
        <v>375.83529411764709</v>
      </c>
      <c r="F33" s="9">
        <f t="shared" si="3"/>
        <v>3.1319607843137258</v>
      </c>
      <c r="G33" s="18">
        <f t="shared" si="2"/>
        <v>19.157327990984786</v>
      </c>
      <c r="H33" s="1"/>
      <c r="I33" s="1"/>
      <c r="J33" s="7"/>
      <c r="K33" s="8"/>
      <c r="L33" s="8"/>
      <c r="M33" s="9"/>
    </row>
    <row r="34" spans="1:32" x14ac:dyDescent="0.35">
      <c r="A34" s="2">
        <v>22</v>
      </c>
      <c r="B34" s="5" t="s">
        <v>46</v>
      </c>
      <c r="C34" s="6">
        <f>Z70</f>
        <v>118.94117647058823</v>
      </c>
      <c r="D34" s="6">
        <f>Z46</f>
        <v>1</v>
      </c>
      <c r="E34" s="16">
        <f t="shared" si="0"/>
        <v>118.94117647058823</v>
      </c>
      <c r="F34" s="9">
        <f t="shared" si="3"/>
        <v>1.9823529411764704</v>
      </c>
      <c r="G34" s="18">
        <f t="shared" si="2"/>
        <v>30.267062314540059</v>
      </c>
      <c r="H34" s="1"/>
      <c r="I34" s="1"/>
      <c r="J34" s="7"/>
      <c r="K34" s="8"/>
      <c r="L34" s="8"/>
      <c r="M34" s="9"/>
    </row>
    <row r="35" spans="1:32" x14ac:dyDescent="0.35">
      <c r="A35" s="2">
        <v>23</v>
      </c>
      <c r="B35" s="5" t="s">
        <v>47</v>
      </c>
      <c r="C35" s="6">
        <f>AA70</f>
        <v>270.91764705882355</v>
      </c>
      <c r="D35" s="6">
        <f>AA46</f>
        <v>2</v>
      </c>
      <c r="E35" s="16">
        <f t="shared" si="0"/>
        <v>541.83529411764709</v>
      </c>
      <c r="F35" s="9">
        <f t="shared" si="3"/>
        <v>4.5152941176470591</v>
      </c>
      <c r="G35" s="18">
        <f t="shared" si="2"/>
        <v>13.288170922355393</v>
      </c>
      <c r="H35" s="1"/>
      <c r="I35" s="1"/>
      <c r="J35" s="7"/>
      <c r="K35" s="8"/>
      <c r="L35" s="8"/>
      <c r="M35" s="9"/>
    </row>
    <row r="36" spans="1:32" ht="29" x14ac:dyDescent="0.35">
      <c r="A36" s="2">
        <v>24</v>
      </c>
      <c r="B36" s="5" t="s">
        <v>48</v>
      </c>
      <c r="C36" s="6">
        <f>AB70</f>
        <v>835.08235294117651</v>
      </c>
      <c r="D36" s="6">
        <f>AB46</f>
        <v>3</v>
      </c>
      <c r="E36" s="16">
        <f t="shared" si="0"/>
        <v>2505.2470588235296</v>
      </c>
      <c r="F36" s="19">
        <f t="shared" si="3"/>
        <v>13.918039215686274</v>
      </c>
      <c r="G36" s="20">
        <f t="shared" si="2"/>
        <v>4.3109520723563719</v>
      </c>
      <c r="H36" s="1">
        <f>AVERAGE(AB77:AB80)</f>
        <v>8.3350000000000009</v>
      </c>
      <c r="I36" s="1">
        <f>H36*60</f>
        <v>500.1</v>
      </c>
      <c r="J36" s="7">
        <f>3600/I36</f>
        <v>7.1985602879424109</v>
      </c>
      <c r="K36" s="8">
        <f>H36/0.85</f>
        <v>9.8058823529411772</v>
      </c>
      <c r="L36" s="8">
        <f>K36*60</f>
        <v>588.35294117647061</v>
      </c>
      <c r="M36" s="9">
        <f>3600/L36</f>
        <v>6.1187762447510492</v>
      </c>
      <c r="Q36">
        <v>4</v>
      </c>
    </row>
    <row r="37" spans="1:32" x14ac:dyDescent="0.35">
      <c r="A37" s="2">
        <v>25</v>
      </c>
      <c r="B37" s="5" t="s">
        <v>49</v>
      </c>
      <c r="C37" s="6">
        <f>AC70</f>
        <v>144.8235294117647</v>
      </c>
      <c r="D37" s="6">
        <f>AC46</f>
        <v>1</v>
      </c>
      <c r="E37" s="16">
        <f t="shared" si="0"/>
        <v>144.8235294117647</v>
      </c>
      <c r="F37" s="9">
        <f t="shared" ref="F37:F40" si="4">C37/60</f>
        <v>2.4137254901960783</v>
      </c>
      <c r="G37" s="18">
        <f t="shared" si="2"/>
        <v>24.857839155158409</v>
      </c>
    </row>
    <row r="38" spans="1:32" x14ac:dyDescent="0.35">
      <c r="A38" s="2">
        <v>26</v>
      </c>
      <c r="B38" s="5" t="s">
        <v>50</v>
      </c>
      <c r="C38" s="6">
        <f>AD70</f>
        <v>154.57647058823528</v>
      </c>
      <c r="D38" s="6">
        <f>AD46</f>
        <v>1</v>
      </c>
      <c r="E38" s="16">
        <f t="shared" si="0"/>
        <v>154.57647058823528</v>
      </c>
      <c r="F38" s="9">
        <f t="shared" si="4"/>
        <v>2.5762745098039215</v>
      </c>
      <c r="G38" s="18">
        <f t="shared" si="2"/>
        <v>23.289443641068576</v>
      </c>
    </row>
    <row r="39" spans="1:32" x14ac:dyDescent="0.35">
      <c r="A39" s="2">
        <v>27</v>
      </c>
      <c r="B39" s="5" t="s">
        <v>51</v>
      </c>
      <c r="C39" s="6">
        <f>AE70</f>
        <v>80.2470588235294</v>
      </c>
      <c r="D39" s="6">
        <f>AE46</f>
        <v>2</v>
      </c>
      <c r="E39" s="16">
        <f t="shared" si="0"/>
        <v>160.4941176470588</v>
      </c>
      <c r="F39" s="9">
        <f t="shared" si="4"/>
        <v>1.3374509803921566</v>
      </c>
      <c r="G39" s="18">
        <f t="shared" si="2"/>
        <v>44.861457264330753</v>
      </c>
    </row>
    <row r="40" spans="1:32" x14ac:dyDescent="0.35">
      <c r="A40" s="2">
        <v>28</v>
      </c>
      <c r="B40" s="5" t="s">
        <v>52</v>
      </c>
      <c r="C40" s="6">
        <f>AF70</f>
        <v>265.81176470588235</v>
      </c>
      <c r="D40" s="6">
        <f>AF46</f>
        <v>1</v>
      </c>
      <c r="E40" s="16">
        <f t="shared" si="0"/>
        <v>265.81176470588235</v>
      </c>
      <c r="F40" s="9">
        <f t="shared" si="4"/>
        <v>4.430196078431373</v>
      </c>
      <c r="G40" s="18">
        <f t="shared" si="2"/>
        <v>13.543418606709746</v>
      </c>
    </row>
    <row r="41" spans="1:32" x14ac:dyDescent="0.35">
      <c r="A41" s="2"/>
      <c r="B41" s="5" t="s">
        <v>53</v>
      </c>
      <c r="C41" s="6">
        <f>ROUND(SUM(C12:C40),2)</f>
        <v>6842.67</v>
      </c>
      <c r="D41" s="6">
        <f>ROUND(SUM(D12:D40),2)</f>
        <v>37</v>
      </c>
      <c r="E41" s="16">
        <f>SUM(E12:E40)</f>
        <v>10190.310066632714</v>
      </c>
      <c r="F41" s="9">
        <f>E41/3600</f>
        <v>2.8306416851757539</v>
      </c>
      <c r="G41" s="18"/>
    </row>
    <row r="43" spans="1:32" x14ac:dyDescent="0.35">
      <c r="A43" s="6" t="s">
        <v>54</v>
      </c>
      <c r="B43" s="6" t="s">
        <v>55</v>
      </c>
      <c r="C43" s="6" t="s">
        <v>55</v>
      </c>
      <c r="D43" s="6" t="s">
        <v>56</v>
      </c>
      <c r="E43" s="6" t="s">
        <v>56</v>
      </c>
      <c r="F43" s="6" t="s">
        <v>56</v>
      </c>
      <c r="G43" s="6" t="s">
        <v>56</v>
      </c>
      <c r="H43" s="6" t="s">
        <v>55</v>
      </c>
      <c r="I43" s="6" t="s">
        <v>56</v>
      </c>
      <c r="J43" s="6"/>
      <c r="K43" s="6" t="s">
        <v>56</v>
      </c>
      <c r="L43" s="6" t="s">
        <v>56</v>
      </c>
      <c r="M43" s="6" t="s">
        <v>56</v>
      </c>
      <c r="N43" s="6" t="s">
        <v>55</v>
      </c>
      <c r="O43" s="6"/>
      <c r="P43" s="6" t="s">
        <v>55</v>
      </c>
      <c r="Q43" s="6" t="s">
        <v>56</v>
      </c>
      <c r="R43" s="6" t="s">
        <v>56</v>
      </c>
      <c r="S43" s="6" t="s">
        <v>56</v>
      </c>
      <c r="T43" s="6" t="s">
        <v>56</v>
      </c>
      <c r="U43" s="6" t="s">
        <v>56</v>
      </c>
      <c r="V43" s="6" t="s">
        <v>55</v>
      </c>
      <c r="W43" s="6" t="s">
        <v>56</v>
      </c>
      <c r="X43" s="6" t="s">
        <v>55</v>
      </c>
      <c r="Y43" s="6" t="s">
        <v>55</v>
      </c>
      <c r="Z43" s="6" t="s">
        <v>56</v>
      </c>
      <c r="AA43" s="6" t="s">
        <v>55</v>
      </c>
      <c r="AB43" s="6" t="s">
        <v>56</v>
      </c>
      <c r="AC43" s="6" t="s">
        <v>56</v>
      </c>
      <c r="AD43" s="6" t="s">
        <v>55</v>
      </c>
      <c r="AE43" s="6" t="s">
        <v>56</v>
      </c>
      <c r="AF43" s="6" t="s">
        <v>56</v>
      </c>
    </row>
    <row r="44" spans="1:32" x14ac:dyDescent="0.35">
      <c r="A44" s="6" t="s">
        <v>57</v>
      </c>
      <c r="B44" s="6" t="s">
        <v>58</v>
      </c>
      <c r="C44" s="6" t="s">
        <v>58</v>
      </c>
      <c r="D44" s="6" t="s">
        <v>58</v>
      </c>
      <c r="E44" s="6" t="s">
        <v>58</v>
      </c>
      <c r="F44" s="6" t="s">
        <v>58</v>
      </c>
      <c r="G44" s="6" t="s">
        <v>58</v>
      </c>
      <c r="H44" s="6" t="s">
        <v>58</v>
      </c>
      <c r="I44" s="6" t="s">
        <v>58</v>
      </c>
      <c r="J44" s="6"/>
      <c r="K44" s="6" t="s">
        <v>58</v>
      </c>
      <c r="L44" s="6" t="s">
        <v>58</v>
      </c>
      <c r="M44" s="6" t="s">
        <v>58</v>
      </c>
      <c r="N44" s="6" t="s">
        <v>58</v>
      </c>
      <c r="O44" s="6"/>
      <c r="P44" s="6" t="s">
        <v>58</v>
      </c>
      <c r="Q44" s="6" t="s">
        <v>58</v>
      </c>
      <c r="R44" s="6" t="s">
        <v>58</v>
      </c>
      <c r="S44" s="6" t="s">
        <v>58</v>
      </c>
      <c r="T44" s="6" t="s">
        <v>58</v>
      </c>
      <c r="U44" s="6" t="s">
        <v>58</v>
      </c>
      <c r="V44" s="6" t="s">
        <v>58</v>
      </c>
      <c r="W44" s="6" t="s">
        <v>59</v>
      </c>
      <c r="X44" s="6" t="s">
        <v>58</v>
      </c>
      <c r="Y44" s="6" t="s">
        <v>58</v>
      </c>
      <c r="Z44" s="6" t="s">
        <v>59</v>
      </c>
      <c r="AA44" s="6" t="s">
        <v>58</v>
      </c>
      <c r="AB44" s="6" t="s">
        <v>58</v>
      </c>
      <c r="AC44" s="6" t="s">
        <v>58</v>
      </c>
      <c r="AD44" s="6" t="s">
        <v>58</v>
      </c>
      <c r="AE44" s="6" t="s">
        <v>59</v>
      </c>
      <c r="AF44" s="6" t="s">
        <v>59</v>
      </c>
    </row>
    <row r="45" spans="1:32" x14ac:dyDescent="0.35">
      <c r="A45" s="6" t="s">
        <v>60</v>
      </c>
      <c r="B45" s="6">
        <v>1</v>
      </c>
      <c r="C45" s="6">
        <v>1</v>
      </c>
      <c r="D45" s="6">
        <v>1</v>
      </c>
      <c r="E45" s="6">
        <v>2</v>
      </c>
      <c r="F45" s="6">
        <v>1</v>
      </c>
      <c r="G45" s="6">
        <v>1</v>
      </c>
      <c r="H45" s="6">
        <v>1</v>
      </c>
      <c r="I45" s="6">
        <v>1</v>
      </c>
      <c r="J45" s="6"/>
      <c r="K45" s="6">
        <v>1</v>
      </c>
      <c r="L45" s="6">
        <f>1/5</f>
        <v>0.2</v>
      </c>
      <c r="M45" s="6">
        <v>1</v>
      </c>
      <c r="N45" s="6">
        <v>2</v>
      </c>
      <c r="O45" s="6"/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</row>
    <row r="46" spans="1:32" x14ac:dyDescent="0.35">
      <c r="A46" s="6" t="s">
        <v>16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/>
      <c r="K46" s="6">
        <v>1</v>
      </c>
      <c r="L46" s="6">
        <v>1</v>
      </c>
      <c r="M46" s="6">
        <v>1</v>
      </c>
      <c r="N46" s="6">
        <v>1</v>
      </c>
      <c r="O46" s="6"/>
      <c r="P46" s="6">
        <v>1</v>
      </c>
      <c r="Q46" s="6">
        <v>1</v>
      </c>
      <c r="R46" s="6">
        <v>1</v>
      </c>
      <c r="S46" s="6">
        <v>1</v>
      </c>
      <c r="T46" s="6">
        <v>2</v>
      </c>
      <c r="U46" s="6">
        <v>1</v>
      </c>
      <c r="V46" s="6">
        <v>2</v>
      </c>
      <c r="W46" s="6">
        <v>1</v>
      </c>
      <c r="X46" s="6">
        <v>2</v>
      </c>
      <c r="Y46" s="6">
        <v>2</v>
      </c>
      <c r="Z46" s="6">
        <v>1</v>
      </c>
      <c r="AA46" s="6">
        <v>2</v>
      </c>
      <c r="AB46" s="6">
        <v>3</v>
      </c>
      <c r="AC46" s="6">
        <v>1</v>
      </c>
      <c r="AD46" s="6">
        <v>1</v>
      </c>
      <c r="AE46" s="6">
        <v>2</v>
      </c>
      <c r="AF46" s="6">
        <v>1</v>
      </c>
    </row>
    <row r="47" spans="1:32" ht="87" x14ac:dyDescent="0.35">
      <c r="A47" s="6" t="s">
        <v>14</v>
      </c>
      <c r="B47" s="6" t="s">
        <v>24</v>
      </c>
      <c r="C47" s="6" t="s">
        <v>25</v>
      </c>
      <c r="D47" s="6" t="s">
        <v>26</v>
      </c>
      <c r="E47" s="6" t="s">
        <v>27</v>
      </c>
      <c r="F47" s="6" t="s">
        <v>28</v>
      </c>
      <c r="G47" s="6" t="s">
        <v>29</v>
      </c>
      <c r="H47" s="6" t="s">
        <v>30</v>
      </c>
      <c r="I47" s="6" t="s">
        <v>31</v>
      </c>
      <c r="J47" s="6"/>
      <c r="K47" s="6" t="s">
        <v>32</v>
      </c>
      <c r="L47" s="6" t="s">
        <v>33</v>
      </c>
      <c r="M47" s="6" t="s">
        <v>34</v>
      </c>
      <c r="N47" s="6" t="s">
        <v>35</v>
      </c>
      <c r="O47" s="6"/>
      <c r="P47" s="6" t="s">
        <v>36</v>
      </c>
      <c r="Q47" s="6" t="s">
        <v>37</v>
      </c>
      <c r="R47" s="6" t="s">
        <v>38</v>
      </c>
      <c r="S47" s="6" t="s">
        <v>39</v>
      </c>
      <c r="T47" s="6" t="s">
        <v>40</v>
      </c>
      <c r="U47" s="6" t="s">
        <v>41</v>
      </c>
      <c r="V47" s="6" t="s">
        <v>42</v>
      </c>
      <c r="W47" s="6" t="s">
        <v>43</v>
      </c>
      <c r="X47" s="6" t="s">
        <v>61</v>
      </c>
      <c r="Y47" s="6" t="s">
        <v>45</v>
      </c>
      <c r="Z47" s="6" t="s">
        <v>46</v>
      </c>
      <c r="AA47" s="6" t="s">
        <v>47</v>
      </c>
      <c r="AB47" s="6" t="s">
        <v>48</v>
      </c>
      <c r="AC47" s="6" t="s">
        <v>49</v>
      </c>
      <c r="AD47" s="6" t="s">
        <v>50</v>
      </c>
      <c r="AE47" s="6" t="s">
        <v>51</v>
      </c>
      <c r="AF47" s="6" t="s">
        <v>52</v>
      </c>
    </row>
    <row r="48" spans="1:32" x14ac:dyDescent="0.35">
      <c r="A48" s="11">
        <v>1</v>
      </c>
      <c r="B48" s="6">
        <v>70.790000000000006</v>
      </c>
      <c r="C48" s="6">
        <v>92.84</v>
      </c>
      <c r="D48" s="6">
        <v>271.01</v>
      </c>
      <c r="E48" s="6">
        <v>173.54</v>
      </c>
      <c r="F48" s="6">
        <v>6.98</v>
      </c>
      <c r="G48" s="6">
        <v>48.48</v>
      </c>
      <c r="H48" s="6">
        <v>19.62</v>
      </c>
      <c r="I48" s="6">
        <v>73.099999999999994</v>
      </c>
      <c r="J48" s="6"/>
      <c r="K48" s="6">
        <v>27.16</v>
      </c>
      <c r="L48" s="6">
        <v>554.61</v>
      </c>
      <c r="M48" s="6">
        <v>83.14</v>
      </c>
      <c r="N48" s="6">
        <v>11.88</v>
      </c>
      <c r="O48" s="6"/>
      <c r="P48" s="6">
        <v>52.04</v>
      </c>
      <c r="Q48" s="6">
        <v>7.87</v>
      </c>
      <c r="R48" s="6">
        <v>6.19</v>
      </c>
      <c r="S48" s="6">
        <v>22.35</v>
      </c>
      <c r="T48" s="6">
        <v>458.67</v>
      </c>
      <c r="U48" s="6">
        <v>1800</v>
      </c>
      <c r="V48" s="6">
        <v>251.53</v>
      </c>
      <c r="W48" s="6">
        <v>72.349999999999994</v>
      </c>
      <c r="X48" s="6"/>
      <c r="Y48" s="6">
        <v>163.28</v>
      </c>
      <c r="Z48" s="6">
        <v>101.1</v>
      </c>
      <c r="AA48" s="6">
        <v>230.28</v>
      </c>
      <c r="AB48" s="6">
        <v>709.82</v>
      </c>
      <c r="AC48" s="6">
        <v>123.1</v>
      </c>
      <c r="AD48" s="6">
        <v>131.38999999999999</v>
      </c>
      <c r="AE48" s="6">
        <v>68.209999999999994</v>
      </c>
      <c r="AF48" s="6">
        <v>225.94</v>
      </c>
    </row>
    <row r="49" spans="1:32" x14ac:dyDescent="0.35">
      <c r="A49" s="11">
        <v>2</v>
      </c>
      <c r="B49" s="6">
        <v>67.03</v>
      </c>
      <c r="C49" s="6"/>
      <c r="D49" s="6">
        <v>308.36</v>
      </c>
      <c r="E49" s="6">
        <v>141.38</v>
      </c>
      <c r="F49" s="6">
        <v>4.9000000000000004</v>
      </c>
      <c r="G49" s="6">
        <v>28.49</v>
      </c>
      <c r="H49" s="6">
        <v>19.649999999999999</v>
      </c>
      <c r="I49" s="6">
        <v>78.23</v>
      </c>
      <c r="J49" s="6"/>
      <c r="K49" s="6">
        <v>30.25</v>
      </c>
      <c r="L49" s="6"/>
      <c r="M49" s="6">
        <v>106.92</v>
      </c>
      <c r="N49" s="6">
        <v>14.11</v>
      </c>
      <c r="O49" s="6"/>
      <c r="P49" s="6">
        <v>44.12</v>
      </c>
      <c r="Q49" s="6">
        <v>3.8</v>
      </c>
      <c r="R49" s="6">
        <v>7.68</v>
      </c>
      <c r="S49" s="6">
        <v>22.92</v>
      </c>
      <c r="T49" s="6"/>
      <c r="U49" s="6"/>
      <c r="V49" s="6">
        <v>214.4</v>
      </c>
      <c r="W49" s="6"/>
      <c r="X49" s="6">
        <v>259.68</v>
      </c>
      <c r="Y49" s="6">
        <v>156.18</v>
      </c>
      <c r="Z49" s="6"/>
      <c r="AA49" s="6"/>
      <c r="AB49" s="6"/>
      <c r="AC49" s="6"/>
      <c r="AD49" s="6"/>
      <c r="AE49" s="6"/>
      <c r="AF49" s="6"/>
    </row>
    <row r="50" spans="1:32" x14ac:dyDescent="0.35">
      <c r="A50" s="11">
        <v>3</v>
      </c>
      <c r="B50" s="6"/>
      <c r="C50" s="6"/>
      <c r="D50" s="6"/>
      <c r="E50" s="6"/>
      <c r="F50" s="6">
        <v>4.28</v>
      </c>
      <c r="G50" s="6">
        <v>20.45</v>
      </c>
      <c r="H50" s="6">
        <v>20.149999999999999</v>
      </c>
      <c r="I50" s="6">
        <v>56.74</v>
      </c>
      <c r="J50" s="6"/>
      <c r="K50" s="6">
        <v>24.41</v>
      </c>
      <c r="L50" s="6"/>
      <c r="M50" s="6"/>
      <c r="N50" s="6">
        <v>12.05</v>
      </c>
      <c r="O50" s="6"/>
      <c r="P50" s="6">
        <v>43.48</v>
      </c>
      <c r="Q50" s="6">
        <v>7.42</v>
      </c>
      <c r="R50" s="6">
        <v>8.1999999999999993</v>
      </c>
      <c r="S50" s="6">
        <v>21.72</v>
      </c>
      <c r="T50" s="6"/>
      <c r="V50" s="6">
        <v>196.45</v>
      </c>
      <c r="W50" s="6"/>
      <c r="X50" s="6">
        <v>272.01</v>
      </c>
      <c r="Y50" s="6"/>
      <c r="Z50" s="6"/>
      <c r="AA50" s="6"/>
      <c r="AB50" s="6"/>
      <c r="AC50" s="6"/>
      <c r="AD50" s="6"/>
      <c r="AE50" s="6"/>
      <c r="AF50" s="6"/>
    </row>
    <row r="51" spans="1:32" x14ac:dyDescent="0.35">
      <c r="A51" s="11">
        <v>4</v>
      </c>
      <c r="B51" s="6"/>
      <c r="C51" s="6"/>
      <c r="D51" s="6"/>
      <c r="E51" s="6"/>
      <c r="F51" s="6">
        <v>4.33</v>
      </c>
      <c r="G51" s="6">
        <v>27.7</v>
      </c>
      <c r="H51" s="6">
        <v>17.989999999999998</v>
      </c>
      <c r="I51" s="6">
        <v>64.540000000000006</v>
      </c>
      <c r="J51" s="6"/>
      <c r="K51" s="6">
        <v>24.17</v>
      </c>
      <c r="L51" s="6"/>
      <c r="M51" s="6"/>
      <c r="N51" s="6">
        <v>11.53</v>
      </c>
      <c r="O51" s="6"/>
      <c r="P51" s="6">
        <v>37.619999999999997</v>
      </c>
      <c r="Q51" s="6">
        <v>6.57</v>
      </c>
      <c r="R51" s="6">
        <v>3.11</v>
      </c>
      <c r="S51" s="6">
        <v>28.37</v>
      </c>
      <c r="T51" s="6"/>
      <c r="U51" s="6"/>
      <c r="V51" s="6"/>
      <c r="W51" s="6"/>
      <c r="X51" s="6">
        <v>294.22000000000003</v>
      </c>
      <c r="Y51" s="6"/>
      <c r="Z51" s="6"/>
      <c r="AA51" s="6"/>
      <c r="AB51" s="6"/>
      <c r="AC51" s="6"/>
      <c r="AD51" s="6"/>
      <c r="AE51" s="6"/>
      <c r="AF51" s="6"/>
    </row>
    <row r="52" spans="1:32" x14ac:dyDescent="0.35">
      <c r="A52" s="11">
        <v>5</v>
      </c>
      <c r="B52" s="6"/>
      <c r="C52" s="6"/>
      <c r="D52" s="6"/>
      <c r="E52" s="6"/>
      <c r="F52" s="6">
        <v>3.59</v>
      </c>
      <c r="G52" s="6">
        <v>31.2</v>
      </c>
      <c r="H52" s="6">
        <v>34</v>
      </c>
      <c r="I52" s="6"/>
      <c r="J52" s="6"/>
      <c r="K52" s="6"/>
      <c r="L52" s="6"/>
      <c r="M52" s="6"/>
      <c r="N52" s="6">
        <v>11.61</v>
      </c>
      <c r="O52" s="6"/>
      <c r="P52" s="6"/>
      <c r="Q52" s="6">
        <v>5.91</v>
      </c>
      <c r="R52" s="6">
        <v>9.77</v>
      </c>
      <c r="S52" s="6">
        <v>21.9</v>
      </c>
      <c r="T52" s="6"/>
      <c r="U52" s="6"/>
      <c r="V52" s="6"/>
      <c r="W52" s="6"/>
      <c r="X52" s="6">
        <v>326.77999999999997</v>
      </c>
      <c r="Y52" s="6"/>
      <c r="Z52" s="6"/>
      <c r="AA52" s="6"/>
      <c r="AB52" s="6"/>
      <c r="AC52" s="6"/>
      <c r="AD52" s="6"/>
      <c r="AE52" s="6"/>
      <c r="AF52" s="6"/>
    </row>
    <row r="53" spans="1:32" x14ac:dyDescent="0.35">
      <c r="A53" s="11">
        <v>6</v>
      </c>
      <c r="B53" s="6"/>
      <c r="C53" s="6"/>
      <c r="D53" s="6"/>
      <c r="E53" s="6"/>
      <c r="F53" s="6">
        <v>6.6</v>
      </c>
      <c r="G53" s="6">
        <v>27.59</v>
      </c>
      <c r="H53" s="6">
        <v>20.36</v>
      </c>
      <c r="I53" s="6"/>
      <c r="J53" s="6"/>
      <c r="K53" s="6"/>
      <c r="L53" s="6"/>
      <c r="M53" s="6"/>
      <c r="N53" s="6">
        <v>10.42</v>
      </c>
      <c r="O53" s="6"/>
      <c r="P53" s="6"/>
      <c r="Q53" s="6">
        <v>5.0999999999999996</v>
      </c>
      <c r="R53" s="6">
        <v>6.87</v>
      </c>
      <c r="S53" s="6">
        <v>29.87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x14ac:dyDescent="0.35">
      <c r="A54" s="11">
        <v>7</v>
      </c>
      <c r="B54" s="6"/>
      <c r="C54" s="6"/>
      <c r="D54" s="6"/>
      <c r="E54" s="6"/>
      <c r="F54" s="6">
        <v>8.32</v>
      </c>
      <c r="G54" s="6">
        <v>25.28</v>
      </c>
      <c r="H54" s="6">
        <v>17.88</v>
      </c>
      <c r="I54" s="6"/>
      <c r="J54" s="6"/>
      <c r="K54" s="6"/>
      <c r="L54" s="6"/>
      <c r="M54" s="6"/>
      <c r="N54" s="6">
        <v>12.36</v>
      </c>
      <c r="O54" s="6"/>
      <c r="P54" s="6"/>
      <c r="Q54" s="6">
        <v>3.35</v>
      </c>
      <c r="R54" s="6">
        <v>4.9800000000000004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35">
      <c r="A55" s="11">
        <v>8</v>
      </c>
      <c r="B55" s="6"/>
      <c r="C55" s="6"/>
      <c r="D55" s="6"/>
      <c r="E55" s="6"/>
      <c r="F55" s="6">
        <v>3.68</v>
      </c>
      <c r="G55" s="6">
        <v>21.9</v>
      </c>
      <c r="H55" s="6">
        <v>20.63</v>
      </c>
      <c r="I55" s="6"/>
      <c r="J55" s="6"/>
      <c r="K55" s="6"/>
      <c r="L55" s="6"/>
      <c r="M55" s="6"/>
      <c r="N55" s="6">
        <v>10.32</v>
      </c>
      <c r="O55" s="6"/>
      <c r="P55" s="6"/>
      <c r="Q55" s="6">
        <v>7.08</v>
      </c>
      <c r="R55" s="6">
        <v>7.38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x14ac:dyDescent="0.35">
      <c r="A56" s="11">
        <v>9</v>
      </c>
      <c r="B56" s="6"/>
      <c r="C56" s="6"/>
      <c r="D56" s="6"/>
      <c r="E56" s="6"/>
      <c r="F56" s="6">
        <v>2.58</v>
      </c>
      <c r="G56" s="6"/>
      <c r="H56" s="6">
        <v>24.43</v>
      </c>
      <c r="I56" s="6"/>
      <c r="J56" s="6"/>
      <c r="K56" s="6"/>
      <c r="L56" s="6"/>
      <c r="M56" s="6"/>
      <c r="N56" s="6"/>
      <c r="O56" s="6"/>
      <c r="P56" s="6"/>
      <c r="Q56" s="6">
        <v>6.1</v>
      </c>
      <c r="R56" s="6">
        <v>8.1199999999999992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x14ac:dyDescent="0.35">
      <c r="A57" s="11">
        <v>10</v>
      </c>
      <c r="B57" s="6"/>
      <c r="C57" s="6"/>
      <c r="D57" s="6"/>
      <c r="E57" s="6"/>
      <c r="F57" s="6">
        <v>5.0199999999999996</v>
      </c>
      <c r="G57" s="6"/>
      <c r="H57" s="6">
        <v>19.38</v>
      </c>
      <c r="I57" s="6"/>
      <c r="J57" s="6"/>
      <c r="K57" s="6"/>
      <c r="L57" s="6"/>
      <c r="M57" s="6"/>
      <c r="N57" s="6"/>
      <c r="O57" s="6"/>
      <c r="P57" s="6"/>
      <c r="Q57" s="6">
        <v>6.05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x14ac:dyDescent="0.35">
      <c r="A58" s="11">
        <v>11</v>
      </c>
      <c r="B58" s="6"/>
      <c r="C58" s="6"/>
      <c r="D58" s="6"/>
      <c r="E58" s="6"/>
      <c r="F58" s="6">
        <v>4.16</v>
      </c>
      <c r="G58" s="6"/>
      <c r="H58" s="6">
        <v>20.399999999999999</v>
      </c>
      <c r="I58" s="6"/>
      <c r="J58" s="6"/>
      <c r="K58" s="6"/>
      <c r="L58" s="6"/>
      <c r="M58" s="6"/>
      <c r="N58" s="6"/>
      <c r="O58" s="6"/>
      <c r="P58" s="6"/>
      <c r="Q58" s="6">
        <v>5.13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x14ac:dyDescent="0.35">
      <c r="A59" s="11">
        <v>12</v>
      </c>
      <c r="B59" s="6"/>
      <c r="C59" s="6"/>
      <c r="D59" s="6"/>
      <c r="E59" s="6"/>
      <c r="F59" s="6">
        <v>4.55</v>
      </c>
      <c r="G59" s="6"/>
      <c r="H59" s="6">
        <v>16.96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x14ac:dyDescent="0.35">
      <c r="A60" s="11">
        <v>13</v>
      </c>
      <c r="B60" s="6"/>
      <c r="C60" s="6"/>
      <c r="D60" s="6"/>
      <c r="E60" s="6"/>
      <c r="F60" s="6">
        <v>3.58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x14ac:dyDescent="0.35">
      <c r="A61" s="11">
        <v>14</v>
      </c>
      <c r="B61" s="6"/>
      <c r="C61" s="6"/>
      <c r="D61" s="6"/>
      <c r="E61" s="6"/>
      <c r="F61" s="6">
        <v>3.69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 x14ac:dyDescent="0.35">
      <c r="A62" s="11">
        <v>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x14ac:dyDescent="0.35">
      <c r="A63" s="11">
        <v>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 x14ac:dyDescent="0.35">
      <c r="A64" s="11">
        <v>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x14ac:dyDescent="0.35">
      <c r="A65" s="11">
        <v>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x14ac:dyDescent="0.35">
      <c r="A66" s="11">
        <v>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x14ac:dyDescent="0.35">
      <c r="A67" s="11">
        <v>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x14ac:dyDescent="0.35">
      <c r="A68" s="12" t="s">
        <v>62</v>
      </c>
      <c r="B68" s="12">
        <f>IF(COUNT(B48:B67)&lt;4,"0",SMALL(B48:B67,4))*B45</f>
        <v>0</v>
      </c>
      <c r="C68" s="12">
        <f t="shared" ref="C68:AF68" si="5">IF(COUNT(C48:C67)&lt;4,"0",SMALL(C48:C67,4))*C45</f>
        <v>0</v>
      </c>
      <c r="D68" s="12">
        <f t="shared" si="5"/>
        <v>0</v>
      </c>
      <c r="E68" s="12">
        <f t="shared" si="5"/>
        <v>0</v>
      </c>
      <c r="F68" s="12">
        <f t="shared" si="5"/>
        <v>3.68</v>
      </c>
      <c r="G68" s="12">
        <f t="shared" si="5"/>
        <v>27.59</v>
      </c>
      <c r="H68" s="12">
        <f t="shared" si="5"/>
        <v>19.38</v>
      </c>
      <c r="I68" s="12">
        <f t="shared" si="5"/>
        <v>78.23</v>
      </c>
      <c r="J68" s="12"/>
      <c r="K68" s="12">
        <f t="shared" si="5"/>
        <v>30.25</v>
      </c>
      <c r="L68" s="12">
        <f t="shared" si="5"/>
        <v>0</v>
      </c>
      <c r="M68" s="12">
        <f t="shared" si="5"/>
        <v>0</v>
      </c>
      <c r="N68" s="12">
        <f t="shared" si="5"/>
        <v>23.22</v>
      </c>
      <c r="O68" s="12"/>
      <c r="P68" s="12">
        <f t="shared" si="5"/>
        <v>52.04</v>
      </c>
      <c r="Q68" s="12">
        <f t="shared" si="5"/>
        <v>5.13</v>
      </c>
      <c r="R68" s="12">
        <f t="shared" si="5"/>
        <v>6.87</v>
      </c>
      <c r="S68" s="12">
        <f t="shared" si="5"/>
        <v>22.92</v>
      </c>
      <c r="T68" s="12">
        <f t="shared" si="5"/>
        <v>0</v>
      </c>
      <c r="U68" s="12">
        <f>IF(COUNT(U48:U67)&lt;4,"0",SMALL(U48:U67,4))*U45</f>
        <v>0</v>
      </c>
      <c r="V68" s="12">
        <f t="shared" si="5"/>
        <v>0</v>
      </c>
      <c r="W68" s="12">
        <f t="shared" si="5"/>
        <v>0</v>
      </c>
      <c r="X68" s="12">
        <f t="shared" si="5"/>
        <v>326.77999999999997</v>
      </c>
      <c r="Y68" s="12">
        <f t="shared" si="5"/>
        <v>0</v>
      </c>
      <c r="Z68" s="12">
        <f t="shared" si="5"/>
        <v>0</v>
      </c>
      <c r="AA68" s="12">
        <f t="shared" si="5"/>
        <v>0</v>
      </c>
      <c r="AB68" s="12">
        <f t="shared" si="5"/>
        <v>0</v>
      </c>
      <c r="AC68" s="12">
        <f t="shared" si="5"/>
        <v>0</v>
      </c>
      <c r="AD68" s="12">
        <f t="shared" si="5"/>
        <v>0</v>
      </c>
      <c r="AE68" s="12">
        <f t="shared" si="5"/>
        <v>0</v>
      </c>
      <c r="AF68" s="12">
        <f t="shared" si="5"/>
        <v>0</v>
      </c>
    </row>
    <row r="69" spans="1:32" x14ac:dyDescent="0.35">
      <c r="A69" s="12" t="s">
        <v>63</v>
      </c>
      <c r="B69" s="12">
        <f>(AVERAGE(B48:B67)) * B45</f>
        <v>68.91</v>
      </c>
      <c r="C69" s="12">
        <f t="shared" ref="C69:AF69" si="6">(AVERAGE(C48:C67)) * C45</f>
        <v>92.84</v>
      </c>
      <c r="D69" s="12">
        <f t="shared" si="6"/>
        <v>289.685</v>
      </c>
      <c r="E69" s="12">
        <f t="shared" si="6"/>
        <v>314.91999999999996</v>
      </c>
      <c r="F69" s="12">
        <f t="shared" si="6"/>
        <v>4.7328571428571422</v>
      </c>
      <c r="G69" s="12">
        <f t="shared" si="6"/>
        <v>28.88625</v>
      </c>
      <c r="H69" s="12">
        <f t="shared" si="6"/>
        <v>20.954166666666666</v>
      </c>
      <c r="I69" s="12">
        <f t="shared" si="6"/>
        <v>68.152500000000003</v>
      </c>
      <c r="J69" s="12"/>
      <c r="K69" s="12">
        <f t="shared" si="6"/>
        <v>26.497499999999999</v>
      </c>
      <c r="L69" s="12">
        <f t="shared" si="6"/>
        <v>110.92200000000001</v>
      </c>
      <c r="M69" s="12">
        <f t="shared" si="6"/>
        <v>95.03</v>
      </c>
      <c r="N69" s="12">
        <f t="shared" si="6"/>
        <v>23.57</v>
      </c>
      <c r="O69" s="12"/>
      <c r="P69" s="12">
        <f t="shared" si="6"/>
        <v>44.314999999999998</v>
      </c>
      <c r="Q69" s="12">
        <f t="shared" si="6"/>
        <v>5.8527272727272726</v>
      </c>
      <c r="R69" s="12">
        <f t="shared" si="6"/>
        <v>6.9222222222222216</v>
      </c>
      <c r="S69" s="12">
        <f t="shared" si="6"/>
        <v>24.521666666666672</v>
      </c>
      <c r="T69" s="12">
        <f t="shared" si="6"/>
        <v>458.67</v>
      </c>
      <c r="U69" s="12">
        <f>(AVERAGE(U48:U67)) * U45</f>
        <v>1800</v>
      </c>
      <c r="V69" s="12">
        <f t="shared" si="6"/>
        <v>220.79333333333332</v>
      </c>
      <c r="W69" s="12">
        <f t="shared" si="6"/>
        <v>72.349999999999994</v>
      </c>
      <c r="X69" s="12">
        <f t="shared" si="6"/>
        <v>288.17250000000001</v>
      </c>
      <c r="Y69" s="12">
        <f t="shared" si="6"/>
        <v>159.73000000000002</v>
      </c>
      <c r="Z69" s="12">
        <f t="shared" si="6"/>
        <v>101.1</v>
      </c>
      <c r="AA69" s="12">
        <f t="shared" si="6"/>
        <v>230.28</v>
      </c>
      <c r="AB69" s="12">
        <f t="shared" si="6"/>
        <v>709.82</v>
      </c>
      <c r="AC69" s="12">
        <f t="shared" si="6"/>
        <v>123.1</v>
      </c>
      <c r="AD69" s="12">
        <f t="shared" si="6"/>
        <v>131.38999999999999</v>
      </c>
      <c r="AE69" s="12">
        <f t="shared" si="6"/>
        <v>68.209999999999994</v>
      </c>
      <c r="AF69" s="12">
        <f t="shared" si="6"/>
        <v>225.94</v>
      </c>
    </row>
    <row r="70" spans="1:32" x14ac:dyDescent="0.35">
      <c r="A70" s="12" t="s">
        <v>64</v>
      </c>
      <c r="B70" s="12">
        <f>B69/0.85</f>
        <v>81.07058823529411</v>
      </c>
      <c r="C70" s="12">
        <f t="shared" ref="C70:AF70" si="7">C69/0.85</f>
        <v>109.22352941176472</v>
      </c>
      <c r="D70" s="12">
        <f t="shared" si="7"/>
        <v>340.80588235294118</v>
      </c>
      <c r="E70" s="12">
        <f t="shared" si="7"/>
        <v>370.49411764705877</v>
      </c>
      <c r="F70" s="12">
        <f t="shared" si="7"/>
        <v>5.5680672268907561</v>
      </c>
      <c r="G70" s="12">
        <f t="shared" si="7"/>
        <v>33.983823529411765</v>
      </c>
      <c r="H70" s="12">
        <f t="shared" si="7"/>
        <v>24.651960784313726</v>
      </c>
      <c r="I70" s="12">
        <f t="shared" si="7"/>
        <v>80.17941176470589</v>
      </c>
      <c r="J70" s="12"/>
      <c r="K70" s="12">
        <f t="shared" si="7"/>
        <v>31.173529411764704</v>
      </c>
      <c r="L70" s="12">
        <f t="shared" si="7"/>
        <v>130.4964705882353</v>
      </c>
      <c r="M70" s="12">
        <f t="shared" si="7"/>
        <v>111.8</v>
      </c>
      <c r="N70" s="12">
        <f t="shared" si="7"/>
        <v>27.729411764705883</v>
      </c>
      <c r="O70" s="12"/>
      <c r="P70" s="12">
        <f t="shared" si="7"/>
        <v>52.135294117647057</v>
      </c>
      <c r="Q70" s="12">
        <f t="shared" si="7"/>
        <v>6.8855614973262034</v>
      </c>
      <c r="R70" s="12">
        <f t="shared" si="7"/>
        <v>8.1437908496732021</v>
      </c>
      <c r="S70" s="12">
        <f t="shared" si="7"/>
        <v>28.849019607843143</v>
      </c>
      <c r="T70" s="12">
        <f t="shared" si="7"/>
        <v>539.61176470588236</v>
      </c>
      <c r="U70" s="12">
        <f t="shared" si="7"/>
        <v>2117.6470588235293</v>
      </c>
      <c r="V70" s="12">
        <f t="shared" si="7"/>
        <v>259.75686274509803</v>
      </c>
      <c r="W70" s="12">
        <f t="shared" si="7"/>
        <v>85.117647058823522</v>
      </c>
      <c r="X70" s="12">
        <f t="shared" si="7"/>
        <v>339.02647058823533</v>
      </c>
      <c r="Y70" s="12">
        <f t="shared" si="7"/>
        <v>187.91764705882355</v>
      </c>
      <c r="Z70" s="12">
        <f t="shared" si="7"/>
        <v>118.94117647058823</v>
      </c>
      <c r="AA70" s="12">
        <f t="shared" si="7"/>
        <v>270.91764705882355</v>
      </c>
      <c r="AB70" s="12">
        <f t="shared" si="7"/>
        <v>835.08235294117651</v>
      </c>
      <c r="AC70" s="12">
        <f t="shared" si="7"/>
        <v>144.8235294117647</v>
      </c>
      <c r="AD70" s="12">
        <f t="shared" si="7"/>
        <v>154.57647058823528</v>
      </c>
      <c r="AE70" s="12">
        <f t="shared" si="7"/>
        <v>80.2470588235294</v>
      </c>
      <c r="AF70" s="12">
        <f t="shared" si="7"/>
        <v>265.81176470588235</v>
      </c>
    </row>
    <row r="71" spans="1:32" x14ac:dyDescent="0.35">
      <c r="A71" s="12" t="s">
        <v>65</v>
      </c>
      <c r="B71" s="12">
        <f>(MAX(B48:B67)) * B45</f>
        <v>70.790000000000006</v>
      </c>
      <c r="C71" s="12">
        <f t="shared" ref="C71:AF71" si="8">(MAX(C48:C67)) * C45</f>
        <v>92.84</v>
      </c>
      <c r="D71" s="12">
        <f t="shared" si="8"/>
        <v>308.36</v>
      </c>
      <c r="E71" s="12">
        <f t="shared" si="8"/>
        <v>347.08</v>
      </c>
      <c r="F71" s="12">
        <f t="shared" si="8"/>
        <v>8.32</v>
      </c>
      <c r="G71" s="12">
        <f t="shared" si="8"/>
        <v>48.48</v>
      </c>
      <c r="H71" s="12">
        <f t="shared" si="8"/>
        <v>34</v>
      </c>
      <c r="I71" s="12">
        <f t="shared" si="8"/>
        <v>78.23</v>
      </c>
      <c r="J71" s="12"/>
      <c r="K71" s="12">
        <f t="shared" si="8"/>
        <v>30.25</v>
      </c>
      <c r="L71" s="12">
        <f t="shared" si="8"/>
        <v>110.92200000000001</v>
      </c>
      <c r="M71" s="12">
        <f t="shared" si="8"/>
        <v>106.92</v>
      </c>
      <c r="N71" s="12">
        <f t="shared" si="8"/>
        <v>28.22</v>
      </c>
      <c r="O71" s="12"/>
      <c r="P71" s="12">
        <f t="shared" si="8"/>
        <v>52.04</v>
      </c>
      <c r="Q71" s="12">
        <f t="shared" si="8"/>
        <v>7.87</v>
      </c>
      <c r="R71" s="12">
        <f t="shared" si="8"/>
        <v>9.77</v>
      </c>
      <c r="S71" s="12">
        <f t="shared" si="8"/>
        <v>29.87</v>
      </c>
      <c r="T71" s="12">
        <f t="shared" si="8"/>
        <v>458.67</v>
      </c>
      <c r="U71" s="12">
        <f>(MAX(U48:U67)) * U45</f>
        <v>1800</v>
      </c>
      <c r="V71" s="12">
        <f t="shared" si="8"/>
        <v>251.53</v>
      </c>
      <c r="W71" s="12">
        <f t="shared" si="8"/>
        <v>72.349999999999994</v>
      </c>
      <c r="X71" s="12">
        <f t="shared" si="8"/>
        <v>326.77999999999997</v>
      </c>
      <c r="Y71" s="12">
        <f t="shared" si="8"/>
        <v>163.28</v>
      </c>
      <c r="Z71" s="12">
        <f t="shared" si="8"/>
        <v>101.1</v>
      </c>
      <c r="AA71" s="12">
        <f t="shared" si="8"/>
        <v>230.28</v>
      </c>
      <c r="AB71" s="12">
        <f t="shared" si="8"/>
        <v>709.82</v>
      </c>
      <c r="AC71" s="12">
        <f t="shared" si="8"/>
        <v>123.1</v>
      </c>
      <c r="AD71" s="12">
        <f t="shared" si="8"/>
        <v>131.38999999999999</v>
      </c>
      <c r="AE71" s="12">
        <f t="shared" si="8"/>
        <v>68.209999999999994</v>
      </c>
      <c r="AF71" s="12">
        <f t="shared" si="8"/>
        <v>225.94</v>
      </c>
    </row>
    <row r="72" spans="1:32" x14ac:dyDescent="0.35">
      <c r="A72" s="12" t="s">
        <v>66</v>
      </c>
      <c r="B72" s="12" t="e">
        <f>B70/#REF!</f>
        <v>#REF!</v>
      </c>
      <c r="C72" s="12" t="e">
        <f>C70/#REF!</f>
        <v>#REF!</v>
      </c>
      <c r="D72" s="12" t="e">
        <f>D70/#REF!</f>
        <v>#REF!</v>
      </c>
      <c r="E72" s="12" t="e">
        <f>E70/#REF!</f>
        <v>#REF!</v>
      </c>
      <c r="F72" s="12" t="e">
        <f>F70/#REF!</f>
        <v>#REF!</v>
      </c>
      <c r="G72" s="12" t="e">
        <f>G70/#REF!</f>
        <v>#REF!</v>
      </c>
      <c r="H72" s="12" t="e">
        <f>H70/#REF!</f>
        <v>#REF!</v>
      </c>
      <c r="I72" s="12" t="e">
        <f>I70/#REF!</f>
        <v>#REF!</v>
      </c>
      <c r="J72" s="12"/>
      <c r="K72" s="12" t="e">
        <f>K70/#REF!</f>
        <v>#REF!</v>
      </c>
      <c r="L72" s="12" t="e">
        <f>L70/#REF!</f>
        <v>#REF!</v>
      </c>
      <c r="M72" s="12" t="e">
        <f>M70/#REF!</f>
        <v>#REF!</v>
      </c>
      <c r="N72" s="12" t="e">
        <f>N70/#REF!</f>
        <v>#REF!</v>
      </c>
      <c r="O72" s="12"/>
      <c r="P72" s="12" t="e">
        <f>P70/#REF!</f>
        <v>#REF!</v>
      </c>
      <c r="Q72" s="12" t="e">
        <f>Q70/#REF!</f>
        <v>#REF!</v>
      </c>
      <c r="R72" s="12" t="e">
        <f>R70/#REF!</f>
        <v>#REF!</v>
      </c>
      <c r="S72" s="12" t="e">
        <f>S70/#REF!</f>
        <v>#REF!</v>
      </c>
      <c r="T72" s="12" t="e">
        <f>T70/#REF!</f>
        <v>#REF!</v>
      </c>
      <c r="U72" s="12" t="e">
        <f>U70/#REF!</f>
        <v>#REF!</v>
      </c>
      <c r="V72" s="12" t="e">
        <f>V70/#REF!</f>
        <v>#REF!</v>
      </c>
      <c r="W72" s="12" t="e">
        <f>W70/#REF!</f>
        <v>#REF!</v>
      </c>
      <c r="X72" s="12" t="e">
        <f>X70/#REF!</f>
        <v>#REF!</v>
      </c>
      <c r="Y72" s="12" t="e">
        <f>Y70/#REF!</f>
        <v>#REF!</v>
      </c>
      <c r="Z72" s="12" t="e">
        <f>Z70/#REF!</f>
        <v>#REF!</v>
      </c>
      <c r="AA72" s="12" t="e">
        <f>AA70/#REF!</f>
        <v>#REF!</v>
      </c>
      <c r="AB72" s="12" t="e">
        <f>AB70/#REF!</f>
        <v>#REF!</v>
      </c>
      <c r="AC72" s="12" t="e">
        <f>AC70/#REF!</f>
        <v>#REF!</v>
      </c>
      <c r="AD72" s="12" t="e">
        <f>AD70/#REF!</f>
        <v>#REF!</v>
      </c>
      <c r="AE72" s="12" t="e">
        <f>AE70/#REF!</f>
        <v>#REF!</v>
      </c>
      <c r="AF72" s="12" t="e">
        <f>AF70/#REF!</f>
        <v>#REF!</v>
      </c>
    </row>
    <row r="73" spans="1:32" x14ac:dyDescent="0.35">
      <c r="A73" s="12" t="s">
        <v>67</v>
      </c>
      <c r="B73" s="12">
        <f>(7*2*3600)/B8</f>
        <v>50400</v>
      </c>
      <c r="C73" s="12">
        <f>(7*2*3600)/B8</f>
        <v>50400</v>
      </c>
      <c r="D73" s="12">
        <f>(7*2*3600)/B8</f>
        <v>50400</v>
      </c>
      <c r="E73" s="12">
        <f>(7*2*3600)/B8</f>
        <v>50400</v>
      </c>
      <c r="F73" s="12">
        <f>(7*2*3600)/B8</f>
        <v>50400</v>
      </c>
      <c r="G73" s="12">
        <f>(7*2*3600)/B8</f>
        <v>50400</v>
      </c>
      <c r="H73" s="12">
        <f>(7*2*3600)/B8</f>
        <v>50400</v>
      </c>
      <c r="I73" s="12">
        <f>(7*2*3600)/B8</f>
        <v>50400</v>
      </c>
      <c r="J73" s="12"/>
      <c r="K73" s="12">
        <f>(7*2*3600)/B8</f>
        <v>50400</v>
      </c>
      <c r="L73" s="12">
        <f>(7*2*3600)/B8</f>
        <v>50400</v>
      </c>
      <c r="M73" s="12">
        <f>(7*2*3600)/B8</f>
        <v>50400</v>
      </c>
      <c r="N73" s="12">
        <f>(7*2*3600)/B8</f>
        <v>50400</v>
      </c>
      <c r="O73" s="12"/>
      <c r="P73" s="12">
        <f>(7*2*3600)/B8</f>
        <v>50400</v>
      </c>
      <c r="Q73" s="12">
        <f>(7*2*3600)/B8</f>
        <v>50400</v>
      </c>
      <c r="R73" s="12">
        <f>(7*2*3600)/B8</f>
        <v>50400</v>
      </c>
      <c r="S73" s="12">
        <f>(7*2*3600)/B8</f>
        <v>50400</v>
      </c>
      <c r="T73" s="12">
        <f>(7*2*3600)/B8</f>
        <v>50400</v>
      </c>
      <c r="U73" s="12">
        <f>(7*2*3600)/B8</f>
        <v>50400</v>
      </c>
      <c r="V73" s="12">
        <f>(7*2*3600)/B8</f>
        <v>50400</v>
      </c>
      <c r="W73" s="12">
        <f>(7*2*3600)/B8</f>
        <v>50400</v>
      </c>
      <c r="X73" s="12">
        <f>(7*2*3600)/B8</f>
        <v>50400</v>
      </c>
      <c r="Y73" s="12">
        <f>(7*2*3600)/B8</f>
        <v>50400</v>
      </c>
      <c r="Z73" s="12">
        <f>(7*2*3600)/B8</f>
        <v>50400</v>
      </c>
      <c r="AA73" s="12">
        <f>(7*2*3600)/B8</f>
        <v>50400</v>
      </c>
      <c r="AB73" s="12">
        <f>(7*2*3600)/B8</f>
        <v>50400</v>
      </c>
      <c r="AC73" s="12">
        <f>(7*2*3600)/B8</f>
        <v>50400</v>
      </c>
      <c r="AD73" s="12">
        <f>(7*2*3600)/B8</f>
        <v>50400</v>
      </c>
      <c r="AE73" s="12">
        <f>(7*2*3600)/B8</f>
        <v>50400</v>
      </c>
      <c r="AF73" s="12">
        <f>(7*2*3600)/B8</f>
        <v>50400</v>
      </c>
    </row>
    <row r="77" spans="1:32" x14ac:dyDescent="0.35">
      <c r="T77">
        <v>8.19</v>
      </c>
      <c r="U77">
        <v>6.29</v>
      </c>
      <c r="AB77">
        <v>8.24</v>
      </c>
    </row>
    <row r="78" spans="1:32" x14ac:dyDescent="0.35">
      <c r="T78">
        <v>8.33</v>
      </c>
      <c r="U78">
        <v>6.54</v>
      </c>
      <c r="AB78">
        <v>8.18</v>
      </c>
    </row>
    <row r="79" spans="1:32" x14ac:dyDescent="0.35">
      <c r="T79">
        <v>8.51</v>
      </c>
      <c r="U79">
        <v>7.12</v>
      </c>
      <c r="AB79">
        <v>8.5</v>
      </c>
    </row>
    <row r="80" spans="1:32" x14ac:dyDescent="0.35">
      <c r="T80">
        <v>9.0399999999999991</v>
      </c>
      <c r="AB80">
        <v>8.42</v>
      </c>
    </row>
    <row r="81" spans="20:20" x14ac:dyDescent="0.35">
      <c r="T81">
        <v>8.3699999999999992</v>
      </c>
    </row>
  </sheetData>
  <mergeCells count="4">
    <mergeCell ref="A2:B2"/>
    <mergeCell ref="D2:E2"/>
    <mergeCell ref="F10:G10"/>
    <mergeCell ref="K10:M10"/>
  </mergeCells>
  <conditionalFormatting sqref="E11:E40 F11:M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4046ef65-dcb4-42f4-afe2-bbef5a206342}" enabled="0" method="" siteId="{4046ef65-dcb4-42f4-afe2-bbef5a20634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AFCI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Chandran, Rohith</dc:creator>
  <cp:lastModifiedBy>Rednam, Prakash</cp:lastModifiedBy>
  <dcterms:created xsi:type="dcterms:W3CDTF">2026-06-01T05:40:26Z</dcterms:created>
  <dcterms:modified xsi:type="dcterms:W3CDTF">2026-07-07T13:26:31Z</dcterms:modified>
</cp:coreProperties>
</file>