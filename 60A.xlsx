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E7CD14C4-9919-43B9-B39F-2D5BDB63CB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0185581-02-005B1LF_6xd10mb (2)" sheetId="3" r:id="rId1"/>
    <sheet name="10185581-02-005B1LF_6xd10mb0ld0" sheetId="2" state="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J7" i="3"/>
  <c r="E39" i="3" l="1"/>
  <c r="F39" i="3" s="1"/>
  <c r="E38" i="3"/>
  <c r="F38" i="3" s="1"/>
  <c r="AG81" i="3" l="1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G81" i="3"/>
  <c r="F81" i="3"/>
  <c r="E81" i="3"/>
  <c r="D81" i="3"/>
  <c r="C81" i="3"/>
  <c r="B81" i="3"/>
  <c r="AG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J79" i="3"/>
  <c r="G79" i="3"/>
  <c r="F79" i="3"/>
  <c r="E79" i="3"/>
  <c r="D79" i="3"/>
  <c r="C79" i="3"/>
  <c r="B79" i="3"/>
  <c r="AG77" i="3"/>
  <c r="AG78" i="3" s="1"/>
  <c r="AE77" i="3"/>
  <c r="AE78" i="3" s="1"/>
  <c r="AD77" i="3"/>
  <c r="AD78" i="3" s="1"/>
  <c r="AC77" i="3"/>
  <c r="AC78" i="3" s="1"/>
  <c r="AB77" i="3"/>
  <c r="AB78" i="3" s="1"/>
  <c r="AA77" i="3"/>
  <c r="AA78" i="3" s="1"/>
  <c r="Z77" i="3"/>
  <c r="Z78" i="3" s="1"/>
  <c r="Y77" i="3"/>
  <c r="Y78" i="3" s="1"/>
  <c r="X77" i="3"/>
  <c r="X78" i="3" s="1"/>
  <c r="X80" i="3" s="1"/>
  <c r="W77" i="3"/>
  <c r="W78" i="3" s="1"/>
  <c r="V77" i="3"/>
  <c r="V78" i="3" s="1"/>
  <c r="U77" i="3"/>
  <c r="U78" i="3" s="1"/>
  <c r="U80" i="3" s="1"/>
  <c r="T77" i="3"/>
  <c r="T78" i="3" s="1"/>
  <c r="S77" i="3"/>
  <c r="S78" i="3" s="1"/>
  <c r="R77" i="3"/>
  <c r="R78" i="3" s="1"/>
  <c r="Q77" i="3"/>
  <c r="Q78" i="3" s="1"/>
  <c r="P77" i="3"/>
  <c r="P78" i="3" s="1"/>
  <c r="O77" i="3"/>
  <c r="O78" i="3" s="1"/>
  <c r="N77" i="3"/>
  <c r="N78" i="3" s="1"/>
  <c r="M77" i="3"/>
  <c r="M78" i="3" s="1"/>
  <c r="L77" i="3"/>
  <c r="L78" i="3" s="1"/>
  <c r="J77" i="3"/>
  <c r="J78" i="3" s="1"/>
  <c r="G77" i="3"/>
  <c r="G78" i="3" s="1"/>
  <c r="F77" i="3"/>
  <c r="F78" i="3" s="1"/>
  <c r="E77" i="3"/>
  <c r="E78" i="3" s="1"/>
  <c r="D77" i="3"/>
  <c r="D78" i="3" s="1"/>
  <c r="C77" i="3"/>
  <c r="C78" i="3" s="1"/>
  <c r="B77" i="3"/>
  <c r="B78" i="3" s="1"/>
  <c r="AG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J76" i="3"/>
  <c r="G76" i="3"/>
  <c r="F76" i="3"/>
  <c r="E76" i="3"/>
  <c r="D76" i="3"/>
  <c r="C76" i="3"/>
  <c r="B76" i="3"/>
  <c r="AF53" i="3"/>
  <c r="AF76" i="3" s="1"/>
  <c r="K53" i="3"/>
  <c r="K79" i="3" s="1"/>
  <c r="I53" i="3"/>
  <c r="I79" i="3" s="1"/>
  <c r="D47" i="3"/>
  <c r="D46" i="3"/>
  <c r="D45" i="3"/>
  <c r="D42" i="3"/>
  <c r="D41" i="3"/>
  <c r="D40" i="3"/>
  <c r="H34" i="3"/>
  <c r="I34" i="3" s="1"/>
  <c r="H33" i="3"/>
  <c r="I33" i="3" s="1"/>
  <c r="H32" i="3"/>
  <c r="I32" i="3" s="1"/>
  <c r="D31" i="3"/>
  <c r="H30" i="3"/>
  <c r="I30" i="3" s="1"/>
  <c r="D29" i="3"/>
  <c r="D26" i="3"/>
  <c r="D25" i="3"/>
  <c r="D24" i="3"/>
  <c r="D23" i="3"/>
  <c r="D21" i="3"/>
  <c r="D19" i="3"/>
  <c r="D18" i="3"/>
  <c r="D17" i="3"/>
  <c r="G30" i="3" l="1"/>
  <c r="G32" i="3"/>
  <c r="G33" i="3"/>
  <c r="G34" i="3"/>
  <c r="V80" i="3"/>
  <c r="C37" i="3"/>
  <c r="E37" i="3" s="1"/>
  <c r="F37" i="3" s="1"/>
  <c r="Y80" i="3"/>
  <c r="C40" i="3"/>
  <c r="E40" i="3" s="1"/>
  <c r="F40" i="3" s="1"/>
  <c r="I76" i="3"/>
  <c r="O80" i="3"/>
  <c r="C26" i="3"/>
  <c r="E26" i="3" s="1"/>
  <c r="F26" i="3" s="1"/>
  <c r="AA80" i="3"/>
  <c r="C42" i="3"/>
  <c r="E42" i="3" s="1"/>
  <c r="F42" i="3" s="1"/>
  <c r="P80" i="3"/>
  <c r="C27" i="3"/>
  <c r="E27" i="3" s="1"/>
  <c r="F27" i="3" s="1"/>
  <c r="AB80" i="3"/>
  <c r="C43" i="3"/>
  <c r="E43" i="3" s="1"/>
  <c r="F43" i="3" s="1"/>
  <c r="B80" i="3"/>
  <c r="C14" i="3"/>
  <c r="E14" i="3" s="1"/>
  <c r="F14" i="3" s="1"/>
  <c r="C80" i="3"/>
  <c r="C15" i="3"/>
  <c r="E15" i="3" s="1"/>
  <c r="F15" i="3" s="1"/>
  <c r="AG80" i="3"/>
  <c r="J80" i="3"/>
  <c r="C21" i="3"/>
  <c r="E21" i="3" s="1"/>
  <c r="F21" i="3" s="1"/>
  <c r="L80" i="3"/>
  <c r="C23" i="3"/>
  <c r="E23" i="3" s="1"/>
  <c r="F23" i="3" s="1"/>
  <c r="M80" i="3"/>
  <c r="C24" i="3"/>
  <c r="E24" i="3" s="1"/>
  <c r="F24" i="3" s="1"/>
  <c r="C25" i="3"/>
  <c r="E25" i="3" s="1"/>
  <c r="F25" i="3" s="1"/>
  <c r="N80" i="3"/>
  <c r="Z80" i="3"/>
  <c r="C41" i="3"/>
  <c r="E41" i="3" s="1"/>
  <c r="F41" i="3" s="1"/>
  <c r="K7" i="3" s="1"/>
  <c r="K6" i="3" s="1"/>
  <c r="D48" i="3"/>
  <c r="C36" i="3"/>
  <c r="E36" i="3" s="1"/>
  <c r="F36" i="3" s="1"/>
  <c r="C28" i="3"/>
  <c r="E28" i="3" s="1"/>
  <c r="F28" i="3" s="1"/>
  <c r="Q80" i="3"/>
  <c r="C16" i="3"/>
  <c r="E16" i="3" s="1"/>
  <c r="F16" i="3" s="1"/>
  <c r="D80" i="3"/>
  <c r="C46" i="3"/>
  <c r="E46" i="3" s="1"/>
  <c r="F46" i="3" s="1"/>
  <c r="AE80" i="3"/>
  <c r="C45" i="3"/>
  <c r="E45" i="3" s="1"/>
  <c r="F45" i="3" s="1"/>
  <c r="AD80" i="3"/>
  <c r="C31" i="3"/>
  <c r="E31" i="3" s="1"/>
  <c r="F31" i="3" s="1"/>
  <c r="S80" i="3"/>
  <c r="C17" i="3"/>
  <c r="E17" i="3" s="1"/>
  <c r="F17" i="3" s="1"/>
  <c r="E80" i="3"/>
  <c r="C35" i="3"/>
  <c r="E35" i="3" s="1"/>
  <c r="F35" i="3" s="1"/>
  <c r="T80" i="3"/>
  <c r="C44" i="3"/>
  <c r="E44" i="3" s="1"/>
  <c r="F44" i="3" s="1"/>
  <c r="AC80" i="3"/>
  <c r="C18" i="3"/>
  <c r="E18" i="3" s="1"/>
  <c r="F18" i="3" s="1"/>
  <c r="F80" i="3"/>
  <c r="C19" i="3"/>
  <c r="E19" i="3" s="1"/>
  <c r="F19" i="3" s="1"/>
  <c r="G80" i="3"/>
  <c r="C29" i="3"/>
  <c r="E29" i="3" s="1"/>
  <c r="F29" i="3" s="1"/>
  <c r="R80" i="3"/>
  <c r="K76" i="3"/>
  <c r="AF77" i="3"/>
  <c r="AF78" i="3" s="1"/>
  <c r="I77" i="3"/>
  <c r="I78" i="3" s="1"/>
  <c r="AF79" i="3"/>
  <c r="K77" i="3"/>
  <c r="K78" i="3" s="1"/>
  <c r="I80" i="3" l="1"/>
  <c r="C20" i="3"/>
  <c r="E20" i="3" s="1"/>
  <c r="F20" i="3" s="1"/>
  <c r="C22" i="3"/>
  <c r="E22" i="3" s="1"/>
  <c r="F22" i="3" s="1"/>
  <c r="K80" i="3"/>
  <c r="C47" i="3"/>
  <c r="AF80" i="3"/>
  <c r="C48" i="3" l="1"/>
  <c r="E47" i="3"/>
  <c r="F47" i="3" s="1"/>
  <c r="W80" i="3"/>
  <c r="K15" i="2" l="1"/>
  <c r="K28" i="2"/>
  <c r="G46" i="2"/>
  <c r="N37" i="2"/>
  <c r="N39" i="2"/>
  <c r="N38" i="2"/>
  <c r="N36" i="2"/>
  <c r="N34" i="2"/>
  <c r="I39" i="2" l="1"/>
  <c r="I38" i="2"/>
  <c r="J38" i="2"/>
  <c r="L38" i="2" s="1"/>
  <c r="M38" i="2" s="1"/>
  <c r="I37" i="2"/>
  <c r="H37" i="2" s="1"/>
  <c r="C34" i="2"/>
  <c r="M36" i="2"/>
  <c r="M34" i="2"/>
  <c r="L39" i="2"/>
  <c r="M39" i="2" s="1"/>
  <c r="L36" i="2"/>
  <c r="L34" i="2"/>
  <c r="I35" i="2"/>
  <c r="H35" i="2" s="1"/>
  <c r="H39" i="2"/>
  <c r="J39" i="2"/>
  <c r="J37" i="2"/>
  <c r="L37" i="2" s="1"/>
  <c r="M37" i="2" s="1"/>
  <c r="W87" i="2"/>
  <c r="W83" i="2"/>
  <c r="W84" i="2" s="1"/>
  <c r="Z83" i="2"/>
  <c r="Z84" i="2" s="1"/>
  <c r="C46" i="2" s="1"/>
  <c r="Y83" i="2"/>
  <c r="Y84" i="2" s="1"/>
  <c r="X83" i="2"/>
  <c r="X84" i="2" s="1"/>
  <c r="X86" i="2" s="1"/>
  <c r="W85" i="2"/>
  <c r="W82" i="2"/>
  <c r="X87" i="2"/>
  <c r="X85" i="2"/>
  <c r="X82" i="2"/>
  <c r="AG87" i="2"/>
  <c r="AF87" i="2"/>
  <c r="AE87" i="2"/>
  <c r="AD87" i="2"/>
  <c r="AC87" i="2"/>
  <c r="AB87" i="2"/>
  <c r="AA87" i="2"/>
  <c r="Z87" i="2"/>
  <c r="Y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G87" i="2"/>
  <c r="F87" i="2"/>
  <c r="E87" i="2"/>
  <c r="D87" i="2"/>
  <c r="C87" i="2"/>
  <c r="B87" i="2"/>
  <c r="AG83" i="2"/>
  <c r="AG84" i="2"/>
  <c r="C53" i="2" s="1"/>
  <c r="AG86" i="2"/>
  <c r="E53" i="2" s="1"/>
  <c r="AF59" i="2"/>
  <c r="AF83" i="2" s="1"/>
  <c r="AF84" i="2" s="1"/>
  <c r="AE83" i="2"/>
  <c r="AE84" i="2"/>
  <c r="C51" i="2" s="1"/>
  <c r="AE86" i="2"/>
  <c r="E51" i="2" s="1"/>
  <c r="AD83" i="2"/>
  <c r="AD84" i="2" s="1"/>
  <c r="AC83" i="2"/>
  <c r="AC84" i="2" s="1"/>
  <c r="C49" i="2" s="1"/>
  <c r="AB83" i="2"/>
  <c r="AB84" i="2" s="1"/>
  <c r="AA83" i="2"/>
  <c r="AA84" i="2" s="1"/>
  <c r="V83" i="2"/>
  <c r="V84" i="2" s="1"/>
  <c r="U83" i="2"/>
  <c r="U84" i="2" s="1"/>
  <c r="T83" i="2"/>
  <c r="T84" i="2" s="1"/>
  <c r="S83" i="2"/>
  <c r="S84" i="2" s="1"/>
  <c r="C36" i="2" s="1"/>
  <c r="R83" i="2"/>
  <c r="R84" i="2"/>
  <c r="Q83" i="2"/>
  <c r="Q84" i="2" s="1"/>
  <c r="P83" i="2"/>
  <c r="P84" i="2" s="1"/>
  <c r="O83" i="2"/>
  <c r="O84" i="2" s="1"/>
  <c r="N83" i="2"/>
  <c r="N84" i="2"/>
  <c r="C30" i="2" s="1"/>
  <c r="N86" i="2"/>
  <c r="E30" i="2" s="1"/>
  <c r="M83" i="2"/>
  <c r="M84" i="2" s="1"/>
  <c r="L83" i="2"/>
  <c r="L84" i="2" s="1"/>
  <c r="K59" i="2"/>
  <c r="K85" i="2" s="1"/>
  <c r="J83" i="2"/>
  <c r="J84" i="2" s="1"/>
  <c r="I59" i="2"/>
  <c r="I83" i="2" s="1"/>
  <c r="I84" i="2" s="1"/>
  <c r="I86" i="2" s="1"/>
  <c r="E25" i="2" s="1"/>
  <c r="G83" i="2"/>
  <c r="G84" i="2"/>
  <c r="C24" i="2" s="1"/>
  <c r="G86" i="2"/>
  <c r="E24" i="2" s="1"/>
  <c r="F83" i="2"/>
  <c r="F84" i="2" s="1"/>
  <c r="E83" i="2"/>
  <c r="E84" i="2" s="1"/>
  <c r="D83" i="2"/>
  <c r="D84" i="2"/>
  <c r="D86" i="2" s="1"/>
  <c r="C83" i="2"/>
  <c r="C84" i="2"/>
  <c r="C20" i="2" s="1"/>
  <c r="C86" i="2"/>
  <c r="E20" i="2" s="1"/>
  <c r="B83" i="2"/>
  <c r="B84" i="2" s="1"/>
  <c r="B86" i="2" s="1"/>
  <c r="E19" i="2" s="1"/>
  <c r="AG85" i="2"/>
  <c r="AE85" i="2"/>
  <c r="AD85" i="2"/>
  <c r="AC85" i="2"/>
  <c r="AB85" i="2"/>
  <c r="AA85" i="2"/>
  <c r="Z85" i="2"/>
  <c r="Y85" i="2"/>
  <c r="V85" i="2"/>
  <c r="U85" i="2"/>
  <c r="T85" i="2"/>
  <c r="S85" i="2"/>
  <c r="R85" i="2"/>
  <c r="Q85" i="2"/>
  <c r="P85" i="2"/>
  <c r="O85" i="2"/>
  <c r="N85" i="2"/>
  <c r="M85" i="2"/>
  <c r="L85" i="2"/>
  <c r="J85" i="2"/>
  <c r="G85" i="2"/>
  <c r="F85" i="2"/>
  <c r="E85" i="2"/>
  <c r="D85" i="2"/>
  <c r="C85" i="2"/>
  <c r="B85" i="2"/>
  <c r="AG82" i="2"/>
  <c r="AE82" i="2"/>
  <c r="AD82" i="2"/>
  <c r="AC82" i="2"/>
  <c r="AB82" i="2"/>
  <c r="AA82" i="2"/>
  <c r="Z82" i="2"/>
  <c r="Y82" i="2"/>
  <c r="V82" i="2"/>
  <c r="U82" i="2"/>
  <c r="T82" i="2"/>
  <c r="S82" i="2"/>
  <c r="R82" i="2"/>
  <c r="Q82" i="2"/>
  <c r="P82" i="2"/>
  <c r="O82" i="2"/>
  <c r="N82" i="2"/>
  <c r="M82" i="2"/>
  <c r="L82" i="2"/>
  <c r="J82" i="2"/>
  <c r="G82" i="2"/>
  <c r="F82" i="2"/>
  <c r="E82" i="2"/>
  <c r="D82" i="2"/>
  <c r="C82" i="2"/>
  <c r="B82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6" i="2"/>
  <c r="D40" i="2"/>
  <c r="D41" i="2"/>
  <c r="D42" i="2"/>
  <c r="D45" i="2"/>
  <c r="D46" i="2"/>
  <c r="D47" i="2"/>
  <c r="D48" i="2"/>
  <c r="D49" i="2"/>
  <c r="D50" i="2"/>
  <c r="D51" i="2"/>
  <c r="D52" i="2"/>
  <c r="D53" i="2"/>
  <c r="C15" i="2"/>
  <c r="D15" i="2" s="1"/>
  <c r="E6" i="2"/>
  <c r="B15" i="2" s="1"/>
  <c r="C14" i="2"/>
  <c r="D14" i="2"/>
  <c r="C13" i="2"/>
  <c r="D13" i="2" s="1"/>
  <c r="E4" i="2"/>
  <c r="B13" i="2" s="1"/>
  <c r="C12" i="2"/>
  <c r="D12" i="2" s="1"/>
  <c r="E3" i="2"/>
  <c r="B12" i="2"/>
  <c r="I8" i="2"/>
  <c r="I2" i="2"/>
  <c r="I6" i="2"/>
  <c r="H38" i="2" l="1"/>
  <c r="J35" i="2"/>
  <c r="C48" i="2"/>
  <c r="AB86" i="2"/>
  <c r="E48" i="2" s="1"/>
  <c r="I82" i="2"/>
  <c r="AF85" i="2"/>
  <c r="K82" i="2"/>
  <c r="I85" i="2"/>
  <c r="R86" i="2"/>
  <c r="E34" i="2" s="1"/>
  <c r="C23" i="2"/>
  <c r="F86" i="2"/>
  <c r="E23" i="2" s="1"/>
  <c r="C47" i="2"/>
  <c r="AA86" i="2"/>
  <c r="E47" i="2" s="1"/>
  <c r="C21" i="2"/>
  <c r="K83" i="2"/>
  <c r="K84" i="2" s="1"/>
  <c r="S86" i="2"/>
  <c r="E36" i="2" s="1"/>
  <c r="AC86" i="2"/>
  <c r="E49" i="2" s="1"/>
  <c r="C50" i="2"/>
  <c r="AD86" i="2"/>
  <c r="E50" i="2" s="1"/>
  <c r="C42" i="2"/>
  <c r="V86" i="2"/>
  <c r="E42" i="2" s="1"/>
  <c r="C31" i="2"/>
  <c r="O86" i="2"/>
  <c r="E31" i="2" s="1"/>
  <c r="E86" i="2"/>
  <c r="E22" i="2" s="1"/>
  <c r="C22" i="2"/>
  <c r="C26" i="2"/>
  <c r="J86" i="2"/>
  <c r="E26" i="2" s="1"/>
  <c r="D54" i="2"/>
  <c r="E5" i="2"/>
  <c r="B14" i="2" s="1"/>
  <c r="C19" i="2"/>
  <c r="C25" i="2"/>
  <c r="Q86" i="2"/>
  <c r="E33" i="2" s="1"/>
  <c r="C33" i="2"/>
  <c r="C28" i="2"/>
  <c r="L86" i="2"/>
  <c r="E28" i="2" s="1"/>
  <c r="AF86" i="2"/>
  <c r="E52" i="2" s="1"/>
  <c r="C52" i="2"/>
  <c r="M86" i="2"/>
  <c r="E29" i="2" s="1"/>
  <c r="C29" i="2"/>
  <c r="Y86" i="2"/>
  <c r="E45" i="2" s="1"/>
  <c r="C45" i="2"/>
  <c r="E21" i="2"/>
  <c r="C40" i="2"/>
  <c r="T86" i="2"/>
  <c r="E40" i="2" s="1"/>
  <c r="U86" i="2"/>
  <c r="E41" i="2" s="1"/>
  <c r="C41" i="2"/>
  <c r="P86" i="2"/>
  <c r="E32" i="2" s="1"/>
  <c r="C32" i="2"/>
  <c r="AF82" i="2"/>
  <c r="Z86" i="2"/>
  <c r="E46" i="2" s="1"/>
  <c r="C27" i="2" l="1"/>
  <c r="C54" i="2" s="1"/>
  <c r="K86" i="2"/>
  <c r="E27" i="2" s="1"/>
  <c r="E54" i="2" s="1"/>
  <c r="E2" i="2"/>
  <c r="I7" i="2" s="1"/>
  <c r="W86" i="2"/>
  <c r="I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3" authorId="0" shapeId="0" xr:uid="{5B7E5044-8787-4EAA-9D1F-F629400B6C65}">
      <text>
        <r>
          <rPr>
            <sz val="9"/>
            <color indexed="81"/>
            <rFont val="Tahoma"/>
            <family val="2"/>
          </rPr>
          <t xml:space="preserve">Usually 3 manpower is allocated. C/T taken with one manpower
</t>
        </r>
      </text>
    </comment>
    <comment ref="D44" authorId="0" shapeId="0" xr:uid="{9BC1BD41-AE68-4842-8216-85A80DB6CDB1}">
      <text>
        <r>
          <rPr>
            <b/>
            <sz val="9"/>
            <color indexed="81"/>
            <rFont val="Tahoma"/>
            <family val="2"/>
          </rPr>
          <t>C/T taken with one manpower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<sst xmlns="http://schemas.openxmlformats.org/spreadsheetml/2006/main" count="357" uniqueCount="101">
  <si>
    <t>Part Details</t>
  </si>
  <si>
    <t>PN</t>
  </si>
  <si>
    <t>10185581-02-005B1LF</t>
  </si>
  <si>
    <t>Line Name</t>
  </si>
  <si>
    <t>60A</t>
  </si>
  <si>
    <t>BU</t>
  </si>
  <si>
    <t>PWR</t>
  </si>
  <si>
    <t>Date</t>
  </si>
  <si>
    <t>2026-05-25</t>
  </si>
  <si>
    <t>Actual production per shift</t>
  </si>
  <si>
    <t>1</t>
  </si>
  <si>
    <t>Customer Demand Per Day</t>
  </si>
  <si>
    <t/>
  </si>
  <si>
    <t>Process</t>
  </si>
  <si>
    <t>Actual</t>
  </si>
  <si>
    <t>QAD</t>
  </si>
  <si>
    <t>Diff</t>
  </si>
  <si>
    <t>AUT</t>
  </si>
  <si>
    <t>SAU</t>
  </si>
  <si>
    <t>MAN</t>
  </si>
  <si>
    <t>INP</t>
  </si>
  <si>
    <t>S/N</t>
  </si>
  <si>
    <t>Actual Time</t>
  </si>
  <si>
    <t>Actual Manning</t>
  </si>
  <si>
    <t>Theoretical Manning</t>
  </si>
  <si>
    <t>Wire cutting</t>
  </si>
  <si>
    <t xml:space="preserve">Elbow 1 and Elbow 2 length marking </t>
  </si>
  <si>
    <t xml:space="preserve"> elbow 1 and elbow 2 marking</t>
  </si>
  <si>
    <t>Jacket stripping on both ends</t>
  </si>
  <si>
    <t>Wire stripping both ends</t>
  </si>
  <si>
    <t>Inner core cutting</t>
  </si>
  <si>
    <t xml:space="preserve">TPA staking short contact </t>
  </si>
  <si>
    <t xml:space="preserve">Cool band assembly </t>
  </si>
  <si>
    <t xml:space="preserve">TPA assembly to long contact </t>
  </si>
  <si>
    <t xml:space="preserve">Long contact Hex crimping </t>
  </si>
  <si>
    <t xml:space="preserve">Crimping of female contact </t>
  </si>
  <si>
    <t>Short contact crimpin̈g</t>
  </si>
  <si>
    <t>Hst insertion and shrinking</t>
  </si>
  <si>
    <t>Retainer clip insertion on both ends</t>
  </si>
  <si>
    <t xml:space="preserve">Houseing insertion </t>
  </si>
  <si>
    <t>Pre moulding of houseing @ yizumi</t>
  </si>
  <si>
    <t>Over moulding of houseing @ TKC 10</t>
  </si>
  <si>
    <t xml:space="preserve">Qc after houseing overmoulding </t>
  </si>
  <si>
    <t xml:space="preserve">Bubble wrapping  </t>
  </si>
  <si>
    <t>Elbow cutting</t>
  </si>
  <si>
    <t>Pre moulding of elbow 1</t>
  </si>
  <si>
    <t>Over moulding of elbow 1 and elbow 2</t>
  </si>
  <si>
    <t>Qc after overmoulding</t>
  </si>
  <si>
    <t xml:space="preserve">Latch assembly and snap assembly </t>
  </si>
  <si>
    <t>Labelling</t>
  </si>
  <si>
    <t>Hipot testing</t>
  </si>
  <si>
    <t>Final  QC</t>
  </si>
  <si>
    <t xml:space="preserve">Scanning,Protective cap assembly and Box packing </t>
  </si>
  <si>
    <t xml:space="preserve">Manual asserted tape cutting </t>
  </si>
  <si>
    <t>Total</t>
  </si>
  <si>
    <t>Type</t>
  </si>
  <si>
    <t>Category</t>
  </si>
  <si>
    <t>Frequency</t>
  </si>
  <si>
    <t>4th Min</t>
  </si>
  <si>
    <t>Average</t>
  </si>
  <si>
    <t>Max</t>
  </si>
  <si>
    <t>Takt Time</t>
  </si>
  <si>
    <t>machine</t>
  </si>
  <si>
    <t>manual</t>
  </si>
  <si>
    <t>Time Details</t>
  </si>
  <si>
    <t>Total Actual Time</t>
  </si>
  <si>
    <t>Total Auto Time</t>
  </si>
  <si>
    <t>Total Semi Auto Time</t>
  </si>
  <si>
    <t>Total Manual Time</t>
  </si>
  <si>
    <t>Total Inspection Time</t>
  </si>
  <si>
    <t>Manning and Capacity</t>
  </si>
  <si>
    <t>Total Actual Manning</t>
  </si>
  <si>
    <t>Total Theoretical Manning</t>
  </si>
  <si>
    <t>Bottleneck Processs</t>
  </si>
  <si>
    <t>Bottlenec Actual Time</t>
  </si>
  <si>
    <t>PPH Parts per Peron/hr)</t>
  </si>
  <si>
    <t>DL Efficiency</t>
  </si>
  <si>
    <t>Effective Capacity per Shift</t>
  </si>
  <si>
    <t>Min</t>
  </si>
  <si>
    <t>C/T in mins</t>
  </si>
  <si>
    <t>output per hour</t>
  </si>
  <si>
    <t xml:space="preserve">machine </t>
  </si>
  <si>
    <t xml:space="preserve">Manual Acetate tape cutting </t>
  </si>
  <si>
    <t xml:space="preserve">Over moulding of elbow 1 </t>
  </si>
  <si>
    <t>pre moulding of elbow 2</t>
  </si>
  <si>
    <t>over moulding of elbow2</t>
  </si>
  <si>
    <t>Pre moulding of elbow 2</t>
  </si>
  <si>
    <t>overmoulding of elbow 2</t>
  </si>
  <si>
    <t>Pre moulding of houseing @ yizumi- A side + B side</t>
  </si>
  <si>
    <t>Over moulding of houseing @ TKC 10- A side + B side</t>
  </si>
  <si>
    <t>Before</t>
  </si>
  <si>
    <t>After</t>
  </si>
  <si>
    <t>Pre Moulding of housing @ TKC- A side - 2 Cav</t>
  </si>
  <si>
    <t>Pre Moulding of housing @ Yizumi- B side - 1 Cav</t>
  </si>
  <si>
    <t>Overmolding of housing @ TKC -A side-  1 Cav</t>
  </si>
  <si>
    <t>Overnolding of housing @ TKC- B side- 1 Cav</t>
  </si>
  <si>
    <t>Actual Time- sec</t>
  </si>
  <si>
    <t>C/T in sec</t>
  </si>
  <si>
    <t>200/shift</t>
  </si>
  <si>
    <t>Bottle neck C/T</t>
  </si>
  <si>
    <t>O/P Per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</si>
</sst>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9CC2E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/>
    <xf numFmtId="0" fontId="0" fillId="6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4" borderId="3" xfId="0" applyFill="1" applyBorder="1"/>
    <xf numFmtId="2" fontId="0" fillId="0" borderId="3" xfId="0" applyNumberFormat="1" applyBorder="1" applyAlignment="1">
      <alignment horizontal="center" vertical="center" wrapText="1"/>
    </xf>
    <xf numFmtId="0" fontId="0" fillId="0" borderId="3" xfId="0" applyBorder="1"/>
    <xf numFmtId="2" fontId="0" fillId="5" borderId="3" xfId="0" applyNumberFormat="1" applyFill="1" applyBorder="1" applyAlignment="1">
      <alignment horizontal="center" vertical="center" wrapText="1"/>
    </xf>
    <xf numFmtId="0" fontId="0" fillId="5" borderId="3" xfId="0" applyFill="1" applyBorder="1"/>
    <xf numFmtId="2" fontId="0" fillId="0" borderId="3" xfId="0" applyNumberFormat="1" applyBorder="1"/>
    <xf numFmtId="164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8" borderId="3" xfId="0" applyNumberForma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" fontId="0" fillId="8" borderId="3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CAD3-FA62-45DC-905B-36400693D44B}">
  <dimension ref="A1:AG81"/>
  <sheetViews>
    <sheetView tabSelected="1" zoomScale="68" zoomScaleNormal="70" workbookViewId="0">
      <selection activeCell="A7" sqref="A7:B7"/>
    </sheetView>
  </sheetViews>
  <sheetFormatPr defaultRowHeight="14.5" x14ac:dyDescent="0.35"/>
  <cols>
    <col min="1" max="1" width="10.36328125" customWidth="1"/>
    <col min="2" max="2" width="46.453125" bestFit="1" customWidth="1"/>
    <col min="3" max="5" width="20" customWidth="1"/>
    <col min="6" max="39" width="18" customWidth="1"/>
  </cols>
  <sheetData>
    <row r="1" spans="1:11" x14ac:dyDescent="0.35">
      <c r="A1" s="31" t="s">
        <v>0</v>
      </c>
      <c r="B1" s="32"/>
    </row>
    <row r="2" spans="1:11" x14ac:dyDescent="0.35">
      <c r="A2" s="1" t="s">
        <v>1</v>
      </c>
      <c r="B2" s="1" t="s">
        <v>2</v>
      </c>
      <c r="J2" s="22"/>
      <c r="K2" s="22"/>
    </row>
    <row r="3" spans="1:11" x14ac:dyDescent="0.35">
      <c r="A3" s="1" t="s">
        <v>3</v>
      </c>
      <c r="B3" s="1" t="s">
        <v>4</v>
      </c>
      <c r="J3" s="22"/>
      <c r="K3" s="22"/>
    </row>
    <row r="4" spans="1:11" x14ac:dyDescent="0.35">
      <c r="A4" s="1" t="s">
        <v>5</v>
      </c>
      <c r="B4" s="1" t="s">
        <v>6</v>
      </c>
    </row>
    <row r="5" spans="1:11" x14ac:dyDescent="0.35">
      <c r="A5" s="1" t="s">
        <v>7</v>
      </c>
      <c r="B5" s="1" t="s">
        <v>8</v>
      </c>
      <c r="I5" s="14"/>
      <c r="J5" s="20" t="s">
        <v>90</v>
      </c>
      <c r="K5" s="20" t="s">
        <v>91</v>
      </c>
    </row>
    <row r="6" spans="1:11" x14ac:dyDescent="0.35">
      <c r="A6" s="1" t="s">
        <v>9</v>
      </c>
      <c r="B6" s="1" t="s">
        <v>10</v>
      </c>
      <c r="I6" s="14" t="s">
        <v>100</v>
      </c>
      <c r="J6" s="21">
        <f>J7*7</f>
        <v>121.11548378341702</v>
      </c>
      <c r="K6" s="21">
        <f>K7*7</f>
        <v>213.72031662269129</v>
      </c>
    </row>
    <row r="7" spans="1:11" x14ac:dyDescent="0.35">
      <c r="A7" s="1"/>
      <c r="B7" s="1"/>
      <c r="I7" s="14" t="s">
        <v>99</v>
      </c>
      <c r="J7" s="21">
        <f>F29</f>
        <v>17.302211969059574</v>
      </c>
      <c r="K7" s="21">
        <f>F41</f>
        <v>30.531473803241614</v>
      </c>
    </row>
    <row r="8" spans="1:11" x14ac:dyDescent="0.35">
      <c r="B8" t="s">
        <v>12</v>
      </c>
    </row>
    <row r="10" spans="1:11" x14ac:dyDescent="0.35">
      <c r="J10" s="22"/>
      <c r="K10" s="22"/>
    </row>
    <row r="12" spans="1:11" x14ac:dyDescent="0.35">
      <c r="C12" s="33" t="s">
        <v>90</v>
      </c>
      <c r="D12" s="34"/>
      <c r="E12" s="34"/>
      <c r="F12" s="35"/>
      <c r="G12" s="28" t="s">
        <v>91</v>
      </c>
      <c r="H12" s="29"/>
      <c r="I12" s="30"/>
    </row>
    <row r="13" spans="1:11" x14ac:dyDescent="0.35">
      <c r="A13" s="5" t="s">
        <v>21</v>
      </c>
      <c r="B13" s="8" t="s">
        <v>13</v>
      </c>
      <c r="C13" s="11" t="s">
        <v>96</v>
      </c>
      <c r="D13" s="11" t="s">
        <v>23</v>
      </c>
      <c r="E13" s="11" t="s">
        <v>79</v>
      </c>
      <c r="F13" s="11" t="s">
        <v>80</v>
      </c>
      <c r="G13" s="19" t="s">
        <v>97</v>
      </c>
      <c r="H13" s="12" t="s">
        <v>79</v>
      </c>
      <c r="I13" s="12" t="s">
        <v>80</v>
      </c>
    </row>
    <row r="14" spans="1:11" x14ac:dyDescent="0.35">
      <c r="A14" s="1">
        <v>1</v>
      </c>
      <c r="B14" s="9" t="s">
        <v>25</v>
      </c>
      <c r="C14" s="13">
        <f>B78</f>
        <v>24.040641711229949</v>
      </c>
      <c r="D14" s="13">
        <v>2</v>
      </c>
      <c r="E14" s="24">
        <f>C14/60</f>
        <v>0.40067736185383246</v>
      </c>
      <c r="F14" s="21">
        <f>60/E14</f>
        <v>149.74641872052672</v>
      </c>
      <c r="G14" s="14"/>
      <c r="H14" s="14"/>
      <c r="I14" s="14"/>
    </row>
    <row r="15" spans="1:11" x14ac:dyDescent="0.35">
      <c r="A15" s="1">
        <v>2</v>
      </c>
      <c r="B15" s="9" t="s">
        <v>26</v>
      </c>
      <c r="C15" s="13">
        <f>C78</f>
        <v>29.276470588235291</v>
      </c>
      <c r="D15" s="13">
        <v>2</v>
      </c>
      <c r="E15" s="24">
        <f t="shared" ref="E15:E31" si="0">C15/60</f>
        <v>0.48794117647058821</v>
      </c>
      <c r="F15" s="21">
        <f t="shared" ref="F15:F31" si="1">60/E15</f>
        <v>122.96564195298373</v>
      </c>
      <c r="G15" s="14"/>
      <c r="H15" s="14"/>
      <c r="I15" s="14"/>
    </row>
    <row r="16" spans="1:11" x14ac:dyDescent="0.35">
      <c r="A16" s="1">
        <v>3</v>
      </c>
      <c r="B16" s="9" t="s">
        <v>27</v>
      </c>
      <c r="C16" s="13">
        <f>D78</f>
        <v>42.77411764705883</v>
      </c>
      <c r="D16" s="13">
        <v>2</v>
      </c>
      <c r="E16" s="24">
        <f t="shared" si="0"/>
        <v>0.71290196078431378</v>
      </c>
      <c r="F16" s="21">
        <f t="shared" si="1"/>
        <v>84.163045272017158</v>
      </c>
      <c r="G16" s="14"/>
      <c r="H16" s="14"/>
      <c r="I16" s="14"/>
    </row>
    <row r="17" spans="1:11" x14ac:dyDescent="0.35">
      <c r="A17" s="1">
        <v>4</v>
      </c>
      <c r="B17" s="9" t="s">
        <v>28</v>
      </c>
      <c r="C17" s="13">
        <f>E78</f>
        <v>43.268235294117645</v>
      </c>
      <c r="D17" s="13">
        <f>E54</f>
        <v>1</v>
      </c>
      <c r="E17" s="24">
        <f t="shared" si="0"/>
        <v>0.72113725490196079</v>
      </c>
      <c r="F17" s="21">
        <f t="shared" si="1"/>
        <v>83.201914187829686</v>
      </c>
      <c r="G17" s="14"/>
      <c r="H17" s="14"/>
      <c r="I17" s="14"/>
    </row>
    <row r="18" spans="1:11" x14ac:dyDescent="0.35">
      <c r="A18" s="1">
        <v>5</v>
      </c>
      <c r="B18" s="9" t="s">
        <v>29</v>
      </c>
      <c r="C18" s="13">
        <f>F78</f>
        <v>42.299019607843128</v>
      </c>
      <c r="D18" s="13">
        <f>F54</f>
        <v>1</v>
      </c>
      <c r="E18" s="24">
        <f t="shared" si="0"/>
        <v>0.70498366013071878</v>
      </c>
      <c r="F18" s="21">
        <f t="shared" si="1"/>
        <v>85.108355545254398</v>
      </c>
      <c r="G18" s="14"/>
      <c r="H18" s="14"/>
      <c r="I18" s="14"/>
    </row>
    <row r="19" spans="1:11" x14ac:dyDescent="0.35">
      <c r="A19" s="1">
        <v>6</v>
      </c>
      <c r="B19" s="9" t="s">
        <v>30</v>
      </c>
      <c r="C19" s="13">
        <f>G78</f>
        <v>38.758288770053476</v>
      </c>
      <c r="D19" s="13">
        <f>G54</f>
        <v>1</v>
      </c>
      <c r="E19" s="24">
        <f t="shared" si="0"/>
        <v>0.64597147950089129</v>
      </c>
      <c r="F19" s="21">
        <f t="shared" si="1"/>
        <v>92.883357708546043</v>
      </c>
      <c r="G19" s="14"/>
      <c r="H19" s="14"/>
      <c r="I19" s="14"/>
    </row>
    <row r="20" spans="1:11" x14ac:dyDescent="0.35">
      <c r="A20" s="1">
        <v>7</v>
      </c>
      <c r="B20" s="9" t="s">
        <v>31</v>
      </c>
      <c r="C20" s="13">
        <f>I78</f>
        <v>9.9160784313725507</v>
      </c>
      <c r="D20" s="13">
        <v>0.5</v>
      </c>
      <c r="E20" s="24">
        <f t="shared" si="0"/>
        <v>0.16526797385620917</v>
      </c>
      <c r="F20" s="21">
        <f t="shared" si="1"/>
        <v>363.04674523451706</v>
      </c>
      <c r="G20" s="14"/>
      <c r="H20" s="14"/>
      <c r="I20" s="14"/>
    </row>
    <row r="21" spans="1:11" x14ac:dyDescent="0.35">
      <c r="A21" s="1">
        <v>8</v>
      </c>
      <c r="B21" s="9" t="s">
        <v>32</v>
      </c>
      <c r="C21" s="13">
        <f>J78</f>
        <v>72.76705882352941</v>
      </c>
      <c r="D21" s="13">
        <f>J54</f>
        <v>1</v>
      </c>
      <c r="E21" s="24">
        <f t="shared" si="0"/>
        <v>1.2127843137254901</v>
      </c>
      <c r="F21" s="21">
        <f t="shared" si="1"/>
        <v>49.472935394166726</v>
      </c>
      <c r="G21" s="14"/>
      <c r="H21" s="14"/>
      <c r="I21" s="14"/>
    </row>
    <row r="22" spans="1:11" x14ac:dyDescent="0.35">
      <c r="A22" s="1">
        <v>9</v>
      </c>
      <c r="B22" s="9" t="s">
        <v>33</v>
      </c>
      <c r="C22" s="13">
        <f>K78</f>
        <v>7.7855203619909474</v>
      </c>
      <c r="D22" s="13">
        <v>0.5</v>
      </c>
      <c r="E22" s="24">
        <f t="shared" si="0"/>
        <v>0.12975867269984911</v>
      </c>
      <c r="F22" s="21">
        <f t="shared" si="1"/>
        <v>462.39683831221686</v>
      </c>
      <c r="G22" s="14"/>
      <c r="H22" s="14"/>
      <c r="I22" s="14"/>
    </row>
    <row r="23" spans="1:11" x14ac:dyDescent="0.35">
      <c r="A23" s="1">
        <v>10</v>
      </c>
      <c r="B23" s="9" t="s">
        <v>34</v>
      </c>
      <c r="C23" s="13">
        <f>L78</f>
        <v>19.10588235294118</v>
      </c>
      <c r="D23" s="13">
        <f>L54</f>
        <v>1</v>
      </c>
      <c r="E23" s="24">
        <f t="shared" si="0"/>
        <v>0.31843137254901965</v>
      </c>
      <c r="F23" s="21">
        <f t="shared" si="1"/>
        <v>188.42364532019701</v>
      </c>
      <c r="G23" s="14"/>
      <c r="H23" s="14"/>
      <c r="I23" s="14"/>
    </row>
    <row r="24" spans="1:11" x14ac:dyDescent="0.35">
      <c r="A24" s="1">
        <v>11</v>
      </c>
      <c r="B24" s="9" t="s">
        <v>35</v>
      </c>
      <c r="C24" s="13">
        <f>M78</f>
        <v>58.365490196078426</v>
      </c>
      <c r="D24" s="13">
        <f>M54</f>
        <v>1</v>
      </c>
      <c r="E24" s="24">
        <f t="shared" si="0"/>
        <v>0.97275816993464048</v>
      </c>
      <c r="F24" s="21">
        <f t="shared" si="1"/>
        <v>61.68028380993335</v>
      </c>
      <c r="G24" s="14"/>
      <c r="H24" s="14"/>
      <c r="I24" s="14"/>
    </row>
    <row r="25" spans="1:11" x14ac:dyDescent="0.35">
      <c r="A25" s="1">
        <v>12</v>
      </c>
      <c r="B25" s="9" t="s">
        <v>36</v>
      </c>
      <c r="C25" s="13">
        <f>N78</f>
        <v>40.135757575757573</v>
      </c>
      <c r="D25" s="13">
        <f>N54</f>
        <v>1</v>
      </c>
      <c r="E25" s="24">
        <f t="shared" si="0"/>
        <v>0.66892929292929293</v>
      </c>
      <c r="F25" s="21">
        <f t="shared" si="1"/>
        <v>89.695578642184103</v>
      </c>
      <c r="G25" s="14"/>
      <c r="H25" s="14"/>
      <c r="I25" s="14"/>
    </row>
    <row r="26" spans="1:11" x14ac:dyDescent="0.35">
      <c r="A26" s="1">
        <v>13</v>
      </c>
      <c r="B26" s="9" t="s">
        <v>37</v>
      </c>
      <c r="C26" s="13">
        <f>O78</f>
        <v>90.677005347593607</v>
      </c>
      <c r="D26" s="13">
        <f>O54</f>
        <v>1</v>
      </c>
      <c r="E26" s="24">
        <f t="shared" si="0"/>
        <v>1.5112834224598934</v>
      </c>
      <c r="F26" s="21">
        <f t="shared" si="1"/>
        <v>39.701355224514337</v>
      </c>
      <c r="G26" s="14"/>
      <c r="H26" s="14"/>
      <c r="I26" s="14"/>
    </row>
    <row r="27" spans="1:11" x14ac:dyDescent="0.35">
      <c r="A27" s="1">
        <v>14</v>
      </c>
      <c r="B27" s="9" t="s">
        <v>38</v>
      </c>
      <c r="C27" s="13">
        <f>P78</f>
        <v>29.073109243697481</v>
      </c>
      <c r="D27" s="13">
        <v>1</v>
      </c>
      <c r="E27" s="24">
        <f t="shared" si="0"/>
        <v>0.48455182072829134</v>
      </c>
      <c r="F27" s="21">
        <f t="shared" si="1"/>
        <v>123.82576523976067</v>
      </c>
      <c r="G27" s="14"/>
      <c r="H27" s="14"/>
      <c r="I27" s="14"/>
    </row>
    <row r="28" spans="1:11" x14ac:dyDescent="0.35">
      <c r="A28" s="1">
        <v>15</v>
      </c>
      <c r="B28" s="9" t="s">
        <v>39</v>
      </c>
      <c r="C28" s="13">
        <f>Q78</f>
        <v>37.916470588235292</v>
      </c>
      <c r="D28" s="13">
        <v>1</v>
      </c>
      <c r="E28" s="24">
        <f t="shared" si="0"/>
        <v>0.63194117647058823</v>
      </c>
      <c r="F28" s="21">
        <f t="shared" si="1"/>
        <v>94.945545936889133</v>
      </c>
      <c r="G28" s="14"/>
      <c r="H28" s="14"/>
      <c r="I28" s="14"/>
    </row>
    <row r="29" spans="1:11" x14ac:dyDescent="0.35">
      <c r="A29" s="1">
        <v>16</v>
      </c>
      <c r="B29" s="9" t="s">
        <v>88</v>
      </c>
      <c r="C29" s="15">
        <f>R78</f>
        <v>208.0658823529412</v>
      </c>
      <c r="D29" s="13">
        <f>R54</f>
        <v>1</v>
      </c>
      <c r="E29" s="25">
        <f t="shared" si="0"/>
        <v>3.4677647058823533</v>
      </c>
      <c r="F29" s="26">
        <f t="shared" si="1"/>
        <v>17.302211969059574</v>
      </c>
      <c r="G29" s="14"/>
      <c r="H29" s="14"/>
      <c r="I29" s="14"/>
      <c r="K29" s="22"/>
    </row>
    <row r="30" spans="1:11" x14ac:dyDescent="0.35">
      <c r="A30" s="1">
        <v>17</v>
      </c>
      <c r="B30" s="9" t="s">
        <v>92</v>
      </c>
      <c r="C30" s="13"/>
      <c r="D30" s="13"/>
      <c r="E30" s="14"/>
      <c r="F30" s="14"/>
      <c r="G30" s="20">
        <f>H30*60</f>
        <v>42.3</v>
      </c>
      <c r="H30" s="14">
        <f>1.41/2</f>
        <v>0.70499999999999996</v>
      </c>
      <c r="I30" s="18">
        <f>60/H30</f>
        <v>85.106382978723403</v>
      </c>
    </row>
    <row r="31" spans="1:11" x14ac:dyDescent="0.35">
      <c r="A31" s="1">
        <v>18</v>
      </c>
      <c r="B31" s="9" t="s">
        <v>89</v>
      </c>
      <c r="C31" s="15">
        <f>S78</f>
        <v>206.50588235294114</v>
      </c>
      <c r="D31" s="13">
        <f>S54</f>
        <v>1</v>
      </c>
      <c r="E31" s="25">
        <f t="shared" si="0"/>
        <v>3.4417647058823522</v>
      </c>
      <c r="F31" s="26">
        <f t="shared" si="1"/>
        <v>17.432917450008549</v>
      </c>
      <c r="G31" s="14"/>
      <c r="H31" s="14"/>
      <c r="I31" s="14"/>
      <c r="K31" s="22"/>
    </row>
    <row r="32" spans="1:11" x14ac:dyDescent="0.35">
      <c r="A32" s="1">
        <v>19</v>
      </c>
      <c r="B32" s="9" t="s">
        <v>93</v>
      </c>
      <c r="C32" s="13"/>
      <c r="D32" s="13"/>
      <c r="E32" s="14"/>
      <c r="F32" s="14"/>
      <c r="G32" s="21">
        <f>H32*60</f>
        <v>88.941176470588232</v>
      </c>
      <c r="H32" s="17">
        <f>1.26/0.85</f>
        <v>1.4823529411764707</v>
      </c>
      <c r="I32" s="18">
        <f t="shared" ref="I32:I34" si="2">60/H32</f>
        <v>40.476190476190474</v>
      </c>
      <c r="K32" s="22"/>
    </row>
    <row r="33" spans="1:11" x14ac:dyDescent="0.35">
      <c r="A33" s="1">
        <v>20</v>
      </c>
      <c r="B33" s="9" t="s">
        <v>94</v>
      </c>
      <c r="C33" s="13"/>
      <c r="D33" s="13"/>
      <c r="E33" s="14"/>
      <c r="F33" s="14"/>
      <c r="G33" s="21">
        <f t="shared" ref="G33:G34" si="3">H33*60</f>
        <v>83.294117647058826</v>
      </c>
      <c r="H33" s="17">
        <f>1.18/0.85</f>
        <v>1.388235294117647</v>
      </c>
      <c r="I33" s="18">
        <f t="shared" si="2"/>
        <v>43.220338983050851</v>
      </c>
      <c r="K33" s="22"/>
    </row>
    <row r="34" spans="1:11" x14ac:dyDescent="0.35">
      <c r="A34" s="1">
        <v>21</v>
      </c>
      <c r="B34" s="9" t="s">
        <v>95</v>
      </c>
      <c r="C34" s="13"/>
      <c r="D34" s="13"/>
      <c r="E34" s="14"/>
      <c r="F34" s="14"/>
      <c r="G34" s="21">
        <f t="shared" si="3"/>
        <v>94.588235294117652</v>
      </c>
      <c r="H34" s="17">
        <f>1.34/0.85</f>
        <v>1.5764705882352943</v>
      </c>
      <c r="I34" s="23">
        <f t="shared" si="2"/>
        <v>38.059701492537307</v>
      </c>
      <c r="K34" s="22"/>
    </row>
    <row r="35" spans="1:11" x14ac:dyDescent="0.35">
      <c r="A35" s="1">
        <v>22</v>
      </c>
      <c r="B35" s="9" t="s">
        <v>42</v>
      </c>
      <c r="C35" s="13">
        <f>T78</f>
        <v>24.608403361344539</v>
      </c>
      <c r="D35" s="13">
        <v>0.5</v>
      </c>
      <c r="E35" s="25">
        <f t="shared" ref="E35:E47" si="4">C35/60</f>
        <v>0.41014005602240899</v>
      </c>
      <c r="F35" s="21">
        <f t="shared" ref="F35:F47" si="5">60/E35</f>
        <v>146.29149023357465</v>
      </c>
      <c r="G35" s="14"/>
      <c r="H35" s="14"/>
      <c r="I35" s="14"/>
    </row>
    <row r="36" spans="1:11" x14ac:dyDescent="0.35">
      <c r="A36" s="1">
        <v>23</v>
      </c>
      <c r="B36" s="9" t="s">
        <v>43</v>
      </c>
      <c r="C36" s="13">
        <f>U78</f>
        <v>19.985294117647054</v>
      </c>
      <c r="D36" s="13">
        <v>0.5</v>
      </c>
      <c r="E36" s="25">
        <f t="shared" si="4"/>
        <v>0.33308823529411757</v>
      </c>
      <c r="F36" s="21">
        <f t="shared" si="5"/>
        <v>180.13245033112588</v>
      </c>
      <c r="G36" s="14"/>
      <c r="H36" s="14"/>
      <c r="I36" s="14"/>
    </row>
    <row r="37" spans="1:11" x14ac:dyDescent="0.35">
      <c r="A37" s="1">
        <v>24</v>
      </c>
      <c r="B37" s="9" t="s">
        <v>44</v>
      </c>
      <c r="C37" s="13">
        <f>V78</f>
        <v>95.558787878787882</v>
      </c>
      <c r="D37" s="13">
        <v>3</v>
      </c>
      <c r="E37" s="25">
        <f t="shared" si="4"/>
        <v>1.5926464646464646</v>
      </c>
      <c r="F37" s="21">
        <f t="shared" si="5"/>
        <v>37.673144248820336</v>
      </c>
      <c r="G37" s="14"/>
      <c r="H37" s="14"/>
      <c r="I37" s="14"/>
    </row>
    <row r="38" spans="1:11" x14ac:dyDescent="0.35">
      <c r="A38" s="1">
        <v>25</v>
      </c>
      <c r="B38" s="9" t="s">
        <v>84</v>
      </c>
      <c r="C38" s="13">
        <v>114.66</v>
      </c>
      <c r="D38" s="13">
        <v>2</v>
      </c>
      <c r="E38" s="25">
        <f t="shared" si="4"/>
        <v>1.911</v>
      </c>
      <c r="F38" s="27">
        <f t="shared" si="5"/>
        <v>31.397174254317111</v>
      </c>
      <c r="G38" s="14"/>
      <c r="H38" s="14"/>
      <c r="I38" s="14"/>
    </row>
    <row r="39" spans="1:11" x14ac:dyDescent="0.35">
      <c r="A39" s="1">
        <v>26</v>
      </c>
      <c r="B39" s="9" t="s">
        <v>85</v>
      </c>
      <c r="C39" s="13">
        <v>103.19</v>
      </c>
      <c r="D39" s="13">
        <v>2</v>
      </c>
      <c r="E39" s="25">
        <f t="shared" si="4"/>
        <v>1.7198333333333333</v>
      </c>
      <c r="F39" s="21">
        <f t="shared" si="5"/>
        <v>34.887101463320093</v>
      </c>
      <c r="G39" s="14"/>
      <c r="H39" s="14"/>
      <c r="I39" s="14"/>
    </row>
    <row r="40" spans="1:11" x14ac:dyDescent="0.35">
      <c r="A40" s="1">
        <v>27</v>
      </c>
      <c r="B40" s="9" t="s">
        <v>45</v>
      </c>
      <c r="C40" s="13">
        <f>Y78</f>
        <v>98.977450980392149</v>
      </c>
      <c r="D40" s="13">
        <f>Y54</f>
        <v>2</v>
      </c>
      <c r="E40" s="25">
        <f t="shared" si="4"/>
        <v>1.6496241830065359</v>
      </c>
      <c r="F40" s="21">
        <f t="shared" si="5"/>
        <v>36.371920718721832</v>
      </c>
      <c r="G40" s="14"/>
      <c r="H40" s="14"/>
      <c r="I40" s="14"/>
    </row>
    <row r="41" spans="1:11" x14ac:dyDescent="0.35">
      <c r="A41" s="1">
        <v>28</v>
      </c>
      <c r="B41" s="9" t="s">
        <v>83</v>
      </c>
      <c r="C41" s="13">
        <f>Z78</f>
        <v>117.91111111111111</v>
      </c>
      <c r="D41" s="13">
        <f>Z54</f>
        <v>2</v>
      </c>
      <c r="E41" s="25">
        <f t="shared" si="4"/>
        <v>1.9651851851851851</v>
      </c>
      <c r="F41" s="27">
        <f t="shared" si="5"/>
        <v>30.531473803241614</v>
      </c>
      <c r="G41" s="14"/>
      <c r="H41" s="14"/>
      <c r="I41" s="14"/>
    </row>
    <row r="42" spans="1:11" x14ac:dyDescent="0.35">
      <c r="A42" s="1">
        <v>29</v>
      </c>
      <c r="B42" s="9" t="s">
        <v>47</v>
      </c>
      <c r="C42" s="13">
        <f>AA78</f>
        <v>92.894117647058835</v>
      </c>
      <c r="D42" s="13">
        <f>AA54</f>
        <v>1</v>
      </c>
      <c r="E42" s="25">
        <f t="shared" si="4"/>
        <v>1.5482352941176472</v>
      </c>
      <c r="F42" s="21">
        <f t="shared" si="5"/>
        <v>38.753799392097264</v>
      </c>
      <c r="G42" s="14"/>
      <c r="H42" s="14"/>
      <c r="I42" s="14"/>
    </row>
    <row r="43" spans="1:11" x14ac:dyDescent="0.35">
      <c r="A43" s="1">
        <v>30</v>
      </c>
      <c r="B43" s="9" t="s">
        <v>48</v>
      </c>
      <c r="C43" s="13">
        <f>AB78</f>
        <v>171.16470588235296</v>
      </c>
      <c r="D43" s="13">
        <v>2</v>
      </c>
      <c r="E43" s="25">
        <f t="shared" si="4"/>
        <v>2.8527450980392159</v>
      </c>
      <c r="F43" s="21">
        <f t="shared" si="5"/>
        <v>21.032373358993745</v>
      </c>
      <c r="G43" s="14"/>
      <c r="H43" s="14"/>
      <c r="I43" s="14"/>
    </row>
    <row r="44" spans="1:11" x14ac:dyDescent="0.35">
      <c r="A44" s="1">
        <v>31</v>
      </c>
      <c r="B44" s="9" t="s">
        <v>49</v>
      </c>
      <c r="C44" s="13">
        <f>AC78</f>
        <v>231.75333333333333</v>
      </c>
      <c r="D44" s="13">
        <v>2</v>
      </c>
      <c r="E44" s="25">
        <f t="shared" si="4"/>
        <v>3.8625555555555553</v>
      </c>
      <c r="F44" s="21">
        <f t="shared" si="5"/>
        <v>15.533757155596469</v>
      </c>
      <c r="G44" s="14"/>
      <c r="H44" s="14"/>
      <c r="I44" s="14"/>
    </row>
    <row r="45" spans="1:11" x14ac:dyDescent="0.35">
      <c r="A45" s="1">
        <v>32</v>
      </c>
      <c r="B45" s="9" t="s">
        <v>50</v>
      </c>
      <c r="C45" s="13">
        <f>AD78</f>
        <v>74.278733031674221</v>
      </c>
      <c r="D45" s="13">
        <f>AD54</f>
        <v>1</v>
      </c>
      <c r="E45" s="25">
        <f t="shared" si="4"/>
        <v>1.2379788838612371</v>
      </c>
      <c r="F45" s="21">
        <f t="shared" si="5"/>
        <v>48.466093228392495</v>
      </c>
      <c r="G45" s="14"/>
      <c r="H45" s="14"/>
      <c r="I45" s="14"/>
    </row>
    <row r="46" spans="1:11" x14ac:dyDescent="0.35">
      <c r="A46" s="1">
        <v>33</v>
      </c>
      <c r="B46" s="9" t="s">
        <v>51</v>
      </c>
      <c r="C46" s="13">
        <f>AE78</f>
        <v>95.832888888888874</v>
      </c>
      <c r="D46" s="13">
        <f>AE54</f>
        <v>1</v>
      </c>
      <c r="E46" s="25">
        <f t="shared" si="4"/>
        <v>1.5972148148148146</v>
      </c>
      <c r="F46" s="21">
        <f t="shared" si="5"/>
        <v>37.565391607613257</v>
      </c>
      <c r="G46" s="14"/>
      <c r="H46" s="14"/>
      <c r="I46" s="14"/>
    </row>
    <row r="47" spans="1:11" x14ac:dyDescent="0.35">
      <c r="A47" s="1">
        <v>34</v>
      </c>
      <c r="B47" s="9" t="s">
        <v>52</v>
      </c>
      <c r="C47" s="13">
        <f>AF78</f>
        <v>61.428758169934639</v>
      </c>
      <c r="D47" s="13">
        <f>AF54</f>
        <v>2</v>
      </c>
      <c r="E47" s="25">
        <f t="shared" si="4"/>
        <v>1.0238126361655773</v>
      </c>
      <c r="F47" s="21">
        <f t="shared" si="5"/>
        <v>58.604473006618008</v>
      </c>
      <c r="G47" s="14"/>
      <c r="H47" s="14"/>
      <c r="I47" s="14"/>
    </row>
    <row r="48" spans="1:11" x14ac:dyDescent="0.35">
      <c r="A48" s="1"/>
      <c r="B48" s="9" t="s">
        <v>54</v>
      </c>
      <c r="C48" s="13">
        <f>ROUND(SUM(C14:C47),2)</f>
        <v>2302.9699999999998</v>
      </c>
      <c r="D48" s="13">
        <f>ROUND(SUM(D14:D47),2)</f>
        <v>40</v>
      </c>
      <c r="E48" s="14"/>
      <c r="F48" s="14"/>
      <c r="G48" s="14"/>
      <c r="H48" s="14"/>
      <c r="I48" s="14"/>
    </row>
    <row r="51" spans="1:33" x14ac:dyDescent="0.35">
      <c r="A51" s="2" t="s">
        <v>55</v>
      </c>
      <c r="B51" s="2" t="s">
        <v>62</v>
      </c>
      <c r="C51" s="2" t="s">
        <v>63</v>
      </c>
      <c r="D51" s="2" t="s">
        <v>62</v>
      </c>
      <c r="E51" s="2" t="s">
        <v>62</v>
      </c>
      <c r="F51" s="2" t="s">
        <v>62</v>
      </c>
      <c r="G51" s="2" t="s">
        <v>63</v>
      </c>
      <c r="H51" s="2"/>
      <c r="I51" s="2" t="s">
        <v>62</v>
      </c>
      <c r="J51" s="2" t="s">
        <v>81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63</v>
      </c>
      <c r="P51" s="2" t="s">
        <v>63</v>
      </c>
      <c r="Q51" s="2" t="s">
        <v>63</v>
      </c>
      <c r="R51" s="2" t="s">
        <v>62</v>
      </c>
      <c r="S51" s="2" t="s">
        <v>62</v>
      </c>
      <c r="T51" s="2" t="s">
        <v>63</v>
      </c>
      <c r="U51" s="2" t="s">
        <v>63</v>
      </c>
      <c r="V51" s="2" t="s">
        <v>63</v>
      </c>
      <c r="W51" s="2" t="s">
        <v>62</v>
      </c>
      <c r="X51" s="2" t="s">
        <v>62</v>
      </c>
      <c r="Y51" s="2" t="s">
        <v>62</v>
      </c>
      <c r="Z51" s="2" t="s">
        <v>62</v>
      </c>
      <c r="AA51" s="2" t="s">
        <v>63</v>
      </c>
      <c r="AB51" s="2" t="s">
        <v>63</v>
      </c>
      <c r="AC51" s="2" t="s">
        <v>63</v>
      </c>
      <c r="AD51" s="2" t="s">
        <v>81</v>
      </c>
      <c r="AE51" s="2" t="s">
        <v>63</v>
      </c>
      <c r="AF51" s="2" t="s">
        <v>63</v>
      </c>
      <c r="AG51" s="2" t="s">
        <v>63</v>
      </c>
    </row>
    <row r="52" spans="1:33" x14ac:dyDescent="0.35">
      <c r="A52" s="2" t="s">
        <v>56</v>
      </c>
      <c r="B52" s="2" t="s">
        <v>19</v>
      </c>
      <c r="C52" s="2" t="s">
        <v>19</v>
      </c>
      <c r="D52" s="2" t="s">
        <v>19</v>
      </c>
      <c r="E52" s="2" t="s">
        <v>19</v>
      </c>
      <c r="F52" s="2" t="s">
        <v>19</v>
      </c>
      <c r="G52" s="2" t="s">
        <v>19</v>
      </c>
      <c r="H52" s="2"/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T52" s="2" t="s">
        <v>19</v>
      </c>
      <c r="U52" s="2" t="s">
        <v>19</v>
      </c>
      <c r="V52" s="2" t="s">
        <v>19</v>
      </c>
      <c r="W52" s="2" t="s">
        <v>19</v>
      </c>
      <c r="X52" s="2" t="s">
        <v>19</v>
      </c>
      <c r="Y52" s="2" t="s">
        <v>19</v>
      </c>
      <c r="Z52" s="2" t="s">
        <v>19</v>
      </c>
      <c r="AA52" s="2" t="s">
        <v>19</v>
      </c>
      <c r="AB52" s="2" t="s">
        <v>19</v>
      </c>
      <c r="AC52" s="2" t="s">
        <v>19</v>
      </c>
      <c r="AD52" s="2" t="s">
        <v>19</v>
      </c>
      <c r="AE52" s="2" t="s">
        <v>19</v>
      </c>
      <c r="AF52" s="2" t="s">
        <v>19</v>
      </c>
      <c r="AG52" s="2" t="s">
        <v>19</v>
      </c>
    </row>
    <row r="53" spans="1:33" x14ac:dyDescent="0.35">
      <c r="A53" s="2" t="s">
        <v>57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2"/>
      <c r="I53" s="2">
        <f>2/3</f>
        <v>0.66666666666666663</v>
      </c>
      <c r="J53" s="2">
        <v>4</v>
      </c>
      <c r="K53" s="2">
        <f>1/2</f>
        <v>0.5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2</v>
      </c>
      <c r="S53" s="2">
        <v>2</v>
      </c>
      <c r="T53" s="2">
        <v>1</v>
      </c>
      <c r="U53" s="2">
        <v>1</v>
      </c>
      <c r="V53" s="2">
        <v>2</v>
      </c>
      <c r="W53" s="2">
        <v>1</v>
      </c>
      <c r="X53" s="2">
        <v>1</v>
      </c>
      <c r="Y53" s="2">
        <v>1</v>
      </c>
      <c r="Z53" s="2">
        <v>1</v>
      </c>
      <c r="AA53" s="2">
        <v>2</v>
      </c>
      <c r="AB53" s="2">
        <v>2</v>
      </c>
      <c r="AC53" s="2">
        <v>1</v>
      </c>
      <c r="AD53" s="2">
        <v>1</v>
      </c>
      <c r="AE53" s="2">
        <v>1</v>
      </c>
      <c r="AF53" s="2">
        <f>1/3</f>
        <v>0.33333333333333331</v>
      </c>
      <c r="AG53" s="2">
        <v>1</v>
      </c>
    </row>
    <row r="54" spans="1:33" ht="29" x14ac:dyDescent="0.35">
      <c r="A54" s="2" t="s">
        <v>23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/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2</v>
      </c>
      <c r="Q54" s="2">
        <v>2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2</v>
      </c>
      <c r="X54" s="2">
        <v>2</v>
      </c>
      <c r="Y54" s="2">
        <v>2</v>
      </c>
      <c r="Z54" s="2">
        <v>2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2</v>
      </c>
      <c r="AG54" s="2">
        <v>1</v>
      </c>
    </row>
    <row r="55" spans="1:33" ht="43.5" x14ac:dyDescent="0.35">
      <c r="A55" s="2" t="s">
        <v>13</v>
      </c>
      <c r="B55" s="2" t="s">
        <v>25</v>
      </c>
      <c r="C55" s="2" t="s">
        <v>26</v>
      </c>
      <c r="D55" s="2" t="s">
        <v>27</v>
      </c>
      <c r="E55" s="2" t="s">
        <v>28</v>
      </c>
      <c r="F55" s="2" t="s">
        <v>29</v>
      </c>
      <c r="G55" s="2" t="s">
        <v>30</v>
      </c>
      <c r="H55" s="2"/>
      <c r="I55" s="2" t="s">
        <v>31</v>
      </c>
      <c r="J55" s="2" t="s">
        <v>32</v>
      </c>
      <c r="K55" s="2" t="s">
        <v>33</v>
      </c>
      <c r="L55" s="2" t="s">
        <v>34</v>
      </c>
      <c r="M55" s="2" t="s">
        <v>35</v>
      </c>
      <c r="N55" s="2" t="s">
        <v>36</v>
      </c>
      <c r="O55" s="2" t="s">
        <v>37</v>
      </c>
      <c r="P55" s="2" t="s">
        <v>38</v>
      </c>
      <c r="Q55" s="2" t="s">
        <v>39</v>
      </c>
      <c r="R55" s="2" t="s">
        <v>40</v>
      </c>
      <c r="S55" s="2" t="s">
        <v>41</v>
      </c>
      <c r="T55" s="2" t="s">
        <v>42</v>
      </c>
      <c r="U55" s="2" t="s">
        <v>43</v>
      </c>
      <c r="V55" s="2" t="s">
        <v>44</v>
      </c>
      <c r="W55" s="2" t="s">
        <v>83</v>
      </c>
      <c r="X55" s="2" t="s">
        <v>45</v>
      </c>
      <c r="Y55" s="2" t="s">
        <v>87</v>
      </c>
      <c r="Z55" s="2" t="s">
        <v>86</v>
      </c>
      <c r="AA55" s="2" t="s">
        <v>47</v>
      </c>
      <c r="AB55" s="2" t="s">
        <v>48</v>
      </c>
      <c r="AC55" s="2" t="s">
        <v>49</v>
      </c>
      <c r="AD55" s="2" t="s">
        <v>50</v>
      </c>
      <c r="AE55" s="2" t="s">
        <v>51</v>
      </c>
      <c r="AF55" s="2" t="s">
        <v>52</v>
      </c>
      <c r="AG55" s="2" t="s">
        <v>82</v>
      </c>
    </row>
    <row r="56" spans="1:33" x14ac:dyDescent="0.35">
      <c r="A56" s="4">
        <v>1</v>
      </c>
      <c r="B56" s="2">
        <v>38.65</v>
      </c>
      <c r="C56" s="2">
        <v>28.58</v>
      </c>
      <c r="D56" s="2">
        <v>30.18</v>
      </c>
      <c r="E56" s="2">
        <v>35.130000000000003</v>
      </c>
      <c r="F56" s="2">
        <v>43.81</v>
      </c>
      <c r="G56" s="2">
        <v>33.4</v>
      </c>
      <c r="H56" s="2"/>
      <c r="I56" s="2">
        <v>14.39</v>
      </c>
      <c r="J56" s="2">
        <v>15.25</v>
      </c>
      <c r="K56" s="2">
        <v>13.45</v>
      </c>
      <c r="L56" s="2">
        <v>18.04</v>
      </c>
      <c r="M56" s="2">
        <v>74.62</v>
      </c>
      <c r="N56" s="2">
        <v>25.36</v>
      </c>
      <c r="O56" s="2">
        <v>72.41</v>
      </c>
      <c r="P56" s="2">
        <v>20.420000000000002</v>
      </c>
      <c r="Q56" s="2">
        <v>20.77</v>
      </c>
      <c r="R56" s="2">
        <v>91.93</v>
      </c>
      <c r="S56" s="2">
        <v>85.33</v>
      </c>
      <c r="T56" s="2">
        <v>16.82</v>
      </c>
      <c r="U56" s="2">
        <v>18.32</v>
      </c>
      <c r="V56" s="2">
        <v>42.69</v>
      </c>
      <c r="W56" s="2">
        <v>85.82</v>
      </c>
      <c r="X56" s="2">
        <v>97.05</v>
      </c>
      <c r="Y56" s="2">
        <v>80.260000000000005</v>
      </c>
      <c r="Z56" s="2">
        <v>113.64</v>
      </c>
      <c r="AA56" s="2">
        <v>52.83</v>
      </c>
      <c r="AB56" s="2">
        <v>76.09</v>
      </c>
      <c r="AC56" s="2">
        <v>165.29</v>
      </c>
      <c r="AD56" s="2">
        <v>55.7</v>
      </c>
      <c r="AE56" s="2">
        <v>58.71</v>
      </c>
      <c r="AF56" s="2">
        <v>158.51</v>
      </c>
      <c r="AG56" s="2">
        <v>56.51</v>
      </c>
    </row>
    <row r="57" spans="1:33" x14ac:dyDescent="0.35">
      <c r="A57" s="4">
        <v>2</v>
      </c>
      <c r="B57" s="2">
        <v>18.71</v>
      </c>
      <c r="C57" s="2">
        <v>31.36</v>
      </c>
      <c r="D57" s="2">
        <v>35.24</v>
      </c>
      <c r="E57" s="2">
        <v>35.75</v>
      </c>
      <c r="F57" s="2">
        <v>38.200000000000003</v>
      </c>
      <c r="G57" s="2">
        <v>31.75</v>
      </c>
      <c r="H57" s="2"/>
      <c r="I57" s="2">
        <v>13.79</v>
      </c>
      <c r="J57" s="2">
        <v>18.670000000000002</v>
      </c>
      <c r="K57" s="2">
        <v>13.76</v>
      </c>
      <c r="L57" s="2">
        <v>12.62</v>
      </c>
      <c r="M57" s="2">
        <v>74.31</v>
      </c>
      <c r="N57" s="2">
        <v>31.55</v>
      </c>
      <c r="O57" s="2">
        <v>82.13</v>
      </c>
      <c r="P57" s="2">
        <v>23.76</v>
      </c>
      <c r="Q57" s="2">
        <v>25.45</v>
      </c>
      <c r="R57" s="2">
        <v>85.45</v>
      </c>
      <c r="S57" s="2">
        <v>89.98</v>
      </c>
      <c r="T57" s="2">
        <v>23.86</v>
      </c>
      <c r="U57" s="2">
        <v>18.11</v>
      </c>
      <c r="V57" s="2">
        <v>31.27</v>
      </c>
      <c r="W57" s="2">
        <v>88.06</v>
      </c>
      <c r="X57" s="2">
        <v>95.75</v>
      </c>
      <c r="Y57" s="2">
        <v>88.1</v>
      </c>
      <c r="Z57" s="2">
        <v>100.76</v>
      </c>
      <c r="AA57" s="2">
        <v>25.47</v>
      </c>
      <c r="AB57" s="2">
        <v>82.25</v>
      </c>
      <c r="AC57" s="2">
        <v>198.03</v>
      </c>
      <c r="AD57" s="2">
        <v>65.790000000000006</v>
      </c>
      <c r="AE57" s="2">
        <v>70.55</v>
      </c>
      <c r="AF57" s="2">
        <v>134.5</v>
      </c>
      <c r="AG57" s="2">
        <v>12.79</v>
      </c>
    </row>
    <row r="58" spans="1:33" x14ac:dyDescent="0.35">
      <c r="A58" s="4">
        <v>3</v>
      </c>
      <c r="B58" s="2">
        <v>18.510000000000002</v>
      </c>
      <c r="C58" s="2">
        <v>23.31</v>
      </c>
      <c r="D58" s="2">
        <v>38.69</v>
      </c>
      <c r="E58" s="2">
        <v>38.72</v>
      </c>
      <c r="F58" s="2">
        <v>49.36</v>
      </c>
      <c r="G58" s="2">
        <v>30.53</v>
      </c>
      <c r="H58" s="2"/>
      <c r="I58" s="2">
        <v>12.09</v>
      </c>
      <c r="J58" s="2">
        <v>16.010000000000002</v>
      </c>
      <c r="K58" s="2">
        <v>13.47</v>
      </c>
      <c r="L58" s="2">
        <v>14.1</v>
      </c>
      <c r="M58" s="2">
        <v>59.03</v>
      </c>
      <c r="N58" s="2">
        <v>31.78</v>
      </c>
      <c r="O58" s="2">
        <v>79.45</v>
      </c>
      <c r="P58" s="2">
        <v>22.97</v>
      </c>
      <c r="Q58" s="2">
        <v>36.82</v>
      </c>
      <c r="R58" s="2">
        <v>87.25</v>
      </c>
      <c r="S58" s="2">
        <v>83.33</v>
      </c>
      <c r="T58" s="2">
        <v>33.119999999999997</v>
      </c>
      <c r="U58" s="2">
        <v>15.58</v>
      </c>
      <c r="V58" s="2">
        <v>34.549999999999997</v>
      </c>
      <c r="W58" s="2">
        <v>81.849999999999994</v>
      </c>
      <c r="X58" s="2">
        <v>98.59</v>
      </c>
      <c r="Y58" s="2">
        <v>82.13</v>
      </c>
      <c r="Z58" s="2">
        <v>96.22</v>
      </c>
      <c r="AA58" s="2">
        <v>32.880000000000003</v>
      </c>
      <c r="AB58" s="2">
        <v>79.349999999999994</v>
      </c>
      <c r="AC58" s="2">
        <v>217.76</v>
      </c>
      <c r="AD58" s="2">
        <v>68.33</v>
      </c>
      <c r="AE58" s="2">
        <v>78.22</v>
      </c>
      <c r="AF58" s="2">
        <v>153.41999999999999</v>
      </c>
      <c r="AG58" s="2">
        <v>49.33</v>
      </c>
    </row>
    <row r="59" spans="1:33" x14ac:dyDescent="0.35">
      <c r="A59" s="4">
        <v>4</v>
      </c>
      <c r="B59" s="2">
        <v>18.84</v>
      </c>
      <c r="C59" s="2">
        <v>20.9</v>
      </c>
      <c r="D59" s="2">
        <v>35.299999999999997</v>
      </c>
      <c r="E59" s="2">
        <v>36.15</v>
      </c>
      <c r="F59" s="2">
        <v>34</v>
      </c>
      <c r="G59" s="2">
        <v>30.14</v>
      </c>
      <c r="H59" s="2"/>
      <c r="I59" s="2">
        <v>10.42</v>
      </c>
      <c r="J59" s="2">
        <v>15.12</v>
      </c>
      <c r="K59" s="2">
        <v>13.64</v>
      </c>
      <c r="L59" s="2">
        <v>14.8</v>
      </c>
      <c r="M59" s="2">
        <v>59.22</v>
      </c>
      <c r="N59" s="2">
        <v>31.7</v>
      </c>
      <c r="O59" s="2">
        <v>70.62</v>
      </c>
      <c r="P59" s="2">
        <v>36.96</v>
      </c>
      <c r="Q59" s="2">
        <v>29.9</v>
      </c>
      <c r="R59" s="2">
        <v>86.49</v>
      </c>
      <c r="S59" s="2">
        <v>92.57</v>
      </c>
      <c r="T59" s="2">
        <v>11.06</v>
      </c>
      <c r="U59" s="2">
        <v>12.92</v>
      </c>
      <c r="V59" s="2">
        <v>31.45</v>
      </c>
      <c r="W59" s="2">
        <v>87.87</v>
      </c>
      <c r="X59" s="2">
        <v>101.28</v>
      </c>
      <c r="Y59" s="2">
        <v>69.87</v>
      </c>
      <c r="Z59" s="2">
        <v>100.49</v>
      </c>
      <c r="AA59" s="2">
        <v>29.06</v>
      </c>
      <c r="AB59" s="2">
        <v>66.33</v>
      </c>
      <c r="AC59" s="2">
        <v>174.28</v>
      </c>
      <c r="AD59" s="2">
        <v>85.05</v>
      </c>
      <c r="AE59" s="2">
        <v>92.89</v>
      </c>
      <c r="AF59" s="2">
        <v>177.08</v>
      </c>
      <c r="AG59" s="2">
        <v>16.829999999999998</v>
      </c>
    </row>
    <row r="60" spans="1:33" x14ac:dyDescent="0.35">
      <c r="A60" s="4">
        <v>5</v>
      </c>
      <c r="B60" s="2">
        <v>18.62</v>
      </c>
      <c r="C60" s="2">
        <v>25.47</v>
      </c>
      <c r="D60" s="2">
        <v>43.37</v>
      </c>
      <c r="E60" s="2">
        <v>34.76</v>
      </c>
      <c r="F60" s="2">
        <v>34.85</v>
      </c>
      <c r="G60" s="2">
        <v>33.06</v>
      </c>
      <c r="H60" s="2"/>
      <c r="I60" s="2">
        <v>12.13</v>
      </c>
      <c r="J60" s="2">
        <v>15.31</v>
      </c>
      <c r="K60" s="2">
        <v>14.09</v>
      </c>
      <c r="L60" s="2">
        <v>20.73</v>
      </c>
      <c r="M60" s="2">
        <v>47.65</v>
      </c>
      <c r="N60" s="2">
        <v>35.69</v>
      </c>
      <c r="O60" s="2">
        <v>66.540000000000006</v>
      </c>
      <c r="P60" s="2">
        <v>42.41</v>
      </c>
      <c r="Q60" s="2">
        <v>34.17</v>
      </c>
      <c r="R60" s="2">
        <v>87.3</v>
      </c>
      <c r="S60" s="2">
        <v>91.78</v>
      </c>
      <c r="T60" s="2">
        <v>27.05</v>
      </c>
      <c r="U60" s="2">
        <v>10.55</v>
      </c>
      <c r="V60" s="2">
        <v>41.02</v>
      </c>
      <c r="W60" s="2">
        <v>87.3</v>
      </c>
      <c r="X60" s="2">
        <v>98.98</v>
      </c>
      <c r="Y60" s="2">
        <v>85.71</v>
      </c>
      <c r="Z60" s="2">
        <v>95.16</v>
      </c>
      <c r="AA60" s="2">
        <v>41.28</v>
      </c>
      <c r="AB60" s="2">
        <v>81.34</v>
      </c>
      <c r="AC60" s="2">
        <v>180.14</v>
      </c>
      <c r="AD60" s="2">
        <v>79.540000000000006</v>
      </c>
      <c r="AE60" s="2">
        <v>50.82</v>
      </c>
      <c r="AF60" s="2">
        <v>141.66999999999999</v>
      </c>
      <c r="AG60" s="2">
        <v>12.71</v>
      </c>
    </row>
    <row r="61" spans="1:33" x14ac:dyDescent="0.35">
      <c r="A61" s="4">
        <v>6</v>
      </c>
      <c r="B61" s="2">
        <v>18.809999999999999</v>
      </c>
      <c r="C61" s="2">
        <v>20.32</v>
      </c>
      <c r="D61" s="2">
        <v>39.770000000000003</v>
      </c>
      <c r="E61" s="2">
        <v>36.15</v>
      </c>
      <c r="F61" s="2">
        <v>34.53</v>
      </c>
      <c r="G61" s="2">
        <v>34.04</v>
      </c>
      <c r="H61" s="2"/>
      <c r="I61" s="2">
        <v>13.39</v>
      </c>
      <c r="J61" s="2">
        <v>13.29</v>
      </c>
      <c r="K61" s="2">
        <v>12.53</v>
      </c>
      <c r="L61" s="2">
        <v>14.25</v>
      </c>
      <c r="M61" s="2">
        <v>58.53</v>
      </c>
      <c r="N61" s="2">
        <v>36.51</v>
      </c>
      <c r="O61" s="2">
        <v>78.430000000000007</v>
      </c>
      <c r="P61" s="2">
        <v>15.73</v>
      </c>
      <c r="Q61" s="2">
        <v>33.93</v>
      </c>
      <c r="R61" s="2">
        <v>85.57</v>
      </c>
      <c r="S61" s="2">
        <v>77.05</v>
      </c>
      <c r="T61" s="2">
        <v>20.92</v>
      </c>
      <c r="U61" s="2">
        <v>23.36</v>
      </c>
      <c r="V61" s="2">
        <v>31.02</v>
      </c>
      <c r="W61" s="2">
        <v>83.54</v>
      </c>
      <c r="X61" s="2">
        <v>94.34</v>
      </c>
      <c r="Y61" s="2">
        <v>95.91</v>
      </c>
      <c r="Z61" s="2">
        <v>108.41</v>
      </c>
      <c r="AA61" s="2">
        <v>38.11</v>
      </c>
      <c r="AB61" s="2">
        <v>60.62</v>
      </c>
      <c r="AC61" s="2">
        <v>152.29</v>
      </c>
      <c r="AD61" s="2">
        <v>56.63</v>
      </c>
      <c r="AE61" s="2">
        <v>66.03</v>
      </c>
      <c r="AF61" s="2">
        <v>174.68</v>
      </c>
      <c r="AG61" s="2">
        <v>12.71</v>
      </c>
    </row>
    <row r="62" spans="1:33" x14ac:dyDescent="0.35">
      <c r="A62" s="4">
        <v>7</v>
      </c>
      <c r="B62" s="2">
        <v>18.190000000000001</v>
      </c>
      <c r="C62" s="2">
        <v>27.43</v>
      </c>
      <c r="D62" s="2">
        <v>34.36</v>
      </c>
      <c r="E62" s="2">
        <v>37.299999999999997</v>
      </c>
      <c r="F62" s="2">
        <v>33.83</v>
      </c>
      <c r="G62" s="2">
        <v>31.63</v>
      </c>
      <c r="H62" s="2"/>
      <c r="I62" s="2">
        <v>10.93</v>
      </c>
      <c r="J62" s="2">
        <v>17.29</v>
      </c>
      <c r="K62" s="2">
        <v>12.89</v>
      </c>
      <c r="L62" s="2">
        <v>16.43</v>
      </c>
      <c r="M62" s="2">
        <v>48.25</v>
      </c>
      <c r="N62" s="2">
        <v>30.53</v>
      </c>
      <c r="O62" s="2">
        <v>78.33</v>
      </c>
      <c r="P62" s="2">
        <v>19.440000000000001</v>
      </c>
      <c r="Q62" s="2">
        <v>37.56</v>
      </c>
      <c r="R62" s="2">
        <v>97.23</v>
      </c>
      <c r="S62" s="2">
        <v>84.31</v>
      </c>
      <c r="T62" s="2">
        <v>13.59</v>
      </c>
      <c r="U62" s="2">
        <v>24.39</v>
      </c>
      <c r="V62" s="2">
        <v>32.11</v>
      </c>
      <c r="W62" s="2">
        <v>94.63</v>
      </c>
      <c r="X62" s="2">
        <v>95.23</v>
      </c>
      <c r="Y62" s="2">
        <v>94.33</v>
      </c>
      <c r="Z62" s="2">
        <v>99.51</v>
      </c>
      <c r="AA62" s="2">
        <v>48.05</v>
      </c>
      <c r="AB62" s="2">
        <v>66.930000000000007</v>
      </c>
      <c r="AC62" s="2">
        <v>174.36</v>
      </c>
      <c r="AD62" s="2">
        <v>57.08</v>
      </c>
      <c r="AE62" s="2">
        <v>58.78</v>
      </c>
      <c r="AF62" s="2"/>
      <c r="AG62" s="2">
        <v>16</v>
      </c>
    </row>
    <row r="63" spans="1:33" x14ac:dyDescent="0.35">
      <c r="A63" s="4">
        <v>8</v>
      </c>
      <c r="B63" s="2">
        <v>18.739999999999998</v>
      </c>
      <c r="C63" s="2">
        <v>25.48</v>
      </c>
      <c r="D63" s="2">
        <v>33.36</v>
      </c>
      <c r="E63" s="2">
        <v>37.299999999999997</v>
      </c>
      <c r="F63" s="2">
        <v>30.67</v>
      </c>
      <c r="G63" s="2">
        <v>33</v>
      </c>
      <c r="H63" s="2"/>
      <c r="I63" s="2">
        <v>11.23</v>
      </c>
      <c r="J63" s="2">
        <v>13.61</v>
      </c>
      <c r="K63" s="2">
        <v>12.89</v>
      </c>
      <c r="L63" s="2">
        <v>17.989999999999998</v>
      </c>
      <c r="M63" s="2">
        <v>46.77</v>
      </c>
      <c r="N63" s="2">
        <v>23.82</v>
      </c>
      <c r="O63" s="2">
        <v>101.45</v>
      </c>
      <c r="P63" s="2">
        <v>23.24</v>
      </c>
      <c r="Q63" s="2">
        <v>34.369999999999997</v>
      </c>
      <c r="R63" s="2">
        <v>80.7</v>
      </c>
      <c r="S63" s="2">
        <v>86.97</v>
      </c>
      <c r="T63" s="2"/>
      <c r="U63" s="2">
        <v>10.77</v>
      </c>
      <c r="V63" s="2">
        <v>42.15</v>
      </c>
      <c r="W63" s="2">
        <v>94.03</v>
      </c>
      <c r="X63" s="2">
        <v>98.45</v>
      </c>
      <c r="Y63" s="2">
        <v>91.52</v>
      </c>
      <c r="Z63" s="2">
        <v>94.48</v>
      </c>
      <c r="AA63" s="2">
        <v>42.79</v>
      </c>
      <c r="AB63" s="2">
        <v>77.2</v>
      </c>
      <c r="AC63" s="2">
        <v>128.37</v>
      </c>
      <c r="AD63" s="2">
        <v>65.11</v>
      </c>
      <c r="AE63" s="2">
        <v>69.87</v>
      </c>
      <c r="AF63" s="2"/>
      <c r="AG63" s="2">
        <v>15.73</v>
      </c>
    </row>
    <row r="64" spans="1:33" x14ac:dyDescent="0.35">
      <c r="A64" s="4">
        <v>9</v>
      </c>
      <c r="B64" s="2">
        <v>18.8</v>
      </c>
      <c r="C64" s="2">
        <v>31.38</v>
      </c>
      <c r="D64" s="2">
        <v>36.61</v>
      </c>
      <c r="E64" s="2">
        <v>38.51</v>
      </c>
      <c r="F64" s="2">
        <v>36.71</v>
      </c>
      <c r="G64" s="2">
        <v>34.44</v>
      </c>
      <c r="H64" s="2"/>
      <c r="I64" s="2">
        <v>13.62</v>
      </c>
      <c r="J64" s="2">
        <v>15.29</v>
      </c>
      <c r="K64" s="2">
        <v>13.41</v>
      </c>
      <c r="L64" s="2">
        <v>17.25</v>
      </c>
      <c r="M64" s="2">
        <v>33.869999999999997</v>
      </c>
      <c r="N64" s="2">
        <v>31.65</v>
      </c>
      <c r="O64" s="2">
        <v>53.79</v>
      </c>
      <c r="P64" s="2">
        <v>20.72</v>
      </c>
      <c r="Q64" s="2">
        <v>32.520000000000003</v>
      </c>
      <c r="R64" s="2">
        <v>90.47</v>
      </c>
      <c r="S64" s="2">
        <v>86.4</v>
      </c>
      <c r="T64" s="2"/>
      <c r="U64" s="2">
        <v>13.27</v>
      </c>
      <c r="V64" s="2">
        <v>35.590000000000003</v>
      </c>
      <c r="W64" s="2">
        <v>86.3</v>
      </c>
      <c r="X64" s="2"/>
      <c r="Y64" s="2">
        <v>72.680000000000007</v>
      </c>
      <c r="Z64" s="2">
        <v>93.35</v>
      </c>
      <c r="AA64" s="2">
        <v>28.18</v>
      </c>
      <c r="AB64" s="2">
        <v>59.16</v>
      </c>
      <c r="AC64" s="2"/>
      <c r="AD64" s="2">
        <v>56.87</v>
      </c>
      <c r="AE64" s="2">
        <v>65.02</v>
      </c>
      <c r="AF64" s="2"/>
      <c r="AG64" s="2">
        <v>14.9</v>
      </c>
    </row>
    <row r="65" spans="1:33" x14ac:dyDescent="0.35">
      <c r="A65" s="4">
        <v>10</v>
      </c>
      <c r="B65" s="2">
        <v>22.16</v>
      </c>
      <c r="C65" s="2">
        <v>14.62</v>
      </c>
      <c r="D65" s="2">
        <v>36.700000000000003</v>
      </c>
      <c r="E65" s="2">
        <v>38.01</v>
      </c>
      <c r="F65" s="2">
        <v>25.44</v>
      </c>
      <c r="G65" s="2">
        <v>35.6</v>
      </c>
      <c r="H65" s="2"/>
      <c r="I65" s="2">
        <v>14.44</v>
      </c>
      <c r="J65" s="2">
        <v>14.79</v>
      </c>
      <c r="K65" s="2">
        <v>13.26</v>
      </c>
      <c r="L65" s="2">
        <v>11.63</v>
      </c>
      <c r="M65" s="2">
        <v>42.13</v>
      </c>
      <c r="N65" s="2">
        <v>25.63</v>
      </c>
      <c r="O65" s="2">
        <v>72.36</v>
      </c>
      <c r="P65" s="2">
        <v>24.27</v>
      </c>
      <c r="Q65" s="2">
        <v>36.799999999999997</v>
      </c>
      <c r="R65" s="2">
        <v>91.89</v>
      </c>
      <c r="S65" s="2">
        <v>99.93</v>
      </c>
      <c r="T65" s="2"/>
      <c r="U65" s="2">
        <v>16.059999999999999</v>
      </c>
      <c r="V65" s="2">
        <v>35.25</v>
      </c>
      <c r="W65" s="2"/>
      <c r="X65" s="2"/>
      <c r="Y65" s="2">
        <v>82.66</v>
      </c>
      <c r="Z65" s="2"/>
      <c r="AA65" s="2">
        <v>46.98</v>
      </c>
      <c r="AB65" s="2">
        <v>78.180000000000007</v>
      </c>
      <c r="AC65" s="2"/>
      <c r="AD65" s="2">
        <v>58.84</v>
      </c>
      <c r="AE65" s="2">
        <v>66.72</v>
      </c>
      <c r="AF65" s="2"/>
      <c r="AG65" s="2">
        <v>13.52</v>
      </c>
    </row>
    <row r="66" spans="1:33" x14ac:dyDescent="0.35">
      <c r="A66" s="4">
        <v>11</v>
      </c>
      <c r="B66" s="2">
        <v>14.75</v>
      </c>
      <c r="C66" s="2"/>
      <c r="D66" s="2"/>
      <c r="E66" s="2"/>
      <c r="F66" s="2">
        <v>32.65</v>
      </c>
      <c r="G66" s="2">
        <v>34.799999999999997</v>
      </c>
      <c r="H66" s="2"/>
      <c r="I66" s="2"/>
      <c r="J66" s="2"/>
      <c r="K66" s="2">
        <v>13.17</v>
      </c>
      <c r="L66" s="2">
        <v>18.059999999999999</v>
      </c>
      <c r="M66" s="2">
        <v>35.17</v>
      </c>
      <c r="N66" s="2">
        <v>26.9</v>
      </c>
      <c r="O66" s="2">
        <v>92.32</v>
      </c>
      <c r="P66" s="2">
        <v>26.45</v>
      </c>
      <c r="Q66" s="2"/>
      <c r="R66" s="2"/>
      <c r="S66" s="2"/>
      <c r="T66" s="2"/>
      <c r="U66" s="2">
        <v>18.54</v>
      </c>
      <c r="V66" s="2">
        <v>37.08</v>
      </c>
      <c r="W66" s="2"/>
      <c r="X66" s="2"/>
      <c r="Y66" s="2">
        <v>75.78</v>
      </c>
      <c r="Z66" s="2"/>
      <c r="AA66" s="2">
        <v>27.33</v>
      </c>
      <c r="AB66" s="2"/>
      <c r="AC66" s="2"/>
      <c r="AD66" s="2">
        <v>59.39</v>
      </c>
      <c r="AE66" s="2">
        <v>68.27</v>
      </c>
      <c r="AF66" s="2"/>
      <c r="AG66" s="2">
        <v>21.9</v>
      </c>
    </row>
    <row r="67" spans="1:33" x14ac:dyDescent="0.35">
      <c r="A67" s="4">
        <v>12</v>
      </c>
      <c r="B67" s="2"/>
      <c r="C67" s="2"/>
      <c r="D67" s="2"/>
      <c r="E67" s="2"/>
      <c r="F67" s="2">
        <v>37.4</v>
      </c>
      <c r="G67" s="2"/>
      <c r="H67" s="2"/>
      <c r="I67" s="2"/>
      <c r="J67" s="2"/>
      <c r="K67" s="2">
        <v>13.61</v>
      </c>
      <c r="L67" s="2">
        <v>16.84</v>
      </c>
      <c r="M67" s="2">
        <v>36.68</v>
      </c>
      <c r="N67" s="2"/>
      <c r="O67" s="2"/>
      <c r="P67" s="2">
        <v>25.42</v>
      </c>
      <c r="Q67" s="2"/>
      <c r="R67" s="2"/>
      <c r="S67" s="2"/>
      <c r="T67" s="2"/>
      <c r="U67" s="2">
        <v>16.3</v>
      </c>
      <c r="V67" s="2"/>
      <c r="W67" s="2"/>
      <c r="X67" s="2"/>
      <c r="Y67" s="2">
        <v>90.62</v>
      </c>
      <c r="Z67" s="2"/>
      <c r="AA67" s="2">
        <v>47.23</v>
      </c>
      <c r="AB67" s="2"/>
      <c r="AC67" s="2"/>
      <c r="AD67" s="2">
        <v>52.1</v>
      </c>
      <c r="AE67" s="2">
        <v>100.99</v>
      </c>
      <c r="AF67" s="2"/>
      <c r="AG67" s="2"/>
    </row>
    <row r="68" spans="1:33" x14ac:dyDescent="0.35">
      <c r="A68" s="4">
        <v>13</v>
      </c>
      <c r="B68" s="2"/>
      <c r="C68" s="2"/>
      <c r="D68" s="2"/>
      <c r="E68" s="2"/>
      <c r="F68" s="2"/>
      <c r="G68" s="2"/>
      <c r="H68" s="2"/>
      <c r="I68" s="2"/>
      <c r="J68" s="2"/>
      <c r="K68" s="2">
        <v>11.89</v>
      </c>
      <c r="L68" s="2">
        <v>18.38</v>
      </c>
      <c r="M68" s="2">
        <v>45.93</v>
      </c>
      <c r="N68" s="2"/>
      <c r="O68" s="2"/>
      <c r="P68" s="2">
        <v>21.8</v>
      </c>
      <c r="Q68" s="2"/>
      <c r="R68" s="2"/>
      <c r="S68" s="2"/>
      <c r="T68" s="2"/>
      <c r="U68" s="2">
        <v>22.32</v>
      </c>
      <c r="V68" s="2"/>
      <c r="W68" s="2"/>
      <c r="X68" s="2"/>
      <c r="Y68" s="2"/>
      <c r="Z68" s="2"/>
      <c r="AA68" s="2">
        <v>53.05</v>
      </c>
      <c r="AB68" s="2"/>
      <c r="AC68" s="2"/>
      <c r="AD68" s="2">
        <v>60.35</v>
      </c>
      <c r="AE68" s="2">
        <v>68.58</v>
      </c>
      <c r="AF68" s="2"/>
      <c r="AG68" s="2"/>
    </row>
    <row r="69" spans="1:33" x14ac:dyDescent="0.35">
      <c r="A69" s="4">
        <v>14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>
        <v>38.97</v>
      </c>
      <c r="N69" s="2"/>
      <c r="O69" s="2"/>
      <c r="P69" s="2">
        <v>22.38</v>
      </c>
      <c r="Q69" s="2"/>
      <c r="R69" s="2"/>
      <c r="S69" s="2"/>
      <c r="T69" s="2"/>
      <c r="U69" s="2">
        <v>14.95</v>
      </c>
      <c r="V69" s="2"/>
      <c r="W69" s="2"/>
      <c r="X69" s="2"/>
      <c r="Y69" s="2"/>
      <c r="Z69" s="2"/>
      <c r="AA69" s="2"/>
      <c r="AB69" s="2"/>
      <c r="AC69" s="2"/>
      <c r="AD69" s="2"/>
      <c r="AE69" s="2">
        <v>51.8</v>
      </c>
      <c r="AF69" s="2"/>
      <c r="AG69" s="2"/>
    </row>
    <row r="70" spans="1:33" x14ac:dyDescent="0.35">
      <c r="A70" s="4">
        <v>15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>
        <v>43.03</v>
      </c>
      <c r="N70" s="2"/>
      <c r="O70" s="2"/>
      <c r="P70" s="2"/>
      <c r="Q70" s="2"/>
      <c r="R70" s="2"/>
      <c r="S70" s="2"/>
      <c r="T70" s="2"/>
      <c r="U70" s="2">
        <v>22.58</v>
      </c>
      <c r="V70" s="2"/>
      <c r="W70" s="2"/>
      <c r="X70" s="2"/>
      <c r="Y70" s="2"/>
      <c r="Z70" s="2"/>
      <c r="AA70" s="2"/>
      <c r="AB70" s="2"/>
      <c r="AC70" s="2"/>
      <c r="AD70" s="2"/>
      <c r="AE70" s="2">
        <v>110.87</v>
      </c>
      <c r="AF70" s="2"/>
      <c r="AG70" s="2"/>
    </row>
    <row r="71" spans="1:33" x14ac:dyDescent="0.35">
      <c r="A71" s="4">
        <v>16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>
        <v>13.78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x14ac:dyDescent="0.35">
      <c r="A72" s="4">
        <v>17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x14ac:dyDescent="0.35">
      <c r="A73" s="4">
        <v>18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x14ac:dyDescent="0.35">
      <c r="A74" s="4">
        <v>19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x14ac:dyDescent="0.35">
      <c r="A75" s="4">
        <v>20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x14ac:dyDescent="0.35">
      <c r="A76" s="3" t="s">
        <v>58</v>
      </c>
      <c r="B76" s="3">
        <f t="shared" ref="B76:AG76" si="6">IF(COUNT(B56:B75)&lt;4,"0",SMALL(B56:B75,4))*B53</f>
        <v>18.62</v>
      </c>
      <c r="C76" s="3">
        <f t="shared" si="6"/>
        <v>23.31</v>
      </c>
      <c r="D76" s="3">
        <f t="shared" si="6"/>
        <v>35.24</v>
      </c>
      <c r="E76" s="3">
        <f t="shared" si="6"/>
        <v>36.15</v>
      </c>
      <c r="F76" s="3">
        <f t="shared" si="6"/>
        <v>33.83</v>
      </c>
      <c r="G76" s="3">
        <f t="shared" si="6"/>
        <v>31.75</v>
      </c>
      <c r="H76" s="3"/>
      <c r="I76" s="3">
        <f t="shared" si="6"/>
        <v>8.0599999999999987</v>
      </c>
      <c r="J76" s="3">
        <f t="shared" si="6"/>
        <v>60.48</v>
      </c>
      <c r="K76" s="3">
        <f t="shared" si="6"/>
        <v>6.4450000000000003</v>
      </c>
      <c r="L76" s="3">
        <f t="shared" si="6"/>
        <v>14.25</v>
      </c>
      <c r="M76" s="3">
        <f t="shared" si="6"/>
        <v>38.97</v>
      </c>
      <c r="N76" s="3">
        <f t="shared" si="6"/>
        <v>26.9</v>
      </c>
      <c r="O76" s="3">
        <f t="shared" si="6"/>
        <v>72.36</v>
      </c>
      <c r="P76" s="3">
        <f t="shared" si="6"/>
        <v>20.72</v>
      </c>
      <c r="Q76" s="3">
        <f t="shared" si="6"/>
        <v>32.520000000000003</v>
      </c>
      <c r="R76" s="3">
        <f t="shared" si="6"/>
        <v>172.98</v>
      </c>
      <c r="S76" s="3">
        <f t="shared" si="6"/>
        <v>170.66</v>
      </c>
      <c r="T76" s="3">
        <f t="shared" si="6"/>
        <v>20.92</v>
      </c>
      <c r="U76" s="3">
        <f t="shared" si="6"/>
        <v>13.27</v>
      </c>
      <c r="V76" s="3">
        <f t="shared" si="6"/>
        <v>64.22</v>
      </c>
      <c r="W76" s="3">
        <f t="shared" si="6"/>
        <v>86.3</v>
      </c>
      <c r="X76" s="3">
        <f t="shared" si="6"/>
        <v>97.05</v>
      </c>
      <c r="Y76" s="3">
        <f t="shared" si="6"/>
        <v>80.260000000000005</v>
      </c>
      <c r="Z76" s="3">
        <f t="shared" si="6"/>
        <v>96.22</v>
      </c>
      <c r="AA76" s="3">
        <f t="shared" si="6"/>
        <v>58.12</v>
      </c>
      <c r="AB76" s="3">
        <f t="shared" si="6"/>
        <v>133.86000000000001</v>
      </c>
      <c r="AC76" s="3">
        <f t="shared" si="6"/>
        <v>174.28</v>
      </c>
      <c r="AD76" s="3">
        <f t="shared" si="6"/>
        <v>56.87</v>
      </c>
      <c r="AE76" s="3">
        <f t="shared" si="6"/>
        <v>58.78</v>
      </c>
      <c r="AF76" s="3">
        <f t="shared" si="6"/>
        <v>52.836666666666659</v>
      </c>
      <c r="AG76" s="3">
        <f t="shared" si="6"/>
        <v>13.52</v>
      </c>
    </row>
    <row r="77" spans="1:33" x14ac:dyDescent="0.35">
      <c r="A77" s="3" t="s">
        <v>59</v>
      </c>
      <c r="B77" s="3">
        <f t="shared" ref="B77:AG77" si="7">(AVERAGE(B56:B75)) * B53</f>
        <v>20.434545454545457</v>
      </c>
      <c r="C77" s="3">
        <f t="shared" si="7"/>
        <v>24.884999999999998</v>
      </c>
      <c r="D77" s="3">
        <f t="shared" si="7"/>
        <v>36.358000000000004</v>
      </c>
      <c r="E77" s="3">
        <f t="shared" si="7"/>
        <v>36.777999999999999</v>
      </c>
      <c r="F77" s="3">
        <f t="shared" si="7"/>
        <v>35.954166666666659</v>
      </c>
      <c r="G77" s="3">
        <f t="shared" si="7"/>
        <v>32.944545454545455</v>
      </c>
      <c r="H77" s="3"/>
      <c r="I77" s="3">
        <f t="shared" si="7"/>
        <v>8.4286666666666683</v>
      </c>
      <c r="J77" s="3">
        <f t="shared" si="7"/>
        <v>61.851999999999997</v>
      </c>
      <c r="K77" s="3">
        <f t="shared" si="7"/>
        <v>6.6176923076923053</v>
      </c>
      <c r="L77" s="3">
        <f t="shared" si="7"/>
        <v>16.240000000000002</v>
      </c>
      <c r="M77" s="3">
        <f t="shared" si="7"/>
        <v>49.61066666666666</v>
      </c>
      <c r="N77" s="3">
        <f t="shared" si="7"/>
        <v>30.101818181818178</v>
      </c>
      <c r="O77" s="3">
        <f t="shared" si="7"/>
        <v>77.075454545454562</v>
      </c>
      <c r="P77" s="3">
        <f t="shared" si="7"/>
        <v>24.712142857142858</v>
      </c>
      <c r="Q77" s="3">
        <f t="shared" si="7"/>
        <v>32.228999999999999</v>
      </c>
      <c r="R77" s="3">
        <f t="shared" si="7"/>
        <v>176.85600000000002</v>
      </c>
      <c r="S77" s="3">
        <f t="shared" si="7"/>
        <v>175.52999999999997</v>
      </c>
      <c r="T77" s="3">
        <f t="shared" si="7"/>
        <v>20.917142857142856</v>
      </c>
      <c r="U77" s="3">
        <f t="shared" si="7"/>
        <v>16.987499999999997</v>
      </c>
      <c r="V77" s="3">
        <f t="shared" si="7"/>
        <v>71.669090909090912</v>
      </c>
      <c r="W77" s="3">
        <f t="shared" si="7"/>
        <v>87.711111111111109</v>
      </c>
      <c r="X77" s="3">
        <f t="shared" si="7"/>
        <v>97.458750000000009</v>
      </c>
      <c r="Y77" s="3">
        <f t="shared" si="7"/>
        <v>84.130833333333328</v>
      </c>
      <c r="Z77" s="3">
        <f t="shared" si="7"/>
        <v>100.22444444444444</v>
      </c>
      <c r="AA77" s="3">
        <f t="shared" si="7"/>
        <v>78.960000000000008</v>
      </c>
      <c r="AB77" s="3">
        <f t="shared" si="7"/>
        <v>145.49</v>
      </c>
      <c r="AC77" s="3">
        <f t="shared" si="7"/>
        <v>173.815</v>
      </c>
      <c r="AD77" s="3">
        <f t="shared" si="7"/>
        <v>63.136923076923082</v>
      </c>
      <c r="AE77" s="3">
        <f t="shared" si="7"/>
        <v>71.874666666666656</v>
      </c>
      <c r="AF77" s="3">
        <f t="shared" si="7"/>
        <v>52.214444444444439</v>
      </c>
      <c r="AG77" s="3">
        <f t="shared" si="7"/>
        <v>22.084545454545456</v>
      </c>
    </row>
    <row r="78" spans="1:33" ht="29" x14ac:dyDescent="0.35">
      <c r="A78" s="3" t="s">
        <v>22</v>
      </c>
      <c r="B78" s="3">
        <f t="shared" ref="B78:M78" si="8">B77/0.85</f>
        <v>24.040641711229949</v>
      </c>
      <c r="C78" s="3">
        <f t="shared" si="8"/>
        <v>29.276470588235291</v>
      </c>
      <c r="D78" s="3">
        <f t="shared" si="8"/>
        <v>42.77411764705883</v>
      </c>
      <c r="E78" s="3">
        <f t="shared" si="8"/>
        <v>43.268235294117645</v>
      </c>
      <c r="F78" s="3">
        <f t="shared" si="8"/>
        <v>42.299019607843128</v>
      </c>
      <c r="G78" s="3">
        <f t="shared" si="8"/>
        <v>38.758288770053476</v>
      </c>
      <c r="H78" s="3"/>
      <c r="I78" s="3">
        <f t="shared" si="8"/>
        <v>9.9160784313725507</v>
      </c>
      <c r="J78" s="3">
        <f t="shared" si="8"/>
        <v>72.76705882352941</v>
      </c>
      <c r="K78" s="3">
        <f t="shared" si="8"/>
        <v>7.7855203619909474</v>
      </c>
      <c r="L78" s="3">
        <f t="shared" si="8"/>
        <v>19.10588235294118</v>
      </c>
      <c r="M78" s="3">
        <f t="shared" si="8"/>
        <v>58.365490196078426</v>
      </c>
      <c r="N78" s="3">
        <f>(N77)/0.75</f>
        <v>40.135757575757573</v>
      </c>
      <c r="O78" s="3">
        <f t="shared" ref="O78:U78" si="9">O77/0.85</f>
        <v>90.677005347593607</v>
      </c>
      <c r="P78" s="3">
        <f t="shared" si="9"/>
        <v>29.073109243697481</v>
      </c>
      <c r="Q78" s="3">
        <f t="shared" si="9"/>
        <v>37.916470588235292</v>
      </c>
      <c r="R78" s="3">
        <f t="shared" si="9"/>
        <v>208.0658823529412</v>
      </c>
      <c r="S78" s="3">
        <f t="shared" si="9"/>
        <v>206.50588235294114</v>
      </c>
      <c r="T78" s="3">
        <f t="shared" si="9"/>
        <v>24.608403361344539</v>
      </c>
      <c r="U78" s="3">
        <f t="shared" si="9"/>
        <v>19.985294117647054</v>
      </c>
      <c r="V78" s="3">
        <f>(V77)/0.75</f>
        <v>95.558787878787882</v>
      </c>
      <c r="W78" s="3">
        <f t="shared" ref="W78:AB78" si="10">W77/0.85</f>
        <v>103.18954248366013</v>
      </c>
      <c r="X78" s="3">
        <f t="shared" si="10"/>
        <v>114.65735294117648</v>
      </c>
      <c r="Y78" s="3">
        <f t="shared" si="10"/>
        <v>98.977450980392149</v>
      </c>
      <c r="Z78" s="3">
        <f t="shared" si="10"/>
        <v>117.91111111111111</v>
      </c>
      <c r="AA78" s="3">
        <f t="shared" si="10"/>
        <v>92.894117647058835</v>
      </c>
      <c r="AB78" s="3">
        <f t="shared" si="10"/>
        <v>171.16470588235296</v>
      </c>
      <c r="AC78" s="3">
        <f>(AC77)/0.75</f>
        <v>231.75333333333333</v>
      </c>
      <c r="AD78" s="3">
        <f>AD77/0.85</f>
        <v>74.278733031674221</v>
      </c>
      <c r="AE78" s="3">
        <f>(AE77)/0.75</f>
        <v>95.832888888888874</v>
      </c>
      <c r="AF78" s="3">
        <f>AF77/0.85</f>
        <v>61.428758169934639</v>
      </c>
      <c r="AG78" s="3">
        <f>AG77/0.85</f>
        <v>25.981818181818184</v>
      </c>
    </row>
    <row r="79" spans="1:33" x14ac:dyDescent="0.35">
      <c r="A79" s="3" t="s">
        <v>60</v>
      </c>
      <c r="B79" s="3">
        <f t="shared" ref="B79:AG79" si="11">(MAX(B56:B75)) * B53</f>
        <v>38.65</v>
      </c>
      <c r="C79" s="3">
        <f t="shared" si="11"/>
        <v>31.38</v>
      </c>
      <c r="D79" s="3">
        <f t="shared" si="11"/>
        <v>43.37</v>
      </c>
      <c r="E79" s="3">
        <f t="shared" si="11"/>
        <v>38.72</v>
      </c>
      <c r="F79" s="3">
        <f t="shared" si="11"/>
        <v>49.36</v>
      </c>
      <c r="G79" s="3">
        <f t="shared" si="11"/>
        <v>35.6</v>
      </c>
      <c r="H79" s="3"/>
      <c r="I79" s="3">
        <f t="shared" si="11"/>
        <v>9.6266666666666652</v>
      </c>
      <c r="J79" s="3">
        <f t="shared" si="11"/>
        <v>74.680000000000007</v>
      </c>
      <c r="K79" s="3">
        <f t="shared" si="11"/>
        <v>7.0449999999999999</v>
      </c>
      <c r="L79" s="3">
        <f t="shared" si="11"/>
        <v>20.73</v>
      </c>
      <c r="M79" s="3">
        <f t="shared" si="11"/>
        <v>74.62</v>
      </c>
      <c r="N79" s="3">
        <f t="shared" si="11"/>
        <v>36.51</v>
      </c>
      <c r="O79" s="3">
        <f t="shared" si="11"/>
        <v>101.45</v>
      </c>
      <c r="P79" s="3">
        <f t="shared" si="11"/>
        <v>42.41</v>
      </c>
      <c r="Q79" s="3">
        <f t="shared" si="11"/>
        <v>37.56</v>
      </c>
      <c r="R79" s="3">
        <f t="shared" si="11"/>
        <v>194.46</v>
      </c>
      <c r="S79" s="3">
        <f t="shared" si="11"/>
        <v>199.86</v>
      </c>
      <c r="T79" s="3">
        <f t="shared" si="11"/>
        <v>33.119999999999997</v>
      </c>
      <c r="U79" s="3">
        <f t="shared" si="11"/>
        <v>24.39</v>
      </c>
      <c r="V79" s="3">
        <f t="shared" si="11"/>
        <v>85.38</v>
      </c>
      <c r="W79" s="3">
        <f t="shared" si="11"/>
        <v>94.63</v>
      </c>
      <c r="X79" s="3">
        <f t="shared" si="11"/>
        <v>101.28</v>
      </c>
      <c r="Y79" s="3">
        <f t="shared" si="11"/>
        <v>95.91</v>
      </c>
      <c r="Z79" s="3">
        <f t="shared" si="11"/>
        <v>113.64</v>
      </c>
      <c r="AA79" s="3">
        <f t="shared" si="11"/>
        <v>106.1</v>
      </c>
      <c r="AB79" s="3">
        <f t="shared" si="11"/>
        <v>164.5</v>
      </c>
      <c r="AC79" s="3">
        <f t="shared" si="11"/>
        <v>217.76</v>
      </c>
      <c r="AD79" s="3">
        <f t="shared" si="11"/>
        <v>85.05</v>
      </c>
      <c r="AE79" s="3">
        <f t="shared" si="11"/>
        <v>110.87</v>
      </c>
      <c r="AF79" s="3">
        <f t="shared" si="11"/>
        <v>59.026666666666671</v>
      </c>
      <c r="AG79" s="3">
        <f t="shared" si="11"/>
        <v>56.51</v>
      </c>
    </row>
    <row r="80" spans="1:33" ht="29" hidden="1" x14ac:dyDescent="0.35">
      <c r="A80" s="3" t="s">
        <v>24</v>
      </c>
      <c r="B80" s="3" t="e">
        <f>B78/#REF!</f>
        <v>#REF!</v>
      </c>
      <c r="C80" s="3" t="e">
        <f>C78/#REF!</f>
        <v>#REF!</v>
      </c>
      <c r="D80" s="3" t="e">
        <f>D78/#REF!</f>
        <v>#REF!</v>
      </c>
      <c r="E80" s="3" t="e">
        <f>E78/#REF!</f>
        <v>#REF!</v>
      </c>
      <c r="F80" s="3" t="e">
        <f>F78/#REF!</f>
        <v>#REF!</v>
      </c>
      <c r="G80" s="3" t="e">
        <f>G78/#REF!</f>
        <v>#REF!</v>
      </c>
      <c r="H80" s="3"/>
      <c r="I80" s="3" t="e">
        <f>I78/#REF!</f>
        <v>#REF!</v>
      </c>
      <c r="J80" s="3" t="e">
        <f>J78/#REF!</f>
        <v>#REF!</v>
      </c>
      <c r="K80" s="3" t="e">
        <f>K78/#REF!</f>
        <v>#REF!</v>
      </c>
      <c r="L80" s="3" t="e">
        <f>L78/#REF!</f>
        <v>#REF!</v>
      </c>
      <c r="M80" s="3" t="e">
        <f>M78/#REF!</f>
        <v>#REF!</v>
      </c>
      <c r="N80" s="3" t="e">
        <f>N78/#REF!</f>
        <v>#REF!</v>
      </c>
      <c r="O80" s="3" t="e">
        <f>O78/#REF!</f>
        <v>#REF!</v>
      </c>
      <c r="P80" s="3" t="e">
        <f>P78/#REF!</f>
        <v>#REF!</v>
      </c>
      <c r="Q80" s="3" t="e">
        <f>Q78/#REF!</f>
        <v>#REF!</v>
      </c>
      <c r="R80" s="3" t="e">
        <f>R78/#REF!</f>
        <v>#REF!</v>
      </c>
      <c r="S80" s="3" t="e">
        <f>S78/#REF!</f>
        <v>#REF!</v>
      </c>
      <c r="T80" s="3" t="e">
        <f>T78/#REF!</f>
        <v>#REF!</v>
      </c>
      <c r="U80" s="3" t="e">
        <f>U78/#REF!</f>
        <v>#REF!</v>
      </c>
      <c r="V80" s="3" t="e">
        <f>V78/#REF!</f>
        <v>#REF!</v>
      </c>
      <c r="W80" s="3" t="e">
        <f>W78/#REF!</f>
        <v>#REF!</v>
      </c>
      <c r="X80" s="3" t="e">
        <f>X78/#REF!</f>
        <v>#REF!</v>
      </c>
      <c r="Y80" s="3" t="e">
        <f>Y78/#REF!</f>
        <v>#REF!</v>
      </c>
      <c r="Z80" s="3" t="e">
        <f>Z78/#REF!</f>
        <v>#REF!</v>
      </c>
      <c r="AA80" s="3" t="e">
        <f>AA78/#REF!</f>
        <v>#REF!</v>
      </c>
      <c r="AB80" s="3" t="e">
        <f>AB78/#REF!</f>
        <v>#REF!</v>
      </c>
      <c r="AC80" s="3" t="e">
        <f>AC78/#REF!</f>
        <v>#REF!</v>
      </c>
      <c r="AD80" s="3" t="e">
        <f>AD78/#REF!</f>
        <v>#REF!</v>
      </c>
      <c r="AE80" s="3" t="e">
        <f>AE78/#REF!</f>
        <v>#REF!</v>
      </c>
      <c r="AF80" s="3" t="e">
        <f>AF78/#REF!</f>
        <v>#REF!</v>
      </c>
      <c r="AG80" s="3" t="e">
        <f>AG78/#REF!</f>
        <v>#REF!</v>
      </c>
    </row>
    <row r="81" spans="1:33" hidden="1" x14ac:dyDescent="0.35">
      <c r="A81" s="3" t="s">
        <v>61</v>
      </c>
      <c r="B81" s="3" t="e">
        <f>(7*2*3600)/B7</f>
        <v>#DIV/0!</v>
      </c>
      <c r="C81" s="3" t="e">
        <f>(7*2*3600)/B7</f>
        <v>#DIV/0!</v>
      </c>
      <c r="D81" s="3" t="e">
        <f>(7*2*3600)/B7</f>
        <v>#DIV/0!</v>
      </c>
      <c r="E81" s="3" t="e">
        <f>(7*2*3600)/B7</f>
        <v>#DIV/0!</v>
      </c>
      <c r="F81" s="3" t="e">
        <f>(7*2*3600)/B7</f>
        <v>#DIV/0!</v>
      </c>
      <c r="G81" s="3" t="e">
        <f>(7*2*3600)/B7</f>
        <v>#DIV/0!</v>
      </c>
      <c r="H81" s="3"/>
      <c r="I81" s="3" t="e">
        <f>(7*2*3600)/B7</f>
        <v>#DIV/0!</v>
      </c>
      <c r="J81" s="3" t="e">
        <f>(7*2*3600)/B7</f>
        <v>#DIV/0!</v>
      </c>
      <c r="K81" s="3" t="e">
        <f>(7*2*3600)/B7</f>
        <v>#DIV/0!</v>
      </c>
      <c r="L81" s="3" t="e">
        <f>(7*2*3600)/B7</f>
        <v>#DIV/0!</v>
      </c>
      <c r="M81" s="3" t="e">
        <f>(7*2*3600)/B7</f>
        <v>#DIV/0!</v>
      </c>
      <c r="N81" s="3" t="e">
        <f>(7*2*3600)/B7</f>
        <v>#DIV/0!</v>
      </c>
      <c r="O81" s="3" t="e">
        <f>(7*2*3600)/B7</f>
        <v>#DIV/0!</v>
      </c>
      <c r="P81" s="3" t="e">
        <f>(7*2*3600)/B7</f>
        <v>#DIV/0!</v>
      </c>
      <c r="Q81" s="3" t="e">
        <f>(7*2*3600)/B7</f>
        <v>#DIV/0!</v>
      </c>
      <c r="R81" s="3" t="e">
        <f>(7*2*3600)/B7</f>
        <v>#DIV/0!</v>
      </c>
      <c r="S81" s="3" t="e">
        <f>(7*2*3600)/B7</f>
        <v>#DIV/0!</v>
      </c>
      <c r="T81" s="3" t="e">
        <f>(7*2*3600)/B7</f>
        <v>#DIV/0!</v>
      </c>
      <c r="U81" s="3" t="e">
        <f>(7*2*3600)/B7</f>
        <v>#DIV/0!</v>
      </c>
      <c r="V81" s="3" t="e">
        <f>(7*2*3600)/B7</f>
        <v>#DIV/0!</v>
      </c>
      <c r="W81" s="3" t="e">
        <f>(7*2*3600)/#REF!</f>
        <v>#REF!</v>
      </c>
      <c r="X81" s="3" t="e">
        <f>(7*2*3600)/A7</f>
        <v>#DIV/0!</v>
      </c>
      <c r="Y81" s="3" t="e">
        <f>(7*2*3600)/B7</f>
        <v>#DIV/0!</v>
      </c>
      <c r="Z81" s="3" t="e">
        <f>(7*2*3600)/B7</f>
        <v>#DIV/0!</v>
      </c>
      <c r="AA81" s="3" t="e">
        <f>(7*2*3600)/B7</f>
        <v>#DIV/0!</v>
      </c>
      <c r="AB81" s="3" t="e">
        <f>(7*2*3600)/B7</f>
        <v>#DIV/0!</v>
      </c>
      <c r="AC81" s="3" t="e">
        <f>(7*2*3600)/B7</f>
        <v>#DIV/0!</v>
      </c>
      <c r="AD81" s="3" t="e">
        <f>(7*2*3600)/B7</f>
        <v>#DIV/0!</v>
      </c>
      <c r="AE81" s="3" t="e">
        <f>(7*2*3600)/B7</f>
        <v>#DIV/0!</v>
      </c>
      <c r="AF81" s="3" t="e">
        <f>(7*2*3600)/B7</f>
        <v>#DIV/0!</v>
      </c>
      <c r="AG81" s="3" t="e">
        <f>(7*2*3600)/B7</f>
        <v>#DIV/0!</v>
      </c>
    </row>
  </sheetData>
  <mergeCells count="3">
    <mergeCell ref="G12:I12"/>
    <mergeCell ref="A1:B1"/>
    <mergeCell ref="C12:F1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7"/>
  <sheetViews>
    <sheetView topLeftCell="A14" zoomScale="70" zoomScaleNormal="70" workbookViewId="0">
      <selection activeCell="F25" sqref="F25"/>
    </sheetView>
  </sheetViews>
  <sheetFormatPr defaultRowHeight="14.5" x14ac:dyDescent="0.35"/>
  <cols>
    <col min="1" max="1" width="4.90625" customWidth="1"/>
    <col min="2" max="2" width="46.453125" bestFit="1" customWidth="1"/>
    <col min="3" max="5" width="20" customWidth="1"/>
    <col min="6" max="39" width="18" customWidth="1"/>
  </cols>
  <sheetData>
    <row r="1" spans="1:13" x14ac:dyDescent="0.35">
      <c r="A1" s="31" t="s">
        <v>0</v>
      </c>
      <c r="B1" s="32"/>
      <c r="D1" s="31" t="s">
        <v>64</v>
      </c>
      <c r="E1" s="36"/>
      <c r="G1" s="31" t="s">
        <v>70</v>
      </c>
      <c r="H1" s="31"/>
      <c r="I1" s="36"/>
      <c r="M1" t="s">
        <v>78</v>
      </c>
    </row>
    <row r="2" spans="1:13" x14ac:dyDescent="0.35">
      <c r="A2" s="1" t="s">
        <v>1</v>
      </c>
      <c r="B2" s="1" t="s">
        <v>2</v>
      </c>
      <c r="D2" s="1" t="s">
        <v>65</v>
      </c>
      <c r="E2" s="2">
        <f>ROUND(SUM(E3:E6),2)</f>
        <v>2560.71</v>
      </c>
      <c r="G2" s="1" t="s">
        <v>71</v>
      </c>
      <c r="H2" s="1"/>
      <c r="I2" s="2">
        <f>ROUND(SUM(B60:AG60),2)</f>
        <v>38</v>
      </c>
    </row>
    <row r="3" spans="1:13" x14ac:dyDescent="0.35">
      <c r="A3" s="1" t="s">
        <v>3</v>
      </c>
      <c r="B3" s="1" t="s">
        <v>4</v>
      </c>
      <c r="D3" s="1" t="s">
        <v>66</v>
      </c>
      <c r="E3" s="2">
        <f>231.76</f>
        <v>231.76</v>
      </c>
      <c r="G3" s="1" t="s">
        <v>72</v>
      </c>
      <c r="H3" s="1"/>
      <c r="I3" s="2" t="e">
        <f>ROUND(SUM(B86:AG86),2)</f>
        <v>#VALUE!</v>
      </c>
    </row>
    <row r="4" spans="1:13" ht="43.5" x14ac:dyDescent="0.35">
      <c r="A4" s="1" t="s">
        <v>5</v>
      </c>
      <c r="B4" s="1" t="s">
        <v>6</v>
      </c>
      <c r="D4" s="1" t="s">
        <v>67</v>
      </c>
      <c r="E4" s="2">
        <f>0</f>
        <v>0</v>
      </c>
      <c r="G4" s="1" t="s">
        <v>73</v>
      </c>
      <c r="H4" s="1"/>
      <c r="I4" s="2" t="s">
        <v>46</v>
      </c>
    </row>
    <row r="5" spans="1:13" x14ac:dyDescent="0.35">
      <c r="A5" s="1" t="s">
        <v>7</v>
      </c>
      <c r="B5" s="1" t="s">
        <v>8</v>
      </c>
      <c r="D5" s="1" t="s">
        <v>68</v>
      </c>
      <c r="E5" s="2">
        <f>ROUND(SUMIF(B58:AG58,"MAN",B84:AG84),2)</f>
        <v>2328.9499999999998</v>
      </c>
      <c r="G5" s="6" t="s">
        <v>74</v>
      </c>
      <c r="H5" s="6"/>
      <c r="I5" s="7">
        <v>235.81</v>
      </c>
    </row>
    <row r="6" spans="1:13" x14ac:dyDescent="0.35">
      <c r="A6" s="1" t="s">
        <v>9</v>
      </c>
      <c r="B6" s="1" t="s">
        <v>10</v>
      </c>
      <c r="D6" s="1" t="s">
        <v>69</v>
      </c>
      <c r="E6" s="2">
        <f>ROUND(SUMIF(B58:AG58,"INP",B84:AG84),2)</f>
        <v>0</v>
      </c>
      <c r="G6" s="1" t="s">
        <v>75</v>
      </c>
      <c r="H6" s="1"/>
      <c r="I6" s="2">
        <f>ROUND((B6/(I2*7)),2)</f>
        <v>0</v>
      </c>
    </row>
    <row r="7" spans="1:13" x14ac:dyDescent="0.35">
      <c r="A7" s="1" t="s">
        <v>11</v>
      </c>
      <c r="B7" s="1" t="s">
        <v>10</v>
      </c>
      <c r="G7" s="1" t="s">
        <v>76</v>
      </c>
      <c r="H7" s="1"/>
      <c r="I7" s="2">
        <f>ROUND((((B6*(E2/3600))/(I2*7)))*100,2)</f>
        <v>0.27</v>
      </c>
    </row>
    <row r="8" spans="1:13" x14ac:dyDescent="0.35">
      <c r="B8" t="s">
        <v>12</v>
      </c>
      <c r="G8" s="6" t="s">
        <v>77</v>
      </c>
      <c r="H8" s="6"/>
      <c r="I8" s="7">
        <f>ROUND((7*60*60)/I5,2)</f>
        <v>106.87</v>
      </c>
    </row>
    <row r="9" spans="1:13" x14ac:dyDescent="0.35">
      <c r="K9" t="s">
        <v>98</v>
      </c>
    </row>
    <row r="11" spans="1:13" ht="29" x14ac:dyDescent="0.35">
      <c r="A11" s="5" t="s">
        <v>13</v>
      </c>
      <c r="B11" s="5" t="s">
        <v>14</v>
      </c>
      <c r="C11" s="5" t="s">
        <v>15</v>
      </c>
      <c r="D11" s="5" t="s">
        <v>16</v>
      </c>
    </row>
    <row r="12" spans="1:13" x14ac:dyDescent="0.35">
      <c r="A12" s="5" t="s">
        <v>17</v>
      </c>
      <c r="B12" s="2">
        <f>ROUND(E3,2)</f>
        <v>231.76</v>
      </c>
      <c r="C12" s="2">
        <f>ROUND(0,2)</f>
        <v>0</v>
      </c>
      <c r="D12" s="2" t="str">
        <f>IF(C12=0,100&amp;"%",ROUND(((B12-C12)/C12)*100,2)&amp;"%")</f>
        <v>100%</v>
      </c>
    </row>
    <row r="13" spans="1:13" x14ac:dyDescent="0.35">
      <c r="A13" s="5" t="s">
        <v>18</v>
      </c>
      <c r="B13" s="2">
        <f>ROUND(E4,2)</f>
        <v>0</v>
      </c>
      <c r="C13" s="2">
        <f>ROUND(0,2)</f>
        <v>0</v>
      </c>
      <c r="D13" s="2" t="str">
        <f>IF(C13=0,100&amp;"%",ROUND(((B13-C13)/C13)*100,2)&amp;"%")</f>
        <v>100%</v>
      </c>
    </row>
    <row r="14" spans="1:13" ht="29" x14ac:dyDescent="0.35">
      <c r="A14" s="5" t="s">
        <v>19</v>
      </c>
      <c r="B14" s="2">
        <f>ROUND(E5,2)</f>
        <v>2328.9499999999998</v>
      </c>
      <c r="C14" s="2">
        <f>ROUND(0,2)</f>
        <v>0</v>
      </c>
      <c r="D14" s="2" t="str">
        <f>IF(C14=0,100&amp;"%",ROUND(((B14-C14)/C14)*100,2)&amp;"%")</f>
        <v>100%</v>
      </c>
    </row>
    <row r="15" spans="1:13" x14ac:dyDescent="0.35">
      <c r="A15" s="5" t="s">
        <v>20</v>
      </c>
      <c r="B15" s="2">
        <f>ROUND(E6,2)</f>
        <v>0</v>
      </c>
      <c r="C15" s="2">
        <f>ROUND(0,2)</f>
        <v>0</v>
      </c>
      <c r="D15" s="2" t="str">
        <f>IF(C15=0,100&amp;"%",ROUND(((B15-C15)/C15)*100,2)&amp;"%")</f>
        <v>100%</v>
      </c>
      <c r="K15">
        <f>200/7</f>
        <v>28.571428571428573</v>
      </c>
    </row>
    <row r="17" spans="1:11" x14ac:dyDescent="0.35">
      <c r="C17" s="37" t="s">
        <v>90</v>
      </c>
      <c r="D17" s="37"/>
      <c r="E17" s="37"/>
      <c r="F17" s="37"/>
      <c r="G17" s="37"/>
      <c r="H17" s="10"/>
      <c r="I17" s="38" t="s">
        <v>91</v>
      </c>
      <c r="J17" s="38"/>
    </row>
    <row r="18" spans="1:11" x14ac:dyDescent="0.35">
      <c r="A18" s="5" t="s">
        <v>21</v>
      </c>
      <c r="B18" s="8" t="s">
        <v>13</v>
      </c>
      <c r="C18" s="11" t="s">
        <v>96</v>
      </c>
      <c r="D18" s="11" t="s">
        <v>23</v>
      </c>
      <c r="E18" s="11" t="s">
        <v>24</v>
      </c>
      <c r="F18" s="12" t="s">
        <v>79</v>
      </c>
      <c r="G18" s="12" t="s">
        <v>80</v>
      </c>
      <c r="H18" s="19" t="s">
        <v>97</v>
      </c>
      <c r="I18" s="12" t="s">
        <v>79</v>
      </c>
      <c r="J18" s="12" t="s">
        <v>80</v>
      </c>
    </row>
    <row r="19" spans="1:11" x14ac:dyDescent="0.35">
      <c r="A19" s="1">
        <v>1</v>
      </c>
      <c r="B19" s="9" t="s">
        <v>25</v>
      </c>
      <c r="C19" s="13">
        <f>B84</f>
        <v>24.040641711229949</v>
      </c>
      <c r="D19" s="13">
        <f>B60</f>
        <v>1</v>
      </c>
      <c r="E19" s="13">
        <f>B86</f>
        <v>0.10194920364373838</v>
      </c>
      <c r="F19" s="14">
        <v>0.40066666670000001</v>
      </c>
      <c r="G19" s="14">
        <v>149.75041597340001</v>
      </c>
      <c r="H19" s="14"/>
      <c r="I19" s="14"/>
      <c r="J19" s="14"/>
    </row>
    <row r="20" spans="1:11" x14ac:dyDescent="0.35">
      <c r="A20" s="1">
        <v>2</v>
      </c>
      <c r="B20" s="9" t="s">
        <v>26</v>
      </c>
      <c r="C20" s="13">
        <f>C84</f>
        <v>29.276470588235291</v>
      </c>
      <c r="D20" s="13">
        <f>C60</f>
        <v>1</v>
      </c>
      <c r="E20" s="13">
        <f>C86</f>
        <v>0.12415279499696913</v>
      </c>
      <c r="F20" s="14">
        <v>0.48799999999999999</v>
      </c>
      <c r="G20" s="14">
        <v>122.9508196721</v>
      </c>
      <c r="H20" s="14"/>
      <c r="I20" s="14"/>
      <c r="J20" s="14"/>
    </row>
    <row r="21" spans="1:11" x14ac:dyDescent="0.35">
      <c r="A21" s="1">
        <v>3</v>
      </c>
      <c r="B21" s="9" t="s">
        <v>27</v>
      </c>
      <c r="C21" s="13">
        <f>D84</f>
        <v>42.77411764705883</v>
      </c>
      <c r="D21" s="13">
        <f>D60</f>
        <v>1</v>
      </c>
      <c r="E21" s="13">
        <f>D86</f>
        <v>0.18139229738797688</v>
      </c>
      <c r="F21" s="14">
        <v>0.71283333329999998</v>
      </c>
      <c r="G21" s="14">
        <v>84.171148000900004</v>
      </c>
      <c r="H21" s="14"/>
      <c r="I21" s="14"/>
      <c r="J21" s="14"/>
    </row>
    <row r="22" spans="1:11" x14ac:dyDescent="0.35">
      <c r="A22" s="1">
        <v>4</v>
      </c>
      <c r="B22" s="9" t="s">
        <v>28</v>
      </c>
      <c r="C22" s="13">
        <f>E84</f>
        <v>43.268235294117645</v>
      </c>
      <c r="D22" s="13">
        <f>E60</f>
        <v>1</v>
      </c>
      <c r="E22" s="13">
        <f>E86</f>
        <v>0.18348770321071051</v>
      </c>
      <c r="F22" s="14">
        <v>0.72116666669999996</v>
      </c>
      <c r="G22" s="14">
        <v>83.198520915200007</v>
      </c>
      <c r="H22" s="14"/>
      <c r="I22" s="14"/>
      <c r="J22" s="14"/>
    </row>
    <row r="23" spans="1:11" x14ac:dyDescent="0.35">
      <c r="A23" s="1">
        <v>5</v>
      </c>
      <c r="B23" s="9" t="s">
        <v>29</v>
      </c>
      <c r="C23" s="13">
        <f>F84</f>
        <v>42.299019607843128</v>
      </c>
      <c r="D23" s="13">
        <f>F60</f>
        <v>1</v>
      </c>
      <c r="E23" s="13">
        <f>F86</f>
        <v>0.17937754805921347</v>
      </c>
      <c r="F23" s="14">
        <v>0.70499999999999996</v>
      </c>
      <c r="G23" s="14">
        <v>85.106382978699997</v>
      </c>
      <c r="H23" s="14"/>
      <c r="I23" s="14"/>
      <c r="J23" s="14"/>
    </row>
    <row r="24" spans="1:11" x14ac:dyDescent="0.35">
      <c r="A24" s="1">
        <v>6</v>
      </c>
      <c r="B24" s="9" t="s">
        <v>30</v>
      </c>
      <c r="C24" s="13">
        <f>G84</f>
        <v>38.758288770053476</v>
      </c>
      <c r="D24" s="13">
        <f>G60</f>
        <v>1</v>
      </c>
      <c r="E24" s="13">
        <f>G86</f>
        <v>0.16436236279230515</v>
      </c>
      <c r="F24" s="14">
        <v>0.64600000000000002</v>
      </c>
      <c r="G24" s="14">
        <v>92.879256965899998</v>
      </c>
      <c r="H24" s="14"/>
      <c r="I24" s="14"/>
      <c r="J24" s="14"/>
    </row>
    <row r="25" spans="1:11" x14ac:dyDescent="0.35">
      <c r="A25" s="1">
        <v>7</v>
      </c>
      <c r="B25" s="9" t="s">
        <v>31</v>
      </c>
      <c r="C25" s="13">
        <f>I84</f>
        <v>9.9160784313725507</v>
      </c>
      <c r="D25" s="13">
        <f>I60</f>
        <v>1</v>
      </c>
      <c r="E25" s="13">
        <f>I86</f>
        <v>4.2051136217177182E-2</v>
      </c>
      <c r="F25" s="14">
        <v>0.1653333333</v>
      </c>
      <c r="G25" s="14">
        <v>362.90322580650002</v>
      </c>
      <c r="H25" s="14"/>
      <c r="I25" s="14"/>
      <c r="J25" s="14"/>
    </row>
    <row r="26" spans="1:11" x14ac:dyDescent="0.35">
      <c r="A26" s="1">
        <v>8</v>
      </c>
      <c r="B26" s="9" t="s">
        <v>32</v>
      </c>
      <c r="C26" s="13">
        <f>J84</f>
        <v>72.76705882352941</v>
      </c>
      <c r="D26" s="13">
        <f>J60</f>
        <v>1</v>
      </c>
      <c r="E26" s="13">
        <f>J86</f>
        <v>0.30858343082790979</v>
      </c>
      <c r="F26" s="14">
        <v>1.2128333333000001</v>
      </c>
      <c r="G26" s="14">
        <v>49.470935825200002</v>
      </c>
      <c r="H26" s="14"/>
      <c r="I26" s="14"/>
      <c r="J26" s="14"/>
    </row>
    <row r="27" spans="1:11" x14ac:dyDescent="0.35">
      <c r="A27" s="1">
        <v>9</v>
      </c>
      <c r="B27" s="9" t="s">
        <v>33</v>
      </c>
      <c r="C27" s="13">
        <f>K84</f>
        <v>7.7855203619909474</v>
      </c>
      <c r="D27" s="13">
        <f>K60</f>
        <v>1</v>
      </c>
      <c r="E27" s="13">
        <f>K86</f>
        <v>3.3016073796662347E-2</v>
      </c>
      <c r="F27" s="14">
        <v>0.12983333329999999</v>
      </c>
      <c r="G27" s="14">
        <v>462.13093709880002</v>
      </c>
      <c r="H27" s="14"/>
      <c r="I27" s="14"/>
      <c r="J27" s="14"/>
    </row>
    <row r="28" spans="1:11" x14ac:dyDescent="0.35">
      <c r="A28" s="1">
        <v>10</v>
      </c>
      <c r="B28" s="9" t="s">
        <v>34</v>
      </c>
      <c r="C28" s="13">
        <f>L84</f>
        <v>19.10588235294118</v>
      </c>
      <c r="D28" s="13">
        <f>L60</f>
        <v>1</v>
      </c>
      <c r="E28" s="13">
        <f>L86</f>
        <v>8.1022358479034731E-2</v>
      </c>
      <c r="F28" s="14">
        <v>0.31850000000000001</v>
      </c>
      <c r="G28" s="14">
        <v>188.3830455259</v>
      </c>
      <c r="H28" s="14"/>
      <c r="I28" s="14"/>
      <c r="J28" s="14"/>
      <c r="K28">
        <f>(G34*7)*1</f>
        <v>121.11308694169999</v>
      </c>
    </row>
    <row r="29" spans="1:11" x14ac:dyDescent="0.35">
      <c r="A29" s="1">
        <v>11</v>
      </c>
      <c r="B29" s="9" t="s">
        <v>35</v>
      </c>
      <c r="C29" s="13">
        <f>M84</f>
        <v>58.365490196078426</v>
      </c>
      <c r="D29" s="13">
        <f>M60</f>
        <v>1</v>
      </c>
      <c r="E29" s="13">
        <f>M86</f>
        <v>0.24751066619769485</v>
      </c>
      <c r="F29" s="14">
        <v>0.97283333329999999</v>
      </c>
      <c r="G29" s="14">
        <v>61.675518245699998</v>
      </c>
      <c r="H29" s="14"/>
      <c r="I29" s="14"/>
      <c r="J29" s="14"/>
    </row>
    <row r="30" spans="1:11" x14ac:dyDescent="0.35">
      <c r="A30" s="1">
        <v>12</v>
      </c>
      <c r="B30" s="9" t="s">
        <v>36</v>
      </c>
      <c r="C30" s="13">
        <f>N84</f>
        <v>40.135757575757573</v>
      </c>
      <c r="D30" s="13">
        <f>N60</f>
        <v>1</v>
      </c>
      <c r="E30" s="13">
        <f>N86</f>
        <v>0.17020379787013939</v>
      </c>
      <c r="F30" s="14">
        <v>0.66900000000000004</v>
      </c>
      <c r="G30" s="14">
        <v>89.686098654700004</v>
      </c>
      <c r="H30" s="14"/>
      <c r="I30" s="14"/>
      <c r="J30" s="14"/>
    </row>
    <row r="31" spans="1:11" x14ac:dyDescent="0.35">
      <c r="A31" s="1">
        <v>13</v>
      </c>
      <c r="B31" s="9" t="s">
        <v>37</v>
      </c>
      <c r="C31" s="13">
        <f>O84</f>
        <v>90.677005347593607</v>
      </c>
      <c r="D31" s="13">
        <f>O60</f>
        <v>1</v>
      </c>
      <c r="E31" s="13">
        <f>O86</f>
        <v>0.38453418153425895</v>
      </c>
      <c r="F31" s="14">
        <v>1.5113333333000001</v>
      </c>
      <c r="G31" s="14">
        <v>39.7000441112</v>
      </c>
      <c r="H31" s="14"/>
      <c r="I31" s="14"/>
      <c r="J31" s="14"/>
    </row>
    <row r="32" spans="1:11" x14ac:dyDescent="0.35">
      <c r="A32" s="1">
        <v>14</v>
      </c>
      <c r="B32" s="9" t="s">
        <v>38</v>
      </c>
      <c r="C32" s="13">
        <f>P84</f>
        <v>29.073109243697481</v>
      </c>
      <c r="D32" s="13">
        <f>P60</f>
        <v>2</v>
      </c>
      <c r="E32" s="13">
        <f>P86</f>
        <v>0.12329040008353115</v>
      </c>
      <c r="F32" s="14">
        <v>0.48449999999999999</v>
      </c>
      <c r="G32" s="14">
        <v>123.8390092879</v>
      </c>
      <c r="H32" s="14"/>
      <c r="I32" s="14"/>
      <c r="J32" s="14"/>
    </row>
    <row r="33" spans="1:14" x14ac:dyDescent="0.35">
      <c r="A33" s="1">
        <v>15</v>
      </c>
      <c r="B33" s="9" t="s">
        <v>39</v>
      </c>
      <c r="C33" s="13">
        <f>Q84</f>
        <v>37.916470588235292</v>
      </c>
      <c r="D33" s="13">
        <f>Q60</f>
        <v>2</v>
      </c>
      <c r="E33" s="13">
        <f>Q86</f>
        <v>0.16079246252591192</v>
      </c>
      <c r="F33" s="14">
        <v>0.63200000000000001</v>
      </c>
      <c r="G33" s="14">
        <v>94.936708860799996</v>
      </c>
      <c r="H33" s="14"/>
      <c r="I33" s="14"/>
      <c r="J33" s="14"/>
    </row>
    <row r="34" spans="1:14" x14ac:dyDescent="0.35">
      <c r="A34" s="1">
        <v>16</v>
      </c>
      <c r="B34" s="9" t="s">
        <v>88</v>
      </c>
      <c r="C34" s="15">
        <f>R84</f>
        <v>208.0658823529412</v>
      </c>
      <c r="D34" s="13">
        <f>R60</f>
        <v>1</v>
      </c>
      <c r="E34" s="13">
        <f>R86</f>
        <v>0.88234545758424665</v>
      </c>
      <c r="F34" s="14">
        <v>3.4678333333000002</v>
      </c>
      <c r="G34" s="16">
        <v>17.301869563099999</v>
      </c>
      <c r="H34" s="14"/>
      <c r="I34" s="14"/>
      <c r="J34" s="14"/>
      <c r="L34" s="22">
        <f>G34*7</f>
        <v>121.11308694169999</v>
      </c>
      <c r="M34">
        <f>L34*3</f>
        <v>363.33926082509998</v>
      </c>
      <c r="N34">
        <f>M34*25</f>
        <v>9083.4815206274998</v>
      </c>
    </row>
    <row r="35" spans="1:14" x14ac:dyDescent="0.35">
      <c r="A35" s="1">
        <v>16</v>
      </c>
      <c r="B35" s="9" t="s">
        <v>92</v>
      </c>
      <c r="C35" s="13"/>
      <c r="D35" s="13"/>
      <c r="E35" s="13"/>
      <c r="F35" s="14"/>
      <c r="G35" s="14"/>
      <c r="H35" s="20">
        <f>I35*60</f>
        <v>42.3</v>
      </c>
      <c r="I35" s="14">
        <f>1.41/2</f>
        <v>0.70499999999999996</v>
      </c>
      <c r="J35" s="18">
        <f>60/I35</f>
        <v>85.106382978723403</v>
      </c>
    </row>
    <row r="36" spans="1:14" x14ac:dyDescent="0.35">
      <c r="A36" s="1">
        <v>16</v>
      </c>
      <c r="B36" s="9" t="s">
        <v>89</v>
      </c>
      <c r="C36" s="15">
        <f>S84</f>
        <v>206.50588235294114</v>
      </c>
      <c r="D36" s="13">
        <f>S60</f>
        <v>1</v>
      </c>
      <c r="E36" s="13">
        <f>S86</f>
        <v>0.87572996205818732</v>
      </c>
      <c r="F36" s="14">
        <v>3.4418333333</v>
      </c>
      <c r="G36" s="16">
        <v>17.432569851299998</v>
      </c>
      <c r="H36" s="14"/>
      <c r="I36" s="14"/>
      <c r="J36" s="14"/>
      <c r="L36" s="22">
        <f>G36*7</f>
        <v>122.02798895909999</v>
      </c>
      <c r="M36">
        <f>L36*3</f>
        <v>366.08396687729999</v>
      </c>
      <c r="N36">
        <f>M36*25</f>
        <v>9152.0991719324993</v>
      </c>
    </row>
    <row r="37" spans="1:14" x14ac:dyDescent="0.35">
      <c r="A37" s="1">
        <v>16</v>
      </c>
      <c r="B37" s="9" t="s">
        <v>93</v>
      </c>
      <c r="C37" s="13"/>
      <c r="D37" s="13"/>
      <c r="E37" s="13"/>
      <c r="F37" s="14"/>
      <c r="G37" s="14"/>
      <c r="H37" s="21">
        <f>I37*60</f>
        <v>88.941176470588232</v>
      </c>
      <c r="I37" s="17">
        <f>1.26/0.85</f>
        <v>1.4823529411764707</v>
      </c>
      <c r="J37" s="18">
        <f t="shared" ref="J37:J39" si="0">60/I37</f>
        <v>40.476190476190474</v>
      </c>
      <c r="L37" s="22">
        <f>J37*7</f>
        <v>283.33333333333331</v>
      </c>
      <c r="M37">
        <f t="shared" ref="M37:M39" si="1">L37*3</f>
        <v>850</v>
      </c>
      <c r="N37">
        <f>M37*25</f>
        <v>21250</v>
      </c>
    </row>
    <row r="38" spans="1:14" x14ac:dyDescent="0.35">
      <c r="A38" s="1">
        <v>16</v>
      </c>
      <c r="B38" s="9" t="s">
        <v>94</v>
      </c>
      <c r="C38" s="13"/>
      <c r="D38" s="13"/>
      <c r="E38" s="13"/>
      <c r="F38" s="14"/>
      <c r="G38" s="14"/>
      <c r="H38" s="21">
        <f t="shared" ref="H38:H39" si="2">I38*60</f>
        <v>83.294117647058826</v>
      </c>
      <c r="I38" s="17">
        <f>1.18/0.85</f>
        <v>1.388235294117647</v>
      </c>
      <c r="J38" s="18">
        <f t="shared" si="0"/>
        <v>43.220338983050851</v>
      </c>
      <c r="L38" s="22">
        <f t="shared" ref="L38:L39" si="3">J38*7</f>
        <v>302.54237288135596</v>
      </c>
      <c r="M38">
        <f t="shared" si="1"/>
        <v>907.62711864406788</v>
      </c>
      <c r="N38">
        <f>M38*25</f>
        <v>22690.677966101695</v>
      </c>
    </row>
    <row r="39" spans="1:14" x14ac:dyDescent="0.35">
      <c r="A39" s="1">
        <v>16</v>
      </c>
      <c r="B39" s="9" t="s">
        <v>95</v>
      </c>
      <c r="C39" s="13"/>
      <c r="D39" s="13"/>
      <c r="E39" s="13"/>
      <c r="F39" s="14"/>
      <c r="G39" s="14"/>
      <c r="H39" s="21">
        <f t="shared" si="2"/>
        <v>94.588235294117652</v>
      </c>
      <c r="I39" s="17">
        <f>1.34/0.85</f>
        <v>1.5764705882352943</v>
      </c>
      <c r="J39" s="23">
        <f t="shared" si="0"/>
        <v>38.059701492537307</v>
      </c>
      <c r="L39" s="22">
        <f t="shared" si="3"/>
        <v>266.41791044776113</v>
      </c>
      <c r="M39">
        <f t="shared" si="1"/>
        <v>799.25373134328333</v>
      </c>
      <c r="N39">
        <f>M39*25</f>
        <v>19981.343283582082</v>
      </c>
    </row>
    <row r="40" spans="1:14" x14ac:dyDescent="0.35">
      <c r="A40" s="1">
        <v>16</v>
      </c>
      <c r="B40" s="9" t="s">
        <v>42</v>
      </c>
      <c r="C40" s="13">
        <f>T84</f>
        <v>24.608403361344539</v>
      </c>
      <c r="D40" s="13">
        <f>T60</f>
        <v>1</v>
      </c>
      <c r="E40" s="13">
        <f>T86</f>
        <v>0.10435691175668775</v>
      </c>
      <c r="F40" s="14">
        <v>0.41016666670000002</v>
      </c>
      <c r="G40" s="14">
        <v>146.28199918729999</v>
      </c>
      <c r="H40" s="14"/>
      <c r="I40" s="14"/>
      <c r="J40" s="14"/>
    </row>
    <row r="41" spans="1:14" x14ac:dyDescent="0.35">
      <c r="A41" s="1">
        <v>16</v>
      </c>
      <c r="B41" s="9" t="s">
        <v>43</v>
      </c>
      <c r="C41" s="13">
        <f>U84</f>
        <v>19.985294117647054</v>
      </c>
      <c r="D41" s="13">
        <f>U60</f>
        <v>1</v>
      </c>
      <c r="E41" s="13">
        <f>U86</f>
        <v>8.475168193735233E-2</v>
      </c>
      <c r="F41" s="14">
        <v>0.3331666667</v>
      </c>
      <c r="G41" s="14">
        <v>180.09004502249999</v>
      </c>
      <c r="H41" s="14"/>
      <c r="I41" s="14"/>
      <c r="J41" s="14"/>
    </row>
    <row r="42" spans="1:14" x14ac:dyDescent="0.35">
      <c r="A42" s="1">
        <v>16</v>
      </c>
      <c r="B42" s="9" t="s">
        <v>44</v>
      </c>
      <c r="C42" s="13">
        <f>V84</f>
        <v>95.558787878787882</v>
      </c>
      <c r="D42" s="13">
        <f>V60</f>
        <v>1</v>
      </c>
      <c r="E42" s="13">
        <f>V86</f>
        <v>0.40523636774855976</v>
      </c>
      <c r="F42" s="14">
        <v>1.5926666667</v>
      </c>
      <c r="G42" s="14">
        <v>37.672666387600003</v>
      </c>
      <c r="H42" s="14"/>
      <c r="I42" s="14"/>
      <c r="J42" s="14"/>
    </row>
    <row r="43" spans="1:14" x14ac:dyDescent="0.35">
      <c r="A43" s="1">
        <v>16</v>
      </c>
      <c r="B43" s="9" t="s">
        <v>84</v>
      </c>
      <c r="C43" s="13">
        <v>114.66</v>
      </c>
      <c r="D43" s="13">
        <v>2</v>
      </c>
      <c r="E43" s="13"/>
      <c r="F43" s="14">
        <v>1.911</v>
      </c>
      <c r="G43" s="14">
        <v>31.397174254300001</v>
      </c>
      <c r="H43" s="14"/>
      <c r="I43" s="14"/>
      <c r="J43" s="14"/>
    </row>
    <row r="44" spans="1:14" x14ac:dyDescent="0.35">
      <c r="A44" s="1">
        <v>16</v>
      </c>
      <c r="B44" s="9" t="s">
        <v>85</v>
      </c>
      <c r="C44" s="13">
        <v>103.19</v>
      </c>
      <c r="D44" s="13">
        <v>2</v>
      </c>
      <c r="E44" s="13"/>
      <c r="F44" s="14">
        <v>1.7198333333</v>
      </c>
      <c r="G44" s="14">
        <v>34.887101463299999</v>
      </c>
      <c r="H44" s="14"/>
      <c r="I44" s="14"/>
      <c r="J44" s="14"/>
    </row>
    <row r="45" spans="1:14" x14ac:dyDescent="0.35">
      <c r="A45" s="1">
        <v>16</v>
      </c>
      <c r="B45" s="9" t="s">
        <v>45</v>
      </c>
      <c r="C45" s="13">
        <f>Y84</f>
        <v>98.977450980392149</v>
      </c>
      <c r="D45" s="13">
        <f>Y60</f>
        <v>2</v>
      </c>
      <c r="E45" s="13">
        <f>Y86</f>
        <v>0.4197339000907177</v>
      </c>
      <c r="F45" s="14">
        <v>1.6496666667</v>
      </c>
      <c r="G45" s="14">
        <v>36.370984037200003</v>
      </c>
      <c r="H45" s="14"/>
      <c r="I45" s="14"/>
      <c r="J45" s="14"/>
    </row>
    <row r="46" spans="1:14" x14ac:dyDescent="0.35">
      <c r="A46" s="1">
        <v>16</v>
      </c>
      <c r="B46" s="9" t="s">
        <v>83</v>
      </c>
      <c r="C46" s="13">
        <f>Z84</f>
        <v>117.91111111111111</v>
      </c>
      <c r="D46" s="13">
        <f>Z60</f>
        <v>2</v>
      </c>
      <c r="E46" s="13">
        <f>Z86</f>
        <v>0.5000259154027018</v>
      </c>
      <c r="F46" s="14">
        <v>1.9651666667000001</v>
      </c>
      <c r="G46" s="14">
        <f>3600/C46</f>
        <v>30.531473803241614</v>
      </c>
      <c r="H46" s="14"/>
      <c r="I46" s="14"/>
      <c r="J46" s="14"/>
    </row>
    <row r="47" spans="1:14" x14ac:dyDescent="0.35">
      <c r="A47" s="1">
        <v>16</v>
      </c>
      <c r="B47" s="9" t="s">
        <v>47</v>
      </c>
      <c r="C47" s="13">
        <f>AA84</f>
        <v>92.894117647058835</v>
      </c>
      <c r="D47" s="13">
        <f>AA60</f>
        <v>1</v>
      </c>
      <c r="E47" s="13">
        <f>AA86</f>
        <v>0.39393629467392743</v>
      </c>
      <c r="F47" s="14">
        <v>1.5476666667000001</v>
      </c>
      <c r="G47" s="14">
        <v>38.755517278500001</v>
      </c>
      <c r="H47" s="14"/>
      <c r="I47" s="14"/>
      <c r="J47" s="14"/>
    </row>
    <row r="48" spans="1:14" x14ac:dyDescent="0.35">
      <c r="A48" s="1">
        <v>16</v>
      </c>
      <c r="B48" s="9" t="s">
        <v>48</v>
      </c>
      <c r="C48" s="13">
        <f>AB84</f>
        <v>171.16470588235296</v>
      </c>
      <c r="D48" s="13">
        <f>AB60</f>
        <v>1</v>
      </c>
      <c r="E48" s="13">
        <f>AB86</f>
        <v>0.72585855511790409</v>
      </c>
      <c r="F48" s="14">
        <v>2.8526666666999998</v>
      </c>
      <c r="G48" s="14">
        <v>21.032951624199999</v>
      </c>
      <c r="H48" s="14"/>
      <c r="I48" s="14"/>
      <c r="J48" s="14"/>
    </row>
    <row r="49" spans="1:33" x14ac:dyDescent="0.35">
      <c r="A49" s="1">
        <v>16</v>
      </c>
      <c r="B49" s="9" t="s">
        <v>49</v>
      </c>
      <c r="C49" s="13">
        <f>AC84</f>
        <v>231.75333333333333</v>
      </c>
      <c r="D49" s="13">
        <f>AC60</f>
        <v>1</v>
      </c>
      <c r="E49" s="13">
        <f>AC86</f>
        <v>0.9827968844974061</v>
      </c>
      <c r="F49" s="14">
        <v>3.8624999999999998</v>
      </c>
      <c r="G49" s="14">
        <v>15.5339805825</v>
      </c>
      <c r="H49" s="14"/>
      <c r="I49" s="14"/>
      <c r="J49" s="14"/>
    </row>
    <row r="50" spans="1:33" x14ac:dyDescent="0.35">
      <c r="A50" s="1">
        <v>16</v>
      </c>
      <c r="B50" s="9" t="s">
        <v>50</v>
      </c>
      <c r="C50" s="13">
        <f>AD84</f>
        <v>74.278733031674221</v>
      </c>
      <c r="D50" s="13">
        <f>AD60</f>
        <v>1</v>
      </c>
      <c r="E50" s="13">
        <f>AD86</f>
        <v>0.3149939910592181</v>
      </c>
      <c r="F50" s="14">
        <v>1.238</v>
      </c>
      <c r="G50" s="14">
        <v>48.465266559</v>
      </c>
      <c r="H50" s="14"/>
      <c r="I50" s="14"/>
      <c r="J50" s="14"/>
    </row>
    <row r="51" spans="1:33" x14ac:dyDescent="0.35">
      <c r="A51" s="1">
        <v>16</v>
      </c>
      <c r="B51" s="9" t="s">
        <v>51</v>
      </c>
      <c r="C51" s="13">
        <f>AE84</f>
        <v>95.832888888888874</v>
      </c>
      <c r="D51" s="13">
        <f>AE60</f>
        <v>1</v>
      </c>
      <c r="E51" s="13">
        <f>AE86</f>
        <v>0.40639874852164398</v>
      </c>
      <c r="F51" s="14">
        <v>1.5971666667</v>
      </c>
      <c r="G51" s="14">
        <v>37.566524053000002</v>
      </c>
      <c r="H51" s="14"/>
      <c r="I51" s="14"/>
      <c r="J51" s="14"/>
    </row>
    <row r="52" spans="1:33" x14ac:dyDescent="0.35">
      <c r="A52" s="1">
        <v>16</v>
      </c>
      <c r="B52" s="9" t="s">
        <v>52</v>
      </c>
      <c r="C52" s="13">
        <f>AF84</f>
        <v>61.428758169934639</v>
      </c>
      <c r="D52" s="13">
        <f>AF60</f>
        <v>2</v>
      </c>
      <c r="E52" s="13">
        <f>AF86</f>
        <v>0.26050107361831404</v>
      </c>
      <c r="F52" s="14">
        <v>1.0238333333</v>
      </c>
      <c r="G52" s="14">
        <v>58.603288295600002</v>
      </c>
      <c r="H52" s="14"/>
      <c r="I52" s="14"/>
      <c r="J52" s="14"/>
    </row>
    <row r="53" spans="1:33" x14ac:dyDescent="0.35">
      <c r="A53" s="1">
        <v>16</v>
      </c>
      <c r="B53" s="9" t="s">
        <v>53</v>
      </c>
      <c r="C53" s="13">
        <f>AG84</f>
        <v>25.981818181818184</v>
      </c>
      <c r="D53" s="13">
        <f>AG60</f>
        <v>1</v>
      </c>
      <c r="E53" s="13">
        <f>AG86</f>
        <v>0.11018115509019204</v>
      </c>
      <c r="F53" s="14">
        <v>0.433</v>
      </c>
      <c r="G53" s="14">
        <v>138.5681293303</v>
      </c>
      <c r="H53" s="14"/>
      <c r="I53" s="14"/>
      <c r="J53" s="14"/>
    </row>
    <row r="54" spans="1:33" x14ac:dyDescent="0.35">
      <c r="A54" s="1"/>
      <c r="B54" s="9" t="s">
        <v>54</v>
      </c>
      <c r="C54" s="13">
        <f>ROUND(SUM(C19:C53),2)</f>
        <v>2328.96</v>
      </c>
      <c r="D54" s="13">
        <f>ROUND(SUM(D19:D53),2)</f>
        <v>38</v>
      </c>
      <c r="E54" s="13">
        <f>ROUND(SUM(E19:E53),2)</f>
        <v>8.9499999999999993</v>
      </c>
      <c r="F54" s="14"/>
      <c r="G54" s="14"/>
      <c r="H54" s="14"/>
      <c r="I54" s="14"/>
      <c r="J54" s="14"/>
    </row>
    <row r="57" spans="1:33" x14ac:dyDescent="0.35">
      <c r="A57" s="2" t="s">
        <v>55</v>
      </c>
      <c r="B57" s="2" t="s">
        <v>62</v>
      </c>
      <c r="C57" s="2" t="s">
        <v>63</v>
      </c>
      <c r="D57" s="2" t="s">
        <v>62</v>
      </c>
      <c r="E57" s="2" t="s">
        <v>62</v>
      </c>
      <c r="F57" s="2" t="s">
        <v>62</v>
      </c>
      <c r="G57" s="2" t="s">
        <v>63</v>
      </c>
      <c r="H57" s="2"/>
      <c r="I57" s="2" t="s">
        <v>62</v>
      </c>
      <c r="J57" s="2" t="s">
        <v>81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63</v>
      </c>
      <c r="P57" s="2" t="s">
        <v>63</v>
      </c>
      <c r="Q57" s="2" t="s">
        <v>63</v>
      </c>
      <c r="R57" s="2" t="s">
        <v>62</v>
      </c>
      <c r="S57" s="2" t="s">
        <v>62</v>
      </c>
      <c r="T57" s="2" t="s">
        <v>63</v>
      </c>
      <c r="U57" s="2" t="s">
        <v>63</v>
      </c>
      <c r="V57" s="2" t="s">
        <v>63</v>
      </c>
      <c r="W57" s="2" t="s">
        <v>62</v>
      </c>
      <c r="X57" s="2" t="s">
        <v>62</v>
      </c>
      <c r="Y57" s="2" t="s">
        <v>62</v>
      </c>
      <c r="Z57" s="2" t="s">
        <v>62</v>
      </c>
      <c r="AA57" s="2" t="s">
        <v>63</v>
      </c>
      <c r="AB57" s="2" t="s">
        <v>63</v>
      </c>
      <c r="AC57" s="2" t="s">
        <v>63</v>
      </c>
      <c r="AD57" s="2" t="s">
        <v>81</v>
      </c>
      <c r="AE57" s="2" t="s">
        <v>63</v>
      </c>
      <c r="AF57" s="2" t="s">
        <v>63</v>
      </c>
      <c r="AG57" s="2" t="s">
        <v>63</v>
      </c>
    </row>
    <row r="58" spans="1:33" ht="29" x14ac:dyDescent="0.35">
      <c r="A58" s="2" t="s">
        <v>56</v>
      </c>
      <c r="B58" s="2" t="s">
        <v>19</v>
      </c>
      <c r="C58" s="2" t="s">
        <v>19</v>
      </c>
      <c r="D58" s="2" t="s">
        <v>19</v>
      </c>
      <c r="E58" s="2" t="s">
        <v>19</v>
      </c>
      <c r="F58" s="2" t="s">
        <v>19</v>
      </c>
      <c r="G58" s="2" t="s">
        <v>19</v>
      </c>
      <c r="H58" s="2"/>
      <c r="I58" s="2" t="s">
        <v>19</v>
      </c>
      <c r="J58" s="2" t="s">
        <v>19</v>
      </c>
      <c r="K58" s="2" t="s">
        <v>19</v>
      </c>
      <c r="L58" s="2" t="s">
        <v>19</v>
      </c>
      <c r="M58" s="2" t="s">
        <v>19</v>
      </c>
      <c r="N58" s="2" t="s">
        <v>19</v>
      </c>
      <c r="O58" s="2" t="s">
        <v>19</v>
      </c>
      <c r="P58" s="2" t="s">
        <v>19</v>
      </c>
      <c r="Q58" s="2" t="s">
        <v>19</v>
      </c>
      <c r="R58" s="2" t="s">
        <v>19</v>
      </c>
      <c r="S58" s="2" t="s">
        <v>19</v>
      </c>
      <c r="T58" s="2" t="s">
        <v>19</v>
      </c>
      <c r="U58" s="2" t="s">
        <v>19</v>
      </c>
      <c r="V58" s="2" t="s">
        <v>19</v>
      </c>
      <c r="W58" s="2" t="s">
        <v>19</v>
      </c>
      <c r="X58" s="2" t="s">
        <v>19</v>
      </c>
      <c r="Y58" s="2" t="s">
        <v>19</v>
      </c>
      <c r="Z58" s="2" t="s">
        <v>19</v>
      </c>
      <c r="AA58" s="2" t="s">
        <v>19</v>
      </c>
      <c r="AB58" s="2" t="s">
        <v>19</v>
      </c>
      <c r="AC58" s="2" t="s">
        <v>19</v>
      </c>
      <c r="AD58" s="2" t="s">
        <v>19</v>
      </c>
      <c r="AE58" s="2" t="s">
        <v>19</v>
      </c>
      <c r="AF58" s="2" t="s">
        <v>19</v>
      </c>
      <c r="AG58" s="2" t="s">
        <v>19</v>
      </c>
    </row>
    <row r="59" spans="1:33" ht="43.5" x14ac:dyDescent="0.35">
      <c r="A59" s="2" t="s">
        <v>57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/>
      <c r="I59" s="2">
        <f>2/3</f>
        <v>0.66666666666666663</v>
      </c>
      <c r="J59" s="2">
        <v>4</v>
      </c>
      <c r="K59" s="2">
        <f>1/2</f>
        <v>0.5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2</v>
      </c>
      <c r="S59" s="2">
        <v>2</v>
      </c>
      <c r="T59" s="2">
        <v>1</v>
      </c>
      <c r="U59" s="2">
        <v>1</v>
      </c>
      <c r="V59" s="2">
        <v>2</v>
      </c>
      <c r="W59" s="2">
        <v>1</v>
      </c>
      <c r="X59" s="2">
        <v>1</v>
      </c>
      <c r="Y59" s="2">
        <v>1</v>
      </c>
      <c r="Z59" s="2">
        <v>1</v>
      </c>
      <c r="AA59" s="2">
        <v>2</v>
      </c>
      <c r="AB59" s="2">
        <v>2</v>
      </c>
      <c r="AC59" s="2">
        <v>1</v>
      </c>
      <c r="AD59" s="2">
        <v>1</v>
      </c>
      <c r="AE59" s="2">
        <v>1</v>
      </c>
      <c r="AF59" s="2">
        <f>1/3</f>
        <v>0.33333333333333331</v>
      </c>
      <c r="AG59" s="2">
        <v>1</v>
      </c>
    </row>
    <row r="60" spans="1:33" ht="58" x14ac:dyDescent="0.35">
      <c r="A60" s="2" t="s">
        <v>23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/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2</v>
      </c>
      <c r="Q60" s="2">
        <v>2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2</v>
      </c>
      <c r="X60" s="2">
        <v>2</v>
      </c>
      <c r="Y60" s="2">
        <v>2</v>
      </c>
      <c r="Z60" s="2">
        <v>2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2</v>
      </c>
      <c r="AG60" s="2">
        <v>1</v>
      </c>
    </row>
    <row r="61" spans="1:33" ht="43.5" x14ac:dyDescent="0.35">
      <c r="A61" s="2" t="s">
        <v>13</v>
      </c>
      <c r="B61" s="2" t="s">
        <v>25</v>
      </c>
      <c r="C61" s="2" t="s">
        <v>26</v>
      </c>
      <c r="D61" s="2" t="s">
        <v>27</v>
      </c>
      <c r="E61" s="2" t="s">
        <v>28</v>
      </c>
      <c r="F61" s="2" t="s">
        <v>29</v>
      </c>
      <c r="G61" s="2" t="s">
        <v>30</v>
      </c>
      <c r="H61" s="2"/>
      <c r="I61" s="2" t="s">
        <v>31</v>
      </c>
      <c r="J61" s="2" t="s">
        <v>32</v>
      </c>
      <c r="K61" s="2" t="s">
        <v>33</v>
      </c>
      <c r="L61" s="2" t="s">
        <v>34</v>
      </c>
      <c r="M61" s="2" t="s">
        <v>35</v>
      </c>
      <c r="N61" s="2" t="s">
        <v>36</v>
      </c>
      <c r="O61" s="2" t="s">
        <v>37</v>
      </c>
      <c r="P61" s="2" t="s">
        <v>38</v>
      </c>
      <c r="Q61" s="2" t="s">
        <v>39</v>
      </c>
      <c r="R61" s="2" t="s">
        <v>40</v>
      </c>
      <c r="S61" s="2" t="s">
        <v>41</v>
      </c>
      <c r="T61" s="2" t="s">
        <v>42</v>
      </c>
      <c r="U61" s="2" t="s">
        <v>43</v>
      </c>
      <c r="V61" s="2" t="s">
        <v>44</v>
      </c>
      <c r="W61" s="2" t="s">
        <v>83</v>
      </c>
      <c r="X61" s="2" t="s">
        <v>45</v>
      </c>
      <c r="Y61" s="2" t="s">
        <v>87</v>
      </c>
      <c r="Z61" s="2" t="s">
        <v>86</v>
      </c>
      <c r="AA61" s="2" t="s">
        <v>47</v>
      </c>
      <c r="AB61" s="2" t="s">
        <v>48</v>
      </c>
      <c r="AC61" s="2" t="s">
        <v>49</v>
      </c>
      <c r="AD61" s="2" t="s">
        <v>50</v>
      </c>
      <c r="AE61" s="2" t="s">
        <v>51</v>
      </c>
      <c r="AF61" s="2" t="s">
        <v>52</v>
      </c>
      <c r="AG61" s="2" t="s">
        <v>82</v>
      </c>
    </row>
    <row r="62" spans="1:33" x14ac:dyDescent="0.35">
      <c r="A62" s="4">
        <v>1</v>
      </c>
      <c r="B62" s="2">
        <v>38.65</v>
      </c>
      <c r="C62" s="2">
        <v>28.58</v>
      </c>
      <c r="D62" s="2">
        <v>30.18</v>
      </c>
      <c r="E62" s="2">
        <v>35.130000000000003</v>
      </c>
      <c r="F62" s="2">
        <v>43.81</v>
      </c>
      <c r="G62" s="2">
        <v>33.4</v>
      </c>
      <c r="H62" s="2"/>
      <c r="I62" s="2">
        <v>14.39</v>
      </c>
      <c r="J62" s="2">
        <v>15.25</v>
      </c>
      <c r="K62" s="2">
        <v>13.45</v>
      </c>
      <c r="L62" s="2">
        <v>18.04</v>
      </c>
      <c r="M62" s="2">
        <v>74.62</v>
      </c>
      <c r="N62" s="2">
        <v>25.36</v>
      </c>
      <c r="O62" s="2">
        <v>72.41</v>
      </c>
      <c r="P62" s="2">
        <v>20.420000000000002</v>
      </c>
      <c r="Q62" s="2">
        <v>20.77</v>
      </c>
      <c r="R62" s="2">
        <v>91.93</v>
      </c>
      <c r="S62" s="2">
        <v>85.33</v>
      </c>
      <c r="T62" s="2">
        <v>16.82</v>
      </c>
      <c r="U62" s="2">
        <v>18.32</v>
      </c>
      <c r="V62" s="2">
        <v>42.69</v>
      </c>
      <c r="W62" s="2">
        <v>85.82</v>
      </c>
      <c r="X62" s="2">
        <v>97.05</v>
      </c>
      <c r="Y62" s="2">
        <v>80.260000000000005</v>
      </c>
      <c r="Z62" s="2">
        <v>113.64</v>
      </c>
      <c r="AA62" s="2">
        <v>52.83</v>
      </c>
      <c r="AB62" s="2">
        <v>76.09</v>
      </c>
      <c r="AC62" s="2">
        <v>165.29</v>
      </c>
      <c r="AD62" s="2">
        <v>55.7</v>
      </c>
      <c r="AE62" s="2">
        <v>58.71</v>
      </c>
      <c r="AF62" s="2">
        <v>158.51</v>
      </c>
      <c r="AG62" s="2">
        <v>56.51</v>
      </c>
    </row>
    <row r="63" spans="1:33" x14ac:dyDescent="0.35">
      <c r="A63" s="4">
        <v>2</v>
      </c>
      <c r="B63" s="2">
        <v>18.71</v>
      </c>
      <c r="C63" s="2">
        <v>31.36</v>
      </c>
      <c r="D63" s="2">
        <v>35.24</v>
      </c>
      <c r="E63" s="2">
        <v>35.75</v>
      </c>
      <c r="F63" s="2">
        <v>38.200000000000003</v>
      </c>
      <c r="G63" s="2">
        <v>31.75</v>
      </c>
      <c r="H63" s="2"/>
      <c r="I63" s="2">
        <v>13.79</v>
      </c>
      <c r="J63" s="2">
        <v>18.670000000000002</v>
      </c>
      <c r="K63" s="2">
        <v>13.76</v>
      </c>
      <c r="L63" s="2">
        <v>12.62</v>
      </c>
      <c r="M63" s="2">
        <v>74.31</v>
      </c>
      <c r="N63" s="2">
        <v>31.55</v>
      </c>
      <c r="O63" s="2">
        <v>82.13</v>
      </c>
      <c r="P63" s="2">
        <v>23.76</v>
      </c>
      <c r="Q63" s="2">
        <v>25.45</v>
      </c>
      <c r="R63" s="2">
        <v>85.45</v>
      </c>
      <c r="S63" s="2">
        <v>89.98</v>
      </c>
      <c r="T63" s="2">
        <v>23.86</v>
      </c>
      <c r="U63" s="2">
        <v>18.11</v>
      </c>
      <c r="V63" s="2">
        <v>31.27</v>
      </c>
      <c r="W63" s="2">
        <v>88.06</v>
      </c>
      <c r="X63" s="2">
        <v>95.75</v>
      </c>
      <c r="Y63" s="2">
        <v>88.1</v>
      </c>
      <c r="Z63" s="2">
        <v>100.76</v>
      </c>
      <c r="AA63" s="2">
        <v>25.47</v>
      </c>
      <c r="AB63" s="2">
        <v>82.25</v>
      </c>
      <c r="AC63" s="2">
        <v>198.03</v>
      </c>
      <c r="AD63" s="2">
        <v>65.790000000000006</v>
      </c>
      <c r="AE63" s="2">
        <v>70.55</v>
      </c>
      <c r="AF63" s="2">
        <v>134.5</v>
      </c>
      <c r="AG63" s="2">
        <v>12.79</v>
      </c>
    </row>
    <row r="64" spans="1:33" x14ac:dyDescent="0.35">
      <c r="A64" s="4">
        <v>3</v>
      </c>
      <c r="B64" s="2">
        <v>18.510000000000002</v>
      </c>
      <c r="C64" s="2">
        <v>23.31</v>
      </c>
      <c r="D64" s="2">
        <v>38.69</v>
      </c>
      <c r="E64" s="2">
        <v>38.72</v>
      </c>
      <c r="F64" s="2">
        <v>49.36</v>
      </c>
      <c r="G64" s="2">
        <v>30.53</v>
      </c>
      <c r="H64" s="2"/>
      <c r="I64" s="2">
        <v>12.09</v>
      </c>
      <c r="J64" s="2">
        <v>16.010000000000002</v>
      </c>
      <c r="K64" s="2">
        <v>13.47</v>
      </c>
      <c r="L64" s="2">
        <v>14.1</v>
      </c>
      <c r="M64" s="2">
        <v>59.03</v>
      </c>
      <c r="N64" s="2">
        <v>31.78</v>
      </c>
      <c r="O64" s="2">
        <v>79.45</v>
      </c>
      <c r="P64" s="2">
        <v>22.97</v>
      </c>
      <c r="Q64" s="2">
        <v>36.82</v>
      </c>
      <c r="R64" s="2">
        <v>87.25</v>
      </c>
      <c r="S64" s="2">
        <v>83.33</v>
      </c>
      <c r="T64" s="2">
        <v>33.119999999999997</v>
      </c>
      <c r="U64" s="2">
        <v>15.58</v>
      </c>
      <c r="V64" s="2">
        <v>34.549999999999997</v>
      </c>
      <c r="W64" s="2">
        <v>81.849999999999994</v>
      </c>
      <c r="X64" s="2">
        <v>98.59</v>
      </c>
      <c r="Y64" s="2">
        <v>82.13</v>
      </c>
      <c r="Z64" s="2">
        <v>96.22</v>
      </c>
      <c r="AA64" s="2">
        <v>32.880000000000003</v>
      </c>
      <c r="AB64" s="2">
        <v>79.349999999999994</v>
      </c>
      <c r="AC64" s="2">
        <v>217.76</v>
      </c>
      <c r="AD64" s="2">
        <v>68.33</v>
      </c>
      <c r="AE64" s="2">
        <v>78.22</v>
      </c>
      <c r="AF64" s="2">
        <v>153.41999999999999</v>
      </c>
      <c r="AG64" s="2">
        <v>49.33</v>
      </c>
    </row>
    <row r="65" spans="1:33" x14ac:dyDescent="0.35">
      <c r="A65" s="4">
        <v>4</v>
      </c>
      <c r="B65" s="2">
        <v>18.84</v>
      </c>
      <c r="C65" s="2">
        <v>20.9</v>
      </c>
      <c r="D65" s="2">
        <v>35.299999999999997</v>
      </c>
      <c r="E65" s="2">
        <v>36.15</v>
      </c>
      <c r="F65" s="2">
        <v>34</v>
      </c>
      <c r="G65" s="2">
        <v>30.14</v>
      </c>
      <c r="H65" s="2"/>
      <c r="I65" s="2">
        <v>10.42</v>
      </c>
      <c r="J65" s="2">
        <v>15.12</v>
      </c>
      <c r="K65" s="2">
        <v>13.64</v>
      </c>
      <c r="L65" s="2">
        <v>14.8</v>
      </c>
      <c r="M65" s="2">
        <v>59.22</v>
      </c>
      <c r="N65" s="2">
        <v>31.7</v>
      </c>
      <c r="O65" s="2">
        <v>70.62</v>
      </c>
      <c r="P65" s="2">
        <v>36.96</v>
      </c>
      <c r="Q65" s="2">
        <v>29.9</v>
      </c>
      <c r="R65" s="2">
        <v>86.49</v>
      </c>
      <c r="S65" s="2">
        <v>92.57</v>
      </c>
      <c r="T65" s="2">
        <v>11.06</v>
      </c>
      <c r="U65" s="2">
        <v>12.92</v>
      </c>
      <c r="V65" s="2">
        <v>31.45</v>
      </c>
      <c r="W65" s="2">
        <v>87.87</v>
      </c>
      <c r="X65" s="2">
        <v>101.28</v>
      </c>
      <c r="Y65" s="2">
        <v>69.87</v>
      </c>
      <c r="Z65" s="2">
        <v>100.49</v>
      </c>
      <c r="AA65" s="2">
        <v>29.06</v>
      </c>
      <c r="AB65" s="2">
        <v>66.33</v>
      </c>
      <c r="AC65" s="2">
        <v>174.28</v>
      </c>
      <c r="AD65" s="2">
        <v>85.05</v>
      </c>
      <c r="AE65" s="2">
        <v>92.89</v>
      </c>
      <c r="AF65" s="2">
        <v>177.08</v>
      </c>
      <c r="AG65" s="2">
        <v>16.829999999999998</v>
      </c>
    </row>
    <row r="66" spans="1:33" x14ac:dyDescent="0.35">
      <c r="A66" s="4">
        <v>5</v>
      </c>
      <c r="B66" s="2">
        <v>18.62</v>
      </c>
      <c r="C66" s="2">
        <v>25.47</v>
      </c>
      <c r="D66" s="2">
        <v>43.37</v>
      </c>
      <c r="E66" s="2">
        <v>34.76</v>
      </c>
      <c r="F66" s="2">
        <v>34.85</v>
      </c>
      <c r="G66" s="2">
        <v>33.06</v>
      </c>
      <c r="H66" s="2"/>
      <c r="I66" s="2">
        <v>12.13</v>
      </c>
      <c r="J66" s="2">
        <v>15.31</v>
      </c>
      <c r="K66" s="2">
        <v>14.09</v>
      </c>
      <c r="L66" s="2">
        <v>20.73</v>
      </c>
      <c r="M66" s="2">
        <v>47.65</v>
      </c>
      <c r="N66" s="2">
        <v>35.69</v>
      </c>
      <c r="O66" s="2">
        <v>66.540000000000006</v>
      </c>
      <c r="P66" s="2">
        <v>42.41</v>
      </c>
      <c r="Q66" s="2">
        <v>34.17</v>
      </c>
      <c r="R66" s="2">
        <v>87.3</v>
      </c>
      <c r="S66" s="2">
        <v>91.78</v>
      </c>
      <c r="T66" s="2">
        <v>27.05</v>
      </c>
      <c r="U66" s="2">
        <v>10.55</v>
      </c>
      <c r="V66" s="2">
        <v>41.02</v>
      </c>
      <c r="W66" s="2">
        <v>87.3</v>
      </c>
      <c r="X66" s="2">
        <v>98.98</v>
      </c>
      <c r="Y66" s="2">
        <v>85.71</v>
      </c>
      <c r="Z66" s="2">
        <v>95.16</v>
      </c>
      <c r="AA66" s="2">
        <v>41.28</v>
      </c>
      <c r="AB66" s="2">
        <v>81.34</v>
      </c>
      <c r="AC66" s="2">
        <v>180.14</v>
      </c>
      <c r="AD66" s="2">
        <v>79.540000000000006</v>
      </c>
      <c r="AE66" s="2">
        <v>50.82</v>
      </c>
      <c r="AF66" s="2">
        <v>141.66999999999999</v>
      </c>
      <c r="AG66" s="2">
        <v>12.71</v>
      </c>
    </row>
    <row r="67" spans="1:33" x14ac:dyDescent="0.35">
      <c r="A67" s="4">
        <v>6</v>
      </c>
      <c r="B67" s="2">
        <v>18.809999999999999</v>
      </c>
      <c r="C67" s="2">
        <v>20.32</v>
      </c>
      <c r="D67" s="2">
        <v>39.770000000000003</v>
      </c>
      <c r="E67" s="2">
        <v>36.15</v>
      </c>
      <c r="F67" s="2">
        <v>34.53</v>
      </c>
      <c r="G67" s="2">
        <v>34.04</v>
      </c>
      <c r="H67" s="2"/>
      <c r="I67" s="2">
        <v>13.39</v>
      </c>
      <c r="J67" s="2">
        <v>13.29</v>
      </c>
      <c r="K67" s="2">
        <v>12.53</v>
      </c>
      <c r="L67" s="2">
        <v>14.25</v>
      </c>
      <c r="M67" s="2">
        <v>58.53</v>
      </c>
      <c r="N67" s="2">
        <v>36.51</v>
      </c>
      <c r="O67" s="2">
        <v>78.430000000000007</v>
      </c>
      <c r="P67" s="2">
        <v>15.73</v>
      </c>
      <c r="Q67" s="2">
        <v>33.93</v>
      </c>
      <c r="R67" s="2">
        <v>85.57</v>
      </c>
      <c r="S67" s="2">
        <v>77.05</v>
      </c>
      <c r="T67" s="2">
        <v>20.92</v>
      </c>
      <c r="U67" s="2">
        <v>23.36</v>
      </c>
      <c r="V67" s="2">
        <v>31.02</v>
      </c>
      <c r="W67" s="2">
        <v>83.54</v>
      </c>
      <c r="X67" s="2">
        <v>94.34</v>
      </c>
      <c r="Y67" s="2">
        <v>95.91</v>
      </c>
      <c r="Z67" s="2">
        <v>108.41</v>
      </c>
      <c r="AA67" s="2">
        <v>38.11</v>
      </c>
      <c r="AB67" s="2">
        <v>60.62</v>
      </c>
      <c r="AC67" s="2">
        <v>152.29</v>
      </c>
      <c r="AD67" s="2">
        <v>56.63</v>
      </c>
      <c r="AE67" s="2">
        <v>66.03</v>
      </c>
      <c r="AF67" s="2">
        <v>174.68</v>
      </c>
      <c r="AG67" s="2">
        <v>12.71</v>
      </c>
    </row>
    <row r="68" spans="1:33" x14ac:dyDescent="0.35">
      <c r="A68" s="4">
        <v>7</v>
      </c>
      <c r="B68" s="2">
        <v>18.190000000000001</v>
      </c>
      <c r="C68" s="2">
        <v>27.43</v>
      </c>
      <c r="D68" s="2">
        <v>34.36</v>
      </c>
      <c r="E68" s="2">
        <v>37.299999999999997</v>
      </c>
      <c r="F68" s="2">
        <v>33.83</v>
      </c>
      <c r="G68" s="2">
        <v>31.63</v>
      </c>
      <c r="H68" s="2"/>
      <c r="I68" s="2">
        <v>10.93</v>
      </c>
      <c r="J68" s="2">
        <v>17.29</v>
      </c>
      <c r="K68" s="2">
        <v>12.89</v>
      </c>
      <c r="L68" s="2">
        <v>16.43</v>
      </c>
      <c r="M68" s="2">
        <v>48.25</v>
      </c>
      <c r="N68" s="2">
        <v>30.53</v>
      </c>
      <c r="O68" s="2">
        <v>78.33</v>
      </c>
      <c r="P68" s="2">
        <v>19.440000000000001</v>
      </c>
      <c r="Q68" s="2">
        <v>37.56</v>
      </c>
      <c r="R68" s="2">
        <v>97.23</v>
      </c>
      <c r="S68" s="2">
        <v>84.31</v>
      </c>
      <c r="T68" s="2">
        <v>13.59</v>
      </c>
      <c r="U68" s="2">
        <v>24.39</v>
      </c>
      <c r="V68" s="2">
        <v>32.11</v>
      </c>
      <c r="W68" s="2">
        <v>94.63</v>
      </c>
      <c r="X68" s="2">
        <v>95.23</v>
      </c>
      <c r="Y68" s="2">
        <v>94.33</v>
      </c>
      <c r="Z68" s="2">
        <v>99.51</v>
      </c>
      <c r="AA68" s="2">
        <v>48.05</v>
      </c>
      <c r="AB68" s="2">
        <v>66.930000000000007</v>
      </c>
      <c r="AC68" s="2">
        <v>174.36</v>
      </c>
      <c r="AD68" s="2">
        <v>57.08</v>
      </c>
      <c r="AE68" s="2">
        <v>58.78</v>
      </c>
      <c r="AF68" s="2"/>
      <c r="AG68" s="2">
        <v>16</v>
      </c>
    </row>
    <row r="69" spans="1:33" x14ac:dyDescent="0.35">
      <c r="A69" s="4">
        <v>8</v>
      </c>
      <c r="B69" s="2">
        <v>18.739999999999998</v>
      </c>
      <c r="C69" s="2">
        <v>25.48</v>
      </c>
      <c r="D69" s="2">
        <v>33.36</v>
      </c>
      <c r="E69" s="2">
        <v>37.299999999999997</v>
      </c>
      <c r="F69" s="2">
        <v>30.67</v>
      </c>
      <c r="G69" s="2">
        <v>33</v>
      </c>
      <c r="H69" s="2"/>
      <c r="I69" s="2">
        <v>11.23</v>
      </c>
      <c r="J69" s="2">
        <v>13.61</v>
      </c>
      <c r="K69" s="2">
        <v>12.89</v>
      </c>
      <c r="L69" s="2">
        <v>17.989999999999998</v>
      </c>
      <c r="M69" s="2">
        <v>46.77</v>
      </c>
      <c r="N69" s="2">
        <v>23.82</v>
      </c>
      <c r="O69" s="2">
        <v>101.45</v>
      </c>
      <c r="P69" s="2">
        <v>23.24</v>
      </c>
      <c r="Q69" s="2">
        <v>34.369999999999997</v>
      </c>
      <c r="R69" s="2">
        <v>80.7</v>
      </c>
      <c r="S69" s="2">
        <v>86.97</v>
      </c>
      <c r="T69" s="2"/>
      <c r="U69" s="2">
        <v>10.77</v>
      </c>
      <c r="V69" s="2">
        <v>42.15</v>
      </c>
      <c r="W69" s="2">
        <v>94.03</v>
      </c>
      <c r="X69" s="2">
        <v>98.45</v>
      </c>
      <c r="Y69" s="2">
        <v>91.52</v>
      </c>
      <c r="Z69" s="2">
        <v>94.48</v>
      </c>
      <c r="AA69" s="2">
        <v>42.79</v>
      </c>
      <c r="AB69" s="2">
        <v>77.2</v>
      </c>
      <c r="AC69" s="2">
        <v>128.37</v>
      </c>
      <c r="AD69" s="2">
        <v>65.11</v>
      </c>
      <c r="AE69" s="2">
        <v>69.87</v>
      </c>
      <c r="AF69" s="2"/>
      <c r="AG69" s="2">
        <v>15.73</v>
      </c>
    </row>
    <row r="70" spans="1:33" x14ac:dyDescent="0.35">
      <c r="A70" s="4">
        <v>9</v>
      </c>
      <c r="B70" s="2">
        <v>18.8</v>
      </c>
      <c r="C70" s="2">
        <v>31.38</v>
      </c>
      <c r="D70" s="2">
        <v>36.61</v>
      </c>
      <c r="E70" s="2">
        <v>38.51</v>
      </c>
      <c r="F70" s="2">
        <v>36.71</v>
      </c>
      <c r="G70" s="2">
        <v>34.44</v>
      </c>
      <c r="H70" s="2"/>
      <c r="I70" s="2">
        <v>13.62</v>
      </c>
      <c r="J70" s="2">
        <v>15.29</v>
      </c>
      <c r="K70" s="2">
        <v>13.41</v>
      </c>
      <c r="L70" s="2">
        <v>17.25</v>
      </c>
      <c r="M70" s="2">
        <v>33.869999999999997</v>
      </c>
      <c r="N70" s="2">
        <v>31.65</v>
      </c>
      <c r="O70" s="2">
        <v>53.79</v>
      </c>
      <c r="P70" s="2">
        <v>20.72</v>
      </c>
      <c r="Q70" s="2">
        <v>32.520000000000003</v>
      </c>
      <c r="R70" s="2">
        <v>90.47</v>
      </c>
      <c r="S70" s="2">
        <v>86.4</v>
      </c>
      <c r="T70" s="2"/>
      <c r="U70" s="2">
        <v>13.27</v>
      </c>
      <c r="V70" s="2">
        <v>35.590000000000003</v>
      </c>
      <c r="W70" s="2">
        <v>86.3</v>
      </c>
      <c r="X70" s="2"/>
      <c r="Y70" s="2">
        <v>72.680000000000007</v>
      </c>
      <c r="Z70" s="2">
        <v>93.35</v>
      </c>
      <c r="AA70" s="2">
        <v>28.18</v>
      </c>
      <c r="AB70" s="2">
        <v>59.16</v>
      </c>
      <c r="AC70" s="2"/>
      <c r="AD70" s="2">
        <v>56.87</v>
      </c>
      <c r="AE70" s="2">
        <v>65.02</v>
      </c>
      <c r="AF70" s="2"/>
      <c r="AG70" s="2">
        <v>14.9</v>
      </c>
    </row>
    <row r="71" spans="1:33" x14ac:dyDescent="0.35">
      <c r="A71" s="4">
        <v>10</v>
      </c>
      <c r="B71" s="2">
        <v>22.16</v>
      </c>
      <c r="C71" s="2">
        <v>14.62</v>
      </c>
      <c r="D71" s="2">
        <v>36.700000000000003</v>
      </c>
      <c r="E71" s="2">
        <v>38.01</v>
      </c>
      <c r="F71" s="2">
        <v>25.44</v>
      </c>
      <c r="G71" s="2">
        <v>35.6</v>
      </c>
      <c r="H71" s="2"/>
      <c r="I71" s="2">
        <v>14.44</v>
      </c>
      <c r="J71" s="2">
        <v>14.79</v>
      </c>
      <c r="K71" s="2">
        <v>13.26</v>
      </c>
      <c r="L71" s="2">
        <v>11.63</v>
      </c>
      <c r="M71" s="2">
        <v>42.13</v>
      </c>
      <c r="N71" s="2">
        <v>25.63</v>
      </c>
      <c r="O71" s="2">
        <v>72.36</v>
      </c>
      <c r="P71" s="2">
        <v>24.27</v>
      </c>
      <c r="Q71" s="2">
        <v>36.799999999999997</v>
      </c>
      <c r="R71" s="2">
        <v>91.89</v>
      </c>
      <c r="S71" s="2">
        <v>99.93</v>
      </c>
      <c r="T71" s="2"/>
      <c r="U71" s="2">
        <v>16.059999999999999</v>
      </c>
      <c r="V71" s="2">
        <v>35.25</v>
      </c>
      <c r="W71" s="2"/>
      <c r="X71" s="2"/>
      <c r="Y71" s="2">
        <v>82.66</v>
      </c>
      <c r="Z71" s="2"/>
      <c r="AA71" s="2">
        <v>46.98</v>
      </c>
      <c r="AB71" s="2">
        <v>78.180000000000007</v>
      </c>
      <c r="AC71" s="2"/>
      <c r="AD71" s="2">
        <v>58.84</v>
      </c>
      <c r="AE71" s="2">
        <v>66.72</v>
      </c>
      <c r="AF71" s="2"/>
      <c r="AG71" s="2">
        <v>13.52</v>
      </c>
    </row>
    <row r="72" spans="1:33" x14ac:dyDescent="0.35">
      <c r="A72" s="4">
        <v>11</v>
      </c>
      <c r="B72" s="2">
        <v>14.75</v>
      </c>
      <c r="C72" s="2"/>
      <c r="D72" s="2"/>
      <c r="E72" s="2"/>
      <c r="F72" s="2">
        <v>32.65</v>
      </c>
      <c r="G72" s="2">
        <v>34.799999999999997</v>
      </c>
      <c r="H72" s="2"/>
      <c r="I72" s="2"/>
      <c r="J72" s="2"/>
      <c r="K72" s="2">
        <v>13.17</v>
      </c>
      <c r="L72" s="2">
        <v>18.059999999999999</v>
      </c>
      <c r="M72" s="2">
        <v>35.17</v>
      </c>
      <c r="N72" s="2">
        <v>26.9</v>
      </c>
      <c r="O72" s="2">
        <v>92.32</v>
      </c>
      <c r="P72" s="2">
        <v>26.45</v>
      </c>
      <c r="Q72" s="2"/>
      <c r="R72" s="2"/>
      <c r="S72" s="2"/>
      <c r="T72" s="2"/>
      <c r="U72" s="2">
        <v>18.54</v>
      </c>
      <c r="V72" s="2">
        <v>37.08</v>
      </c>
      <c r="W72" s="2"/>
      <c r="X72" s="2"/>
      <c r="Y72" s="2">
        <v>75.78</v>
      </c>
      <c r="Z72" s="2"/>
      <c r="AA72" s="2">
        <v>27.33</v>
      </c>
      <c r="AB72" s="2"/>
      <c r="AC72" s="2"/>
      <c r="AD72" s="2">
        <v>59.39</v>
      </c>
      <c r="AE72" s="2">
        <v>68.27</v>
      </c>
      <c r="AF72" s="2"/>
      <c r="AG72" s="2">
        <v>21.9</v>
      </c>
    </row>
    <row r="73" spans="1:33" x14ac:dyDescent="0.35">
      <c r="A73" s="4">
        <v>12</v>
      </c>
      <c r="B73" s="2"/>
      <c r="C73" s="2"/>
      <c r="D73" s="2"/>
      <c r="E73" s="2"/>
      <c r="F73" s="2">
        <v>37.4</v>
      </c>
      <c r="G73" s="2"/>
      <c r="H73" s="2"/>
      <c r="I73" s="2"/>
      <c r="J73" s="2"/>
      <c r="K73" s="2">
        <v>13.61</v>
      </c>
      <c r="L73" s="2">
        <v>16.84</v>
      </c>
      <c r="M73" s="2">
        <v>36.68</v>
      </c>
      <c r="N73" s="2"/>
      <c r="O73" s="2"/>
      <c r="P73" s="2">
        <v>25.42</v>
      </c>
      <c r="Q73" s="2"/>
      <c r="R73" s="2"/>
      <c r="S73" s="2"/>
      <c r="T73" s="2"/>
      <c r="U73" s="2">
        <v>16.3</v>
      </c>
      <c r="V73" s="2"/>
      <c r="W73" s="2"/>
      <c r="X73" s="2"/>
      <c r="Y73" s="2">
        <v>90.62</v>
      </c>
      <c r="Z73" s="2"/>
      <c r="AA73" s="2">
        <v>47.23</v>
      </c>
      <c r="AB73" s="2"/>
      <c r="AC73" s="2"/>
      <c r="AD73" s="2">
        <v>52.1</v>
      </c>
      <c r="AE73" s="2">
        <v>100.99</v>
      </c>
      <c r="AF73" s="2"/>
      <c r="AG73" s="2"/>
    </row>
    <row r="74" spans="1:33" x14ac:dyDescent="0.35">
      <c r="A74" s="4">
        <v>13</v>
      </c>
      <c r="B74" s="2"/>
      <c r="C74" s="2"/>
      <c r="D74" s="2"/>
      <c r="E74" s="2"/>
      <c r="F74" s="2"/>
      <c r="G74" s="2"/>
      <c r="H74" s="2"/>
      <c r="I74" s="2"/>
      <c r="J74" s="2"/>
      <c r="K74" s="2">
        <v>11.89</v>
      </c>
      <c r="L74" s="2">
        <v>18.38</v>
      </c>
      <c r="M74" s="2">
        <v>45.93</v>
      </c>
      <c r="N74" s="2"/>
      <c r="O74" s="2"/>
      <c r="P74" s="2">
        <v>21.8</v>
      </c>
      <c r="Q74" s="2"/>
      <c r="R74" s="2"/>
      <c r="S74" s="2"/>
      <c r="T74" s="2"/>
      <c r="U74" s="2">
        <v>22.32</v>
      </c>
      <c r="V74" s="2"/>
      <c r="W74" s="2"/>
      <c r="X74" s="2"/>
      <c r="Y74" s="2"/>
      <c r="Z74" s="2"/>
      <c r="AA74" s="2">
        <v>53.05</v>
      </c>
      <c r="AB74" s="2"/>
      <c r="AC74" s="2"/>
      <c r="AD74" s="2">
        <v>60.35</v>
      </c>
      <c r="AE74" s="2">
        <v>68.58</v>
      </c>
      <c r="AF74" s="2"/>
      <c r="AG74" s="2"/>
    </row>
    <row r="75" spans="1:33" x14ac:dyDescent="0.35">
      <c r="A75" s="4">
        <v>14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>
        <v>38.97</v>
      </c>
      <c r="N75" s="2"/>
      <c r="O75" s="2"/>
      <c r="P75" s="2">
        <v>22.38</v>
      </c>
      <c r="Q75" s="2"/>
      <c r="R75" s="2"/>
      <c r="S75" s="2"/>
      <c r="T75" s="2"/>
      <c r="U75" s="2">
        <v>14.95</v>
      </c>
      <c r="V75" s="2"/>
      <c r="W75" s="2"/>
      <c r="X75" s="2"/>
      <c r="Y75" s="2"/>
      <c r="Z75" s="2"/>
      <c r="AA75" s="2"/>
      <c r="AB75" s="2"/>
      <c r="AC75" s="2"/>
      <c r="AD75" s="2"/>
      <c r="AE75" s="2">
        <v>51.8</v>
      </c>
      <c r="AF75" s="2"/>
      <c r="AG75" s="2"/>
    </row>
    <row r="76" spans="1:33" x14ac:dyDescent="0.35">
      <c r="A76" s="4">
        <v>15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>
        <v>43.03</v>
      </c>
      <c r="N76" s="2"/>
      <c r="O76" s="2"/>
      <c r="P76" s="2"/>
      <c r="Q76" s="2"/>
      <c r="R76" s="2"/>
      <c r="S76" s="2"/>
      <c r="T76" s="2"/>
      <c r="U76" s="2">
        <v>22.58</v>
      </c>
      <c r="V76" s="2"/>
      <c r="W76" s="2"/>
      <c r="X76" s="2"/>
      <c r="Y76" s="2"/>
      <c r="Z76" s="2"/>
      <c r="AA76" s="2"/>
      <c r="AB76" s="2"/>
      <c r="AC76" s="2"/>
      <c r="AD76" s="2"/>
      <c r="AE76" s="2">
        <v>110.87</v>
      </c>
      <c r="AF76" s="2"/>
      <c r="AG76" s="2"/>
    </row>
    <row r="77" spans="1:33" x14ac:dyDescent="0.35">
      <c r="A77" s="4">
        <v>16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>
        <v>13.78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x14ac:dyDescent="0.35">
      <c r="A78" s="4">
        <v>17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x14ac:dyDescent="0.35">
      <c r="A79" s="4">
        <v>18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x14ac:dyDescent="0.35">
      <c r="A80" s="4">
        <v>19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x14ac:dyDescent="0.35">
      <c r="A81" s="4">
        <v>20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29" x14ac:dyDescent="0.35">
      <c r="A82" s="3" t="s">
        <v>58</v>
      </c>
      <c r="B82" s="3">
        <f t="shared" ref="B82:AG82" si="4">IF(COUNT(B62:B81)&lt;4,"0",SMALL(B62:B81,4))*B59</f>
        <v>18.62</v>
      </c>
      <c r="C82" s="3">
        <f t="shared" si="4"/>
        <v>23.31</v>
      </c>
      <c r="D82" s="3">
        <f t="shared" si="4"/>
        <v>35.24</v>
      </c>
      <c r="E82" s="3">
        <f t="shared" si="4"/>
        <v>36.15</v>
      </c>
      <c r="F82" s="3">
        <f t="shared" si="4"/>
        <v>33.83</v>
      </c>
      <c r="G82" s="3">
        <f t="shared" si="4"/>
        <v>31.75</v>
      </c>
      <c r="H82" s="3"/>
      <c r="I82" s="3">
        <f t="shared" si="4"/>
        <v>8.0599999999999987</v>
      </c>
      <c r="J82" s="3">
        <f t="shared" si="4"/>
        <v>60.48</v>
      </c>
      <c r="K82" s="3">
        <f t="shared" si="4"/>
        <v>6.4450000000000003</v>
      </c>
      <c r="L82" s="3">
        <f t="shared" si="4"/>
        <v>14.25</v>
      </c>
      <c r="M82" s="3">
        <f t="shared" si="4"/>
        <v>38.97</v>
      </c>
      <c r="N82" s="3">
        <f t="shared" si="4"/>
        <v>26.9</v>
      </c>
      <c r="O82" s="3">
        <f t="shared" si="4"/>
        <v>72.36</v>
      </c>
      <c r="P82" s="3">
        <f t="shared" si="4"/>
        <v>20.72</v>
      </c>
      <c r="Q82" s="3">
        <f t="shared" si="4"/>
        <v>32.520000000000003</v>
      </c>
      <c r="R82" s="3">
        <f t="shared" si="4"/>
        <v>172.98</v>
      </c>
      <c r="S82" s="3">
        <f t="shared" si="4"/>
        <v>170.66</v>
      </c>
      <c r="T82" s="3">
        <f t="shared" si="4"/>
        <v>20.92</v>
      </c>
      <c r="U82" s="3">
        <f t="shared" si="4"/>
        <v>13.27</v>
      </c>
      <c r="V82" s="3">
        <f t="shared" si="4"/>
        <v>64.22</v>
      </c>
      <c r="W82" s="3">
        <f t="shared" si="4"/>
        <v>86.3</v>
      </c>
      <c r="X82" s="3">
        <f t="shared" si="4"/>
        <v>97.05</v>
      </c>
      <c r="Y82" s="3">
        <f t="shared" si="4"/>
        <v>80.260000000000005</v>
      </c>
      <c r="Z82" s="3">
        <f t="shared" si="4"/>
        <v>96.22</v>
      </c>
      <c r="AA82" s="3">
        <f t="shared" si="4"/>
        <v>58.12</v>
      </c>
      <c r="AB82" s="3">
        <f t="shared" si="4"/>
        <v>133.86000000000001</v>
      </c>
      <c r="AC82" s="3">
        <f t="shared" si="4"/>
        <v>174.28</v>
      </c>
      <c r="AD82" s="3">
        <f t="shared" si="4"/>
        <v>56.87</v>
      </c>
      <c r="AE82" s="3">
        <f t="shared" si="4"/>
        <v>58.78</v>
      </c>
      <c r="AF82" s="3">
        <f t="shared" si="4"/>
        <v>52.836666666666659</v>
      </c>
      <c r="AG82" s="3">
        <f t="shared" si="4"/>
        <v>13.52</v>
      </c>
    </row>
    <row r="83" spans="1:33" ht="29" x14ac:dyDescent="0.35">
      <c r="A83" s="3" t="s">
        <v>59</v>
      </c>
      <c r="B83" s="3">
        <f t="shared" ref="B83:AG83" si="5">(AVERAGE(B62:B81)) * B59</f>
        <v>20.434545454545457</v>
      </c>
      <c r="C83" s="3">
        <f t="shared" si="5"/>
        <v>24.884999999999998</v>
      </c>
      <c r="D83" s="3">
        <f t="shared" si="5"/>
        <v>36.358000000000004</v>
      </c>
      <c r="E83" s="3">
        <f t="shared" si="5"/>
        <v>36.777999999999999</v>
      </c>
      <c r="F83" s="3">
        <f t="shared" si="5"/>
        <v>35.954166666666659</v>
      </c>
      <c r="G83" s="3">
        <f t="shared" si="5"/>
        <v>32.944545454545455</v>
      </c>
      <c r="H83" s="3"/>
      <c r="I83" s="3">
        <f t="shared" si="5"/>
        <v>8.4286666666666683</v>
      </c>
      <c r="J83" s="3">
        <f t="shared" si="5"/>
        <v>61.851999999999997</v>
      </c>
      <c r="K83" s="3">
        <f t="shared" si="5"/>
        <v>6.6176923076923053</v>
      </c>
      <c r="L83" s="3">
        <f t="shared" si="5"/>
        <v>16.240000000000002</v>
      </c>
      <c r="M83" s="3">
        <f t="shared" si="5"/>
        <v>49.61066666666666</v>
      </c>
      <c r="N83" s="3">
        <f t="shared" si="5"/>
        <v>30.101818181818178</v>
      </c>
      <c r="O83" s="3">
        <f t="shared" si="5"/>
        <v>77.075454545454562</v>
      </c>
      <c r="P83" s="3">
        <f t="shared" si="5"/>
        <v>24.712142857142858</v>
      </c>
      <c r="Q83" s="3">
        <f t="shared" si="5"/>
        <v>32.228999999999999</v>
      </c>
      <c r="R83" s="3">
        <f t="shared" si="5"/>
        <v>176.85600000000002</v>
      </c>
      <c r="S83" s="3">
        <f t="shared" si="5"/>
        <v>175.52999999999997</v>
      </c>
      <c r="T83" s="3">
        <f t="shared" si="5"/>
        <v>20.917142857142856</v>
      </c>
      <c r="U83" s="3">
        <f t="shared" si="5"/>
        <v>16.987499999999997</v>
      </c>
      <c r="V83" s="3">
        <f t="shared" si="5"/>
        <v>71.669090909090912</v>
      </c>
      <c r="W83" s="3">
        <f t="shared" si="5"/>
        <v>87.711111111111109</v>
      </c>
      <c r="X83" s="3">
        <f t="shared" si="5"/>
        <v>97.458750000000009</v>
      </c>
      <c r="Y83" s="3">
        <f t="shared" si="5"/>
        <v>84.130833333333328</v>
      </c>
      <c r="Z83" s="3">
        <f t="shared" si="5"/>
        <v>100.22444444444444</v>
      </c>
      <c r="AA83" s="3">
        <f t="shared" si="5"/>
        <v>78.960000000000008</v>
      </c>
      <c r="AB83" s="3">
        <f t="shared" si="5"/>
        <v>145.49</v>
      </c>
      <c r="AC83" s="3">
        <f t="shared" si="5"/>
        <v>173.815</v>
      </c>
      <c r="AD83" s="3">
        <f t="shared" si="5"/>
        <v>63.136923076923082</v>
      </c>
      <c r="AE83" s="3">
        <f t="shared" si="5"/>
        <v>71.874666666666656</v>
      </c>
      <c r="AF83" s="3">
        <f t="shared" si="5"/>
        <v>52.214444444444439</v>
      </c>
      <c r="AG83" s="3">
        <f t="shared" si="5"/>
        <v>22.084545454545456</v>
      </c>
    </row>
    <row r="84" spans="1:33" ht="43.5" x14ac:dyDescent="0.35">
      <c r="A84" s="3" t="s">
        <v>22</v>
      </c>
      <c r="B84" s="3">
        <f t="shared" ref="B84:M84" si="6">B83/0.85</f>
        <v>24.040641711229949</v>
      </c>
      <c r="C84" s="3">
        <f t="shared" si="6"/>
        <v>29.276470588235291</v>
      </c>
      <c r="D84" s="3">
        <f t="shared" si="6"/>
        <v>42.77411764705883</v>
      </c>
      <c r="E84" s="3">
        <f t="shared" si="6"/>
        <v>43.268235294117645</v>
      </c>
      <c r="F84" s="3">
        <f t="shared" si="6"/>
        <v>42.299019607843128</v>
      </c>
      <c r="G84" s="3">
        <f t="shared" si="6"/>
        <v>38.758288770053476</v>
      </c>
      <c r="H84" s="3"/>
      <c r="I84" s="3">
        <f t="shared" si="6"/>
        <v>9.9160784313725507</v>
      </c>
      <c r="J84" s="3">
        <f t="shared" si="6"/>
        <v>72.76705882352941</v>
      </c>
      <c r="K84" s="3">
        <f t="shared" si="6"/>
        <v>7.7855203619909474</v>
      </c>
      <c r="L84" s="3">
        <f t="shared" si="6"/>
        <v>19.10588235294118</v>
      </c>
      <c r="M84" s="3">
        <f t="shared" si="6"/>
        <v>58.365490196078426</v>
      </c>
      <c r="N84" s="3">
        <f>(N83)/0.75</f>
        <v>40.135757575757573</v>
      </c>
      <c r="O84" s="3">
        <f t="shared" ref="O84:U84" si="7">O83/0.85</f>
        <v>90.677005347593607</v>
      </c>
      <c r="P84" s="3">
        <f t="shared" si="7"/>
        <v>29.073109243697481</v>
      </c>
      <c r="Q84" s="3">
        <f t="shared" si="7"/>
        <v>37.916470588235292</v>
      </c>
      <c r="R84" s="3">
        <f t="shared" si="7"/>
        <v>208.0658823529412</v>
      </c>
      <c r="S84" s="3">
        <f t="shared" si="7"/>
        <v>206.50588235294114</v>
      </c>
      <c r="T84" s="3">
        <f t="shared" si="7"/>
        <v>24.608403361344539</v>
      </c>
      <c r="U84" s="3">
        <f t="shared" si="7"/>
        <v>19.985294117647054</v>
      </c>
      <c r="V84" s="3">
        <f>(V83)/0.75</f>
        <v>95.558787878787882</v>
      </c>
      <c r="W84" s="3">
        <f t="shared" ref="W84:AB84" si="8">W83/0.85</f>
        <v>103.18954248366013</v>
      </c>
      <c r="X84" s="3">
        <f t="shared" si="8"/>
        <v>114.65735294117648</v>
      </c>
      <c r="Y84" s="3">
        <f t="shared" si="8"/>
        <v>98.977450980392149</v>
      </c>
      <c r="Z84" s="3">
        <f t="shared" si="8"/>
        <v>117.91111111111111</v>
      </c>
      <c r="AA84" s="3">
        <f t="shared" si="8"/>
        <v>92.894117647058835</v>
      </c>
      <c r="AB84" s="3">
        <f t="shared" si="8"/>
        <v>171.16470588235296</v>
      </c>
      <c r="AC84" s="3">
        <f>(AC83)/0.75</f>
        <v>231.75333333333333</v>
      </c>
      <c r="AD84" s="3">
        <f>AD83/0.85</f>
        <v>74.278733031674221</v>
      </c>
      <c r="AE84" s="3">
        <f>(AE83)/0.75</f>
        <v>95.832888888888874</v>
      </c>
      <c r="AF84" s="3">
        <f>AF83/0.85</f>
        <v>61.428758169934639</v>
      </c>
      <c r="AG84" s="3">
        <f>AG83/0.85</f>
        <v>25.981818181818184</v>
      </c>
    </row>
    <row r="85" spans="1:33" x14ac:dyDescent="0.35">
      <c r="A85" s="3" t="s">
        <v>60</v>
      </c>
      <c r="B85" s="3">
        <f t="shared" ref="B85:AG85" si="9">(MAX(B62:B81)) * B59</f>
        <v>38.65</v>
      </c>
      <c r="C85" s="3">
        <f t="shared" si="9"/>
        <v>31.38</v>
      </c>
      <c r="D85" s="3">
        <f t="shared" si="9"/>
        <v>43.37</v>
      </c>
      <c r="E85" s="3">
        <f t="shared" si="9"/>
        <v>38.72</v>
      </c>
      <c r="F85" s="3">
        <f t="shared" si="9"/>
        <v>49.36</v>
      </c>
      <c r="G85" s="3">
        <f t="shared" si="9"/>
        <v>35.6</v>
      </c>
      <c r="H85" s="3"/>
      <c r="I85" s="3">
        <f t="shared" si="9"/>
        <v>9.6266666666666652</v>
      </c>
      <c r="J85" s="3">
        <f t="shared" si="9"/>
        <v>74.680000000000007</v>
      </c>
      <c r="K85" s="3">
        <f t="shared" si="9"/>
        <v>7.0449999999999999</v>
      </c>
      <c r="L85" s="3">
        <f t="shared" si="9"/>
        <v>20.73</v>
      </c>
      <c r="M85" s="3">
        <f t="shared" si="9"/>
        <v>74.62</v>
      </c>
      <c r="N85" s="3">
        <f t="shared" si="9"/>
        <v>36.51</v>
      </c>
      <c r="O85" s="3">
        <f t="shared" si="9"/>
        <v>101.45</v>
      </c>
      <c r="P85" s="3">
        <f t="shared" si="9"/>
        <v>42.41</v>
      </c>
      <c r="Q85" s="3">
        <f t="shared" si="9"/>
        <v>37.56</v>
      </c>
      <c r="R85" s="3">
        <f t="shared" si="9"/>
        <v>194.46</v>
      </c>
      <c r="S85" s="3">
        <f t="shared" si="9"/>
        <v>199.86</v>
      </c>
      <c r="T85" s="3">
        <f t="shared" si="9"/>
        <v>33.119999999999997</v>
      </c>
      <c r="U85" s="3">
        <f t="shared" si="9"/>
        <v>24.39</v>
      </c>
      <c r="V85" s="3">
        <f t="shared" si="9"/>
        <v>85.38</v>
      </c>
      <c r="W85" s="3">
        <f t="shared" si="9"/>
        <v>94.63</v>
      </c>
      <c r="X85" s="3">
        <f t="shared" si="9"/>
        <v>101.28</v>
      </c>
      <c r="Y85" s="3">
        <f t="shared" si="9"/>
        <v>95.91</v>
      </c>
      <c r="Z85" s="3">
        <f t="shared" si="9"/>
        <v>113.64</v>
      </c>
      <c r="AA85" s="3">
        <f t="shared" si="9"/>
        <v>106.1</v>
      </c>
      <c r="AB85" s="3">
        <f t="shared" si="9"/>
        <v>164.5</v>
      </c>
      <c r="AC85" s="3">
        <f t="shared" si="9"/>
        <v>217.76</v>
      </c>
      <c r="AD85" s="3">
        <f t="shared" si="9"/>
        <v>85.05</v>
      </c>
      <c r="AE85" s="3">
        <f t="shared" si="9"/>
        <v>110.87</v>
      </c>
      <c r="AF85" s="3">
        <f t="shared" si="9"/>
        <v>59.026666666666671</v>
      </c>
      <c r="AG85" s="3">
        <f t="shared" si="9"/>
        <v>56.51</v>
      </c>
    </row>
    <row r="86" spans="1:33" ht="72.5" x14ac:dyDescent="0.35">
      <c r="A86" s="3" t="s">
        <v>24</v>
      </c>
      <c r="B86" s="3">
        <f>B84/I5</f>
        <v>0.10194920364373838</v>
      </c>
      <c r="C86" s="3">
        <f>C84/I5</f>
        <v>0.12415279499696913</v>
      </c>
      <c r="D86" s="3">
        <f>D84/I5</f>
        <v>0.18139229738797688</v>
      </c>
      <c r="E86" s="3">
        <f>E84/I5</f>
        <v>0.18348770321071051</v>
      </c>
      <c r="F86" s="3">
        <f>F84/I5</f>
        <v>0.17937754805921347</v>
      </c>
      <c r="G86" s="3">
        <f>G84/I5</f>
        <v>0.16436236279230515</v>
      </c>
      <c r="H86" s="3"/>
      <c r="I86" s="3">
        <f>I84/I5</f>
        <v>4.2051136217177182E-2</v>
      </c>
      <c r="J86" s="3">
        <f>J84/I5</f>
        <v>0.30858343082790979</v>
      </c>
      <c r="K86" s="3">
        <f>K84/I5</f>
        <v>3.3016073796662347E-2</v>
      </c>
      <c r="L86" s="3">
        <f>L84/I5</f>
        <v>8.1022358479034731E-2</v>
      </c>
      <c r="M86" s="3">
        <f>M84/I5</f>
        <v>0.24751066619769485</v>
      </c>
      <c r="N86" s="3">
        <f>N84/I5</f>
        <v>0.17020379787013939</v>
      </c>
      <c r="O86" s="3">
        <f>O84/I5</f>
        <v>0.38453418153425895</v>
      </c>
      <c r="P86" s="3">
        <f>P84/I5</f>
        <v>0.12329040008353115</v>
      </c>
      <c r="Q86" s="3">
        <f>Q84/I5</f>
        <v>0.16079246252591192</v>
      </c>
      <c r="R86" s="3">
        <f>R84/I5</f>
        <v>0.88234545758424665</v>
      </c>
      <c r="S86" s="3">
        <f>S84/I5</f>
        <v>0.87572996205818732</v>
      </c>
      <c r="T86" s="3">
        <f>T84/I5</f>
        <v>0.10435691175668775</v>
      </c>
      <c r="U86" s="3">
        <f>U84/I5</f>
        <v>8.475168193735233E-2</v>
      </c>
      <c r="V86" s="3">
        <f>V84/I5</f>
        <v>0.40523636774855976</v>
      </c>
      <c r="W86" s="3">
        <f>W84/E5</f>
        <v>4.4307324109001969E-2</v>
      </c>
      <c r="X86" s="3" t="e">
        <f>X84/G5</f>
        <v>#VALUE!</v>
      </c>
      <c r="Y86" s="3">
        <f>Y84/I5</f>
        <v>0.4197339000907177</v>
      </c>
      <c r="Z86" s="3">
        <f>Z84/I5</f>
        <v>0.5000259154027018</v>
      </c>
      <c r="AA86" s="3">
        <f>AA84/I5</f>
        <v>0.39393629467392743</v>
      </c>
      <c r="AB86" s="3">
        <f>AB84/I5</f>
        <v>0.72585855511790409</v>
      </c>
      <c r="AC86" s="3">
        <f>AC84/I5</f>
        <v>0.9827968844974061</v>
      </c>
      <c r="AD86" s="3">
        <f>AD84/I5</f>
        <v>0.3149939910592181</v>
      </c>
      <c r="AE86" s="3">
        <f>AE84/I5</f>
        <v>0.40639874852164398</v>
      </c>
      <c r="AF86" s="3">
        <f>AF84/I5</f>
        <v>0.26050107361831404</v>
      </c>
      <c r="AG86" s="3">
        <f>AG84/I5</f>
        <v>0.11018115509019204</v>
      </c>
    </row>
    <row r="87" spans="1:33" ht="43.5" x14ac:dyDescent="0.35">
      <c r="A87" s="3" t="s">
        <v>61</v>
      </c>
      <c r="B87" s="3">
        <f>(7*2*3600)/B7</f>
        <v>50400</v>
      </c>
      <c r="C87" s="3">
        <f>(7*2*3600)/B7</f>
        <v>50400</v>
      </c>
      <c r="D87" s="3">
        <f>(7*2*3600)/B7</f>
        <v>50400</v>
      </c>
      <c r="E87" s="3">
        <f>(7*2*3600)/B7</f>
        <v>50400</v>
      </c>
      <c r="F87" s="3">
        <f>(7*2*3600)/B7</f>
        <v>50400</v>
      </c>
      <c r="G87" s="3">
        <f>(7*2*3600)/B7</f>
        <v>50400</v>
      </c>
      <c r="H87" s="3"/>
      <c r="I87" s="3">
        <f>(7*2*3600)/B7</f>
        <v>50400</v>
      </c>
      <c r="J87" s="3">
        <f>(7*2*3600)/B7</f>
        <v>50400</v>
      </c>
      <c r="K87" s="3">
        <f>(7*2*3600)/B7</f>
        <v>50400</v>
      </c>
      <c r="L87" s="3">
        <f>(7*2*3600)/B7</f>
        <v>50400</v>
      </c>
      <c r="M87" s="3">
        <f>(7*2*3600)/B7</f>
        <v>50400</v>
      </c>
      <c r="N87" s="3">
        <f>(7*2*3600)/B7</f>
        <v>50400</v>
      </c>
      <c r="O87" s="3">
        <f>(7*2*3600)/B7</f>
        <v>50400</v>
      </c>
      <c r="P87" s="3">
        <f>(7*2*3600)/B7</f>
        <v>50400</v>
      </c>
      <c r="Q87" s="3">
        <f>(7*2*3600)/B7</f>
        <v>50400</v>
      </c>
      <c r="R87" s="3">
        <f>(7*2*3600)/B7</f>
        <v>50400</v>
      </c>
      <c r="S87" s="3">
        <f>(7*2*3600)/B7</f>
        <v>50400</v>
      </c>
      <c r="T87" s="3">
        <f>(7*2*3600)/B7</f>
        <v>50400</v>
      </c>
      <c r="U87" s="3">
        <f>(7*2*3600)/B7</f>
        <v>50400</v>
      </c>
      <c r="V87" s="3">
        <f>(7*2*3600)/B7</f>
        <v>50400</v>
      </c>
      <c r="W87" s="3" t="e">
        <f>(7*2*3600)/#REF!</f>
        <v>#REF!</v>
      </c>
      <c r="X87" s="3" t="e">
        <f>(7*2*3600)/A7</f>
        <v>#VALUE!</v>
      </c>
      <c r="Y87" s="3">
        <f>(7*2*3600)/B7</f>
        <v>50400</v>
      </c>
      <c r="Z87" s="3">
        <f>(7*2*3600)/B7</f>
        <v>50400</v>
      </c>
      <c r="AA87" s="3">
        <f>(7*2*3600)/B7</f>
        <v>50400</v>
      </c>
      <c r="AB87" s="3">
        <f>(7*2*3600)/B7</f>
        <v>50400</v>
      </c>
      <c r="AC87" s="3">
        <f>(7*2*3600)/B7</f>
        <v>50400</v>
      </c>
      <c r="AD87" s="3">
        <f>(7*2*3600)/B7</f>
        <v>50400</v>
      </c>
      <c r="AE87" s="3">
        <f>(7*2*3600)/B7</f>
        <v>50400</v>
      </c>
      <c r="AF87" s="3">
        <f>(7*2*3600)/B7</f>
        <v>50400</v>
      </c>
      <c r="AG87" s="3">
        <f>(7*2*3600)/B7</f>
        <v>50400</v>
      </c>
    </row>
  </sheetData>
  <mergeCells count="5">
    <mergeCell ref="A1:B1"/>
    <mergeCell ref="D1:E1"/>
    <mergeCell ref="G1:I1"/>
    <mergeCell ref="C17:G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10185581-02-005B1LF_6xd10mb (2)</vt:lpstr>
      <vt:lpstr>10185581-02-005B1LF_6xd10mb0ld0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2026-06-05T05:57:51Z</dcterms:modified>
</cp:coreProperties>
</file>